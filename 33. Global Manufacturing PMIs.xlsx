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33.xml" ContentType="application/vnd.openxmlformats-officedocument.drawingml.chart+xml"/>
  <Override PartName="/xl/drawings/drawing14.xml" ContentType="application/vnd.openxmlformats-officedocument.drawingml.chartshape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7.xml" ContentType="application/vnd.openxmlformats-officedocument.drawing+xml"/>
  <Override PartName="/xl/tables/table16.xml" ContentType="application/vnd.openxmlformats-officedocument.spreadsheetml.tab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8.xml" ContentType="application/vnd.openxmlformats-officedocument.drawing+xml"/>
  <Override PartName="/xl/tables/table17.xml" ContentType="application/vnd.openxmlformats-officedocument.spreadsheetml.table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9.xml" ContentType="application/vnd.openxmlformats-officedocument.drawing+xml"/>
  <Override PartName="/xl/tables/table18.xml" ContentType="application/vnd.openxmlformats-officedocument.spreadsheetml.table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0.xml" ContentType="application/vnd.openxmlformats-officedocument.drawing+xml"/>
  <Override PartName="/xl/tables/table19.xml" ContentType="application/vnd.openxmlformats-officedocument.spreadsheetml.tab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1.xml" ContentType="application/vnd.openxmlformats-officedocument.drawing+xml"/>
  <Override PartName="/xl/tables/table20.xml" ContentType="application/vnd.openxmlformats-officedocument.spreadsheetml.table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2.xml" ContentType="application/vnd.openxmlformats-officedocument.drawing+xml"/>
  <Override PartName="/xl/tables/table21.xml" ContentType="application/vnd.openxmlformats-officedocument.spreadsheetml.table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3.xml" ContentType="application/vnd.openxmlformats-officedocument.drawing+xml"/>
  <Override PartName="/xl/tables/table22.xml" ContentType="application/vnd.openxmlformats-officedocument.spreadsheetml.table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24.xml" ContentType="application/vnd.openxmlformats-officedocument.drawing+xml"/>
  <Override PartName="/xl/tables/table23.xml" ContentType="application/vnd.openxmlformats-officedocument.spreadsheetml.table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25.xml" ContentType="application/vnd.openxmlformats-officedocument.drawing+xml"/>
  <Override PartName="/xl/tables/table24.xml" ContentType="application/vnd.openxmlformats-officedocument.spreadsheetml.table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582" documentId="11_F11A3BCCC57EA88D284A882DC247746E050CD96D" xr6:coauthVersionLast="47" xr6:coauthVersionMax="47" xr10:uidLastSave="{5A40490C-BAD1-47E4-B8E0-BC4963DAFD05}"/>
  <bookViews>
    <workbookView xWindow="3945" yWindow="-16320" windowWidth="29040" windowHeight="15720" tabRatio="757" activeTab="8" xr2:uid="{00000000-000D-0000-FFFF-FFFF00000000}"/>
  </bookViews>
  <sheets>
    <sheet name="Names" sheetId="36" r:id="rId1"/>
    <sheet name="Tabs" sheetId="38" r:id="rId2"/>
    <sheet name="Global" sheetId="10" r:id="rId3"/>
    <sheet name="US" sheetId="11" r:id="rId4"/>
    <sheet name="CA" sheetId="12" r:id="rId5"/>
    <sheet name="UK" sheetId="1" r:id="rId6"/>
    <sheet name="EZ" sheetId="13" r:id="rId7"/>
    <sheet name="DE" sheetId="6" r:id="rId8"/>
    <sheet name="FR" sheetId="9" r:id="rId9"/>
    <sheet name="IT" sheetId="3" r:id="rId10"/>
    <sheet name="ES" sheetId="2" r:id="rId11"/>
    <sheet name="EL" sheetId="14" r:id="rId12"/>
    <sheet name="IR" sheetId="15" r:id="rId13"/>
    <sheet name="CH" sheetId="21" r:id="rId14"/>
    <sheet name="JP" sheetId="23" r:id="rId15"/>
    <sheet name="BRL" sheetId="18" r:id="rId16"/>
    <sheet name="IND" sheetId="17" r:id="rId17"/>
    <sheet name="RS" sheetId="20" r:id="rId18"/>
    <sheet name="MX" sheetId="19" r:id="rId19"/>
    <sheet name="AU" sheetId="16" r:id="rId20"/>
    <sheet name="SK" sheetId="25" r:id="rId21"/>
    <sheet name="INS" sheetId="37" r:id="rId22"/>
    <sheet name="TW" sheetId="26" r:id="rId23"/>
    <sheet name="TUR" sheetId="31" r:id="rId24"/>
    <sheet name="CZ" sheetId="33" r:id="rId25"/>
    <sheet name="PL" sheetId="32" r:id="rId26"/>
    <sheet name="All" sheetId="22" r:id="rId27"/>
    <sheet name="Din" sheetId="27" r:id="rId28"/>
    <sheet name="Data" sheetId="41" state="hidden" r:id="rId29"/>
  </sheets>
  <definedNames>
    <definedName name="_xlnm._FilterDatabase" localSheetId="27" hidden="1">Din!$N$4:$Q$4</definedName>
    <definedName name="_xlnm._FilterDatabase" localSheetId="0" hidden="1">Names!$K$5:$Q$5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0" l="1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D119" i="15" l="1"/>
  <c r="C7" i="36" l="1"/>
  <c r="D7" i="36"/>
  <c r="E7" i="36"/>
  <c r="F7" i="36"/>
  <c r="C8" i="36"/>
  <c r="D8" i="36"/>
  <c r="E8" i="36"/>
  <c r="F8" i="36"/>
  <c r="C9" i="36"/>
  <c r="D9" i="36"/>
  <c r="E9" i="36"/>
  <c r="F9" i="36"/>
  <c r="C10" i="36"/>
  <c r="D10" i="36"/>
  <c r="E10" i="36"/>
  <c r="F10" i="36"/>
  <c r="C11" i="36"/>
  <c r="D11" i="36"/>
  <c r="E11" i="36"/>
  <c r="F11" i="36"/>
  <c r="C12" i="36"/>
  <c r="D12" i="36"/>
  <c r="E12" i="36"/>
  <c r="F12" i="36"/>
  <c r="C13" i="36"/>
  <c r="D13" i="36"/>
  <c r="E13" i="36"/>
  <c r="F13" i="36"/>
  <c r="C14" i="36"/>
  <c r="D14" i="36"/>
  <c r="E14" i="36"/>
  <c r="F14" i="36"/>
  <c r="C15" i="36"/>
  <c r="D15" i="36"/>
  <c r="E15" i="36"/>
  <c r="F15" i="36"/>
  <c r="C16" i="36"/>
  <c r="D16" i="36"/>
  <c r="E16" i="36"/>
  <c r="F16" i="36"/>
  <c r="C17" i="36"/>
  <c r="D17" i="36"/>
  <c r="E17" i="36"/>
  <c r="F17" i="36"/>
  <c r="C18" i="36"/>
  <c r="D18" i="36"/>
  <c r="E18" i="36"/>
  <c r="F18" i="36"/>
  <c r="C19" i="36"/>
  <c r="D19" i="36"/>
  <c r="E19" i="36"/>
  <c r="F19" i="36"/>
  <c r="C20" i="36"/>
  <c r="D20" i="36"/>
  <c r="E20" i="36"/>
  <c r="F20" i="36"/>
  <c r="C21" i="36"/>
  <c r="D21" i="36"/>
  <c r="E21" i="36"/>
  <c r="F21" i="36"/>
  <c r="C22" i="36"/>
  <c r="D22" i="36"/>
  <c r="E22" i="36"/>
  <c r="F22" i="36"/>
  <c r="C23" i="36"/>
  <c r="D23" i="36"/>
  <c r="E23" i="36"/>
  <c r="F23" i="36"/>
  <c r="C24" i="36"/>
  <c r="D24" i="36"/>
  <c r="E24" i="36"/>
  <c r="F24" i="36"/>
  <c r="C25" i="36"/>
  <c r="D25" i="36"/>
  <c r="E25" i="36"/>
  <c r="F25" i="36"/>
  <c r="C26" i="36"/>
  <c r="D26" i="36"/>
  <c r="E26" i="36"/>
  <c r="F26" i="36"/>
  <c r="C27" i="36"/>
  <c r="D27" i="36"/>
  <c r="E27" i="36"/>
  <c r="F27" i="36"/>
  <c r="C28" i="36"/>
  <c r="D28" i="36"/>
  <c r="E28" i="36"/>
  <c r="F28" i="36"/>
  <c r="D6" i="36"/>
  <c r="E6" i="36"/>
  <c r="F6" i="36"/>
  <c r="C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6" i="36"/>
  <c r="D119" i="32"/>
  <c r="D119" i="33"/>
  <c r="D116" i="31"/>
  <c r="D119" i="31"/>
  <c r="D119" i="26"/>
  <c r="D119" i="37"/>
  <c r="D119" i="25"/>
  <c r="D119" i="20"/>
  <c r="D119" i="16"/>
  <c r="D116" i="16"/>
  <c r="D119" i="19"/>
  <c r="D119" i="17"/>
  <c r="D119" i="18"/>
  <c r="D119" i="23"/>
  <c r="E119" i="21"/>
  <c r="D119" i="14"/>
  <c r="D119" i="2"/>
  <c r="D119" i="3"/>
  <c r="D119" i="9"/>
  <c r="D119" i="6"/>
  <c r="D119" i="13"/>
  <c r="D119" i="1"/>
  <c r="D119" i="12"/>
  <c r="D119" i="11"/>
  <c r="N3" i="27" l="1"/>
  <c r="I3" i="27"/>
  <c r="A4" i="38"/>
  <c r="B4" i="38"/>
  <c r="E4" i="38"/>
  <c r="F4" i="38"/>
  <c r="I4" i="38"/>
  <c r="J4" i="38"/>
  <c r="M4" i="38"/>
  <c r="N4" i="38"/>
  <c r="Q4" i="38"/>
  <c r="R4" i="38"/>
  <c r="U4" i="38"/>
  <c r="V4" i="38"/>
  <c r="Y4" i="38"/>
  <c r="Z4" i="38"/>
  <c r="AC4" i="38"/>
  <c r="AD4" i="38"/>
  <c r="AG4" i="38"/>
  <c r="AH4" i="38"/>
  <c r="AK4" i="38"/>
  <c r="AL4" i="38"/>
  <c r="AO4" i="38"/>
  <c r="AP4" i="38"/>
  <c r="AS4" i="38"/>
  <c r="AT4" i="38"/>
  <c r="AW4" i="38"/>
  <c r="AX4" i="38"/>
  <c r="BA4" i="38"/>
  <c r="BB4" i="38"/>
  <c r="BE4" i="38"/>
  <c r="BF4" i="38"/>
  <c r="BI4" i="38"/>
  <c r="BJ4" i="38"/>
  <c r="BM4" i="38"/>
  <c r="BN4" i="38"/>
  <c r="BQ4" i="38"/>
  <c r="BR4" i="38"/>
  <c r="BU4" i="38"/>
  <c r="BV4" i="38"/>
  <c r="BY4" i="38"/>
  <c r="BZ4" i="38"/>
  <c r="CC4" i="38"/>
  <c r="CD4" i="38"/>
  <c r="CG4" i="38"/>
  <c r="CH4" i="38"/>
  <c r="CK4" i="38"/>
  <c r="CL4" i="38"/>
  <c r="CO4" i="38"/>
  <c r="CP4" i="38"/>
  <c r="A5" i="38"/>
  <c r="B5" i="38"/>
  <c r="E5" i="38"/>
  <c r="F5" i="38"/>
  <c r="I5" i="38"/>
  <c r="J5" i="38"/>
  <c r="M5" i="38"/>
  <c r="N5" i="38"/>
  <c r="Q5" i="38"/>
  <c r="R5" i="38"/>
  <c r="U5" i="38"/>
  <c r="V5" i="38"/>
  <c r="Y5" i="38"/>
  <c r="Z5" i="38"/>
  <c r="AC5" i="38"/>
  <c r="AD5" i="38"/>
  <c r="AG5" i="38"/>
  <c r="AH5" i="38"/>
  <c r="AK5" i="38"/>
  <c r="AL5" i="38"/>
  <c r="AO5" i="38"/>
  <c r="AP5" i="38"/>
  <c r="AS5" i="38"/>
  <c r="AT5" i="38"/>
  <c r="AW5" i="38"/>
  <c r="AX5" i="38"/>
  <c r="BA5" i="38"/>
  <c r="BB5" i="38"/>
  <c r="BE5" i="38"/>
  <c r="BF5" i="38"/>
  <c r="BI5" i="38"/>
  <c r="BJ5" i="38"/>
  <c r="BM5" i="38"/>
  <c r="BN5" i="38"/>
  <c r="BQ5" i="38"/>
  <c r="BR5" i="38"/>
  <c r="BU5" i="38"/>
  <c r="BV5" i="38"/>
  <c r="BY5" i="38"/>
  <c r="BZ5" i="38"/>
  <c r="CC5" i="38"/>
  <c r="CD5" i="38"/>
  <c r="CG5" i="38"/>
  <c r="CH5" i="38"/>
  <c r="CK5" i="38"/>
  <c r="CL5" i="38"/>
  <c r="CO5" i="38"/>
  <c r="CP5" i="38"/>
  <c r="A6" i="38"/>
  <c r="B6" i="38"/>
  <c r="E6" i="38"/>
  <c r="F6" i="38"/>
  <c r="I6" i="38"/>
  <c r="J6" i="38"/>
  <c r="M6" i="38"/>
  <c r="N6" i="38"/>
  <c r="Q6" i="38"/>
  <c r="R6" i="38"/>
  <c r="U6" i="38"/>
  <c r="V6" i="38"/>
  <c r="Y6" i="38"/>
  <c r="Z6" i="38"/>
  <c r="AC6" i="38"/>
  <c r="AD6" i="38"/>
  <c r="AG6" i="38"/>
  <c r="AH6" i="38"/>
  <c r="AK6" i="38"/>
  <c r="AL6" i="38"/>
  <c r="AO6" i="38"/>
  <c r="AP6" i="38"/>
  <c r="AS6" i="38"/>
  <c r="AT6" i="38"/>
  <c r="AW6" i="38"/>
  <c r="AX6" i="38"/>
  <c r="BA6" i="38"/>
  <c r="BB6" i="38"/>
  <c r="BE6" i="38"/>
  <c r="BF6" i="38"/>
  <c r="BI6" i="38"/>
  <c r="BJ6" i="38"/>
  <c r="BM6" i="38"/>
  <c r="BN6" i="38"/>
  <c r="BQ6" i="38"/>
  <c r="BR6" i="38"/>
  <c r="BU6" i="38"/>
  <c r="BV6" i="38"/>
  <c r="BY6" i="38"/>
  <c r="BZ6" i="38"/>
  <c r="CC6" i="38"/>
  <c r="CD6" i="38"/>
  <c r="CG6" i="38"/>
  <c r="CH6" i="38"/>
  <c r="CK6" i="38"/>
  <c r="CL6" i="38"/>
  <c r="CO6" i="38"/>
  <c r="CP6" i="38"/>
  <c r="A7" i="38"/>
  <c r="B7" i="38"/>
  <c r="E7" i="38"/>
  <c r="F7" i="38"/>
  <c r="I7" i="38"/>
  <c r="J7" i="38"/>
  <c r="M7" i="38"/>
  <c r="N7" i="38"/>
  <c r="Q7" i="38"/>
  <c r="R7" i="38"/>
  <c r="U7" i="38"/>
  <c r="V7" i="38"/>
  <c r="Y7" i="38"/>
  <c r="Z7" i="38"/>
  <c r="AC7" i="38"/>
  <c r="AD7" i="38"/>
  <c r="AG7" i="38"/>
  <c r="AH7" i="38"/>
  <c r="AK7" i="38"/>
  <c r="AL7" i="38"/>
  <c r="AO7" i="38"/>
  <c r="AP7" i="38"/>
  <c r="AS7" i="38"/>
  <c r="AT7" i="38"/>
  <c r="AW7" i="38"/>
  <c r="AX7" i="38"/>
  <c r="BA7" i="38"/>
  <c r="BB7" i="38"/>
  <c r="BE7" i="38"/>
  <c r="BF7" i="38"/>
  <c r="BI7" i="38"/>
  <c r="BJ7" i="38"/>
  <c r="BM7" i="38"/>
  <c r="BN7" i="38"/>
  <c r="BQ7" i="38"/>
  <c r="BR7" i="38"/>
  <c r="BU7" i="38"/>
  <c r="BV7" i="38"/>
  <c r="BY7" i="38"/>
  <c r="BZ7" i="38"/>
  <c r="CC7" i="38"/>
  <c r="CD7" i="38"/>
  <c r="CG7" i="38"/>
  <c r="CH7" i="38"/>
  <c r="CK7" i="38"/>
  <c r="CL7" i="38"/>
  <c r="CO7" i="38"/>
  <c r="CP7" i="38"/>
  <c r="A8" i="38"/>
  <c r="B8" i="38"/>
  <c r="E8" i="38"/>
  <c r="F8" i="38"/>
  <c r="I8" i="38"/>
  <c r="J8" i="38"/>
  <c r="M8" i="38"/>
  <c r="N8" i="38"/>
  <c r="Q8" i="38"/>
  <c r="R8" i="38"/>
  <c r="U8" i="38"/>
  <c r="V8" i="38"/>
  <c r="Y8" i="38"/>
  <c r="Z8" i="38"/>
  <c r="AC8" i="38"/>
  <c r="AD8" i="38"/>
  <c r="AG8" i="38"/>
  <c r="AH8" i="38"/>
  <c r="AK8" i="38"/>
  <c r="AL8" i="38"/>
  <c r="AO8" i="38"/>
  <c r="AP8" i="38"/>
  <c r="AS8" i="38"/>
  <c r="AT8" i="38"/>
  <c r="AW8" i="38"/>
  <c r="AX8" i="38"/>
  <c r="BA8" i="38"/>
  <c r="BB8" i="38"/>
  <c r="BE8" i="38"/>
  <c r="BF8" i="38"/>
  <c r="BI8" i="38"/>
  <c r="BJ8" i="38"/>
  <c r="BM8" i="38"/>
  <c r="BN8" i="38"/>
  <c r="BQ8" i="38"/>
  <c r="BR8" i="38"/>
  <c r="BU8" i="38"/>
  <c r="BV8" i="38"/>
  <c r="BY8" i="38"/>
  <c r="BZ8" i="38"/>
  <c r="CC8" i="38"/>
  <c r="CD8" i="38"/>
  <c r="CG8" i="38"/>
  <c r="CH8" i="38"/>
  <c r="CK8" i="38"/>
  <c r="CL8" i="38"/>
  <c r="CO8" i="38"/>
  <c r="CP8" i="38"/>
  <c r="A9" i="38"/>
  <c r="B9" i="38"/>
  <c r="E9" i="38"/>
  <c r="F9" i="38"/>
  <c r="I9" i="38"/>
  <c r="J9" i="38"/>
  <c r="M9" i="38"/>
  <c r="N9" i="38"/>
  <c r="Q9" i="38"/>
  <c r="R9" i="38"/>
  <c r="U9" i="38"/>
  <c r="V9" i="38"/>
  <c r="Y9" i="38"/>
  <c r="Z9" i="38"/>
  <c r="AC9" i="38"/>
  <c r="AD9" i="38"/>
  <c r="AG9" i="38"/>
  <c r="AH9" i="38"/>
  <c r="AK9" i="38"/>
  <c r="AL9" i="38"/>
  <c r="AO9" i="38"/>
  <c r="AP9" i="38"/>
  <c r="AS9" i="38"/>
  <c r="AT9" i="38"/>
  <c r="AW9" i="38"/>
  <c r="AX9" i="38"/>
  <c r="BA9" i="38"/>
  <c r="BB9" i="38"/>
  <c r="BE9" i="38"/>
  <c r="BF9" i="38"/>
  <c r="BI9" i="38"/>
  <c r="BJ9" i="38"/>
  <c r="BM9" i="38"/>
  <c r="BN9" i="38"/>
  <c r="BQ9" i="38"/>
  <c r="BR9" i="38"/>
  <c r="BU9" i="38"/>
  <c r="BV9" i="38"/>
  <c r="BY9" i="38"/>
  <c r="BZ9" i="38"/>
  <c r="CC9" i="38"/>
  <c r="CD9" i="38"/>
  <c r="CG9" i="38"/>
  <c r="CH9" i="38"/>
  <c r="CK9" i="38"/>
  <c r="CL9" i="38"/>
  <c r="CO9" i="38"/>
  <c r="CP9" i="38"/>
  <c r="A10" i="38"/>
  <c r="B10" i="38"/>
  <c r="E10" i="38"/>
  <c r="F10" i="38"/>
  <c r="I10" i="38"/>
  <c r="J10" i="38"/>
  <c r="M10" i="38"/>
  <c r="N10" i="38"/>
  <c r="Q10" i="38"/>
  <c r="R10" i="38"/>
  <c r="U10" i="38"/>
  <c r="V10" i="38"/>
  <c r="Y10" i="38"/>
  <c r="Z10" i="38"/>
  <c r="AC10" i="38"/>
  <c r="AD10" i="38"/>
  <c r="AG10" i="38"/>
  <c r="AH10" i="38"/>
  <c r="AK10" i="38"/>
  <c r="AL10" i="38"/>
  <c r="AO10" i="38"/>
  <c r="AP10" i="38"/>
  <c r="AS10" i="38"/>
  <c r="AT10" i="38"/>
  <c r="AW10" i="38"/>
  <c r="AX10" i="38"/>
  <c r="BA10" i="38"/>
  <c r="BB10" i="38"/>
  <c r="BE10" i="38"/>
  <c r="BF10" i="38"/>
  <c r="BI10" i="38"/>
  <c r="BJ10" i="38"/>
  <c r="BM10" i="38"/>
  <c r="BN10" i="38"/>
  <c r="BQ10" i="38"/>
  <c r="BR10" i="38"/>
  <c r="BU10" i="38"/>
  <c r="BV10" i="38"/>
  <c r="BY10" i="38"/>
  <c r="BZ10" i="38"/>
  <c r="CC10" i="38"/>
  <c r="CD10" i="38"/>
  <c r="CG10" i="38"/>
  <c r="CH10" i="38"/>
  <c r="CK10" i="38"/>
  <c r="CL10" i="38"/>
  <c r="CO10" i="38"/>
  <c r="CP10" i="38"/>
  <c r="A11" i="38"/>
  <c r="B11" i="38"/>
  <c r="E11" i="38"/>
  <c r="F11" i="38"/>
  <c r="I11" i="38"/>
  <c r="J11" i="38"/>
  <c r="M11" i="38"/>
  <c r="N11" i="38"/>
  <c r="Q11" i="38"/>
  <c r="R11" i="38"/>
  <c r="U11" i="38"/>
  <c r="V11" i="38"/>
  <c r="Y11" i="38"/>
  <c r="Z11" i="38"/>
  <c r="AC11" i="38"/>
  <c r="AD11" i="38"/>
  <c r="AG11" i="38"/>
  <c r="AH11" i="38"/>
  <c r="AK11" i="38"/>
  <c r="AL11" i="38"/>
  <c r="AO11" i="38"/>
  <c r="AP11" i="38"/>
  <c r="AS11" i="38"/>
  <c r="AT11" i="38"/>
  <c r="AW11" i="38"/>
  <c r="AX11" i="38"/>
  <c r="BA11" i="38"/>
  <c r="BB11" i="38"/>
  <c r="BE11" i="38"/>
  <c r="BF11" i="38"/>
  <c r="BI11" i="38"/>
  <c r="BJ11" i="38"/>
  <c r="BM11" i="38"/>
  <c r="BN11" i="38"/>
  <c r="BQ11" i="38"/>
  <c r="BR11" i="38"/>
  <c r="BU11" i="38"/>
  <c r="BV11" i="38"/>
  <c r="BY11" i="38"/>
  <c r="BZ11" i="38"/>
  <c r="CC11" i="38"/>
  <c r="CD11" i="38"/>
  <c r="CG11" i="38"/>
  <c r="CH11" i="38"/>
  <c r="CK11" i="38"/>
  <c r="CL11" i="38"/>
  <c r="CO11" i="38"/>
  <c r="CP11" i="38"/>
  <c r="A12" i="38"/>
  <c r="B12" i="38"/>
  <c r="E12" i="38"/>
  <c r="F12" i="38"/>
  <c r="I12" i="38"/>
  <c r="J12" i="38"/>
  <c r="M12" i="38"/>
  <c r="N12" i="38"/>
  <c r="Q12" i="38"/>
  <c r="R12" i="38"/>
  <c r="U12" i="38"/>
  <c r="V12" i="38"/>
  <c r="Y12" i="38"/>
  <c r="Z12" i="38"/>
  <c r="AC12" i="38"/>
  <c r="AD12" i="38"/>
  <c r="AG12" i="38"/>
  <c r="AH12" i="38"/>
  <c r="AK12" i="38"/>
  <c r="AL12" i="38"/>
  <c r="AO12" i="38"/>
  <c r="AP12" i="38"/>
  <c r="AS12" i="38"/>
  <c r="AT12" i="38"/>
  <c r="AW12" i="38"/>
  <c r="AX12" i="38"/>
  <c r="BA12" i="38"/>
  <c r="BB12" i="38"/>
  <c r="BE12" i="38"/>
  <c r="BF12" i="38"/>
  <c r="BI12" i="38"/>
  <c r="BJ12" i="38"/>
  <c r="BM12" i="38"/>
  <c r="BN12" i="38"/>
  <c r="BQ12" i="38"/>
  <c r="BR12" i="38"/>
  <c r="BU12" i="38"/>
  <c r="BV12" i="38"/>
  <c r="BY12" i="38"/>
  <c r="BZ12" i="38"/>
  <c r="CC12" i="38"/>
  <c r="CD12" i="38"/>
  <c r="CG12" i="38"/>
  <c r="CH12" i="38"/>
  <c r="CK12" i="38"/>
  <c r="CL12" i="38"/>
  <c r="CO12" i="38"/>
  <c r="CP12" i="38"/>
  <c r="A13" i="38"/>
  <c r="B13" i="38"/>
  <c r="E13" i="38"/>
  <c r="F13" i="38"/>
  <c r="I13" i="38"/>
  <c r="J13" i="38"/>
  <c r="M13" i="38"/>
  <c r="N13" i="38"/>
  <c r="Q13" i="38"/>
  <c r="R13" i="38"/>
  <c r="U13" i="38"/>
  <c r="V13" i="38"/>
  <c r="Y13" i="38"/>
  <c r="Z13" i="38"/>
  <c r="AC13" i="38"/>
  <c r="AD13" i="38"/>
  <c r="AG13" i="38"/>
  <c r="AH13" i="38"/>
  <c r="AK13" i="38"/>
  <c r="AL13" i="38"/>
  <c r="AO13" i="38"/>
  <c r="AP13" i="38"/>
  <c r="AS13" i="38"/>
  <c r="AT13" i="38"/>
  <c r="AW13" i="38"/>
  <c r="AX13" i="38"/>
  <c r="BA13" i="38"/>
  <c r="BB13" i="38"/>
  <c r="BE13" i="38"/>
  <c r="BF13" i="38"/>
  <c r="BI13" i="38"/>
  <c r="BJ13" i="38"/>
  <c r="BM13" i="38"/>
  <c r="BN13" i="38"/>
  <c r="BQ13" i="38"/>
  <c r="BR13" i="38"/>
  <c r="BU13" i="38"/>
  <c r="BV13" i="38"/>
  <c r="BY13" i="38"/>
  <c r="BZ13" i="38"/>
  <c r="CC13" i="38"/>
  <c r="CD13" i="38"/>
  <c r="CG13" i="38"/>
  <c r="CH13" i="38"/>
  <c r="CK13" i="38"/>
  <c r="CL13" i="38"/>
  <c r="CO13" i="38"/>
  <c r="CP13" i="38"/>
  <c r="A14" i="38"/>
  <c r="B14" i="38"/>
  <c r="E14" i="38"/>
  <c r="F14" i="38"/>
  <c r="I14" i="38"/>
  <c r="J14" i="38"/>
  <c r="M14" i="38"/>
  <c r="N14" i="38"/>
  <c r="Q14" i="38"/>
  <c r="R14" i="38"/>
  <c r="U14" i="38"/>
  <c r="V14" i="38"/>
  <c r="Y14" i="38"/>
  <c r="Z14" i="38"/>
  <c r="AC14" i="38"/>
  <c r="AD14" i="38"/>
  <c r="AG14" i="38"/>
  <c r="AH14" i="38"/>
  <c r="AK14" i="38"/>
  <c r="AL14" i="38"/>
  <c r="AO14" i="38"/>
  <c r="AP14" i="38"/>
  <c r="AS14" i="38"/>
  <c r="AT14" i="38"/>
  <c r="AW14" i="38"/>
  <c r="AX14" i="38"/>
  <c r="BA14" i="38"/>
  <c r="BB14" i="38"/>
  <c r="BE14" i="38"/>
  <c r="BF14" i="38"/>
  <c r="BI14" i="38"/>
  <c r="BJ14" i="38"/>
  <c r="BM14" i="38"/>
  <c r="BN14" i="38"/>
  <c r="BQ14" i="38"/>
  <c r="BR14" i="38"/>
  <c r="BU14" i="38"/>
  <c r="BV14" i="38"/>
  <c r="BY14" i="38"/>
  <c r="BZ14" i="38"/>
  <c r="CC14" i="38"/>
  <c r="CD14" i="38"/>
  <c r="CG14" i="38"/>
  <c r="CH14" i="38"/>
  <c r="CK14" i="38"/>
  <c r="CL14" i="38"/>
  <c r="CO14" i="38"/>
  <c r="CP14" i="38"/>
  <c r="A15" i="38"/>
  <c r="B15" i="38"/>
  <c r="E15" i="38"/>
  <c r="F15" i="38"/>
  <c r="I15" i="38"/>
  <c r="J15" i="38"/>
  <c r="M15" i="38"/>
  <c r="N15" i="38"/>
  <c r="Q15" i="38"/>
  <c r="R15" i="38"/>
  <c r="U15" i="38"/>
  <c r="V15" i="38"/>
  <c r="Y15" i="38"/>
  <c r="Z15" i="38"/>
  <c r="AC15" i="38"/>
  <c r="AD15" i="38"/>
  <c r="AG15" i="38"/>
  <c r="AH15" i="38"/>
  <c r="AK15" i="38"/>
  <c r="AL15" i="38"/>
  <c r="AO15" i="38"/>
  <c r="AP15" i="38"/>
  <c r="AS15" i="38"/>
  <c r="AT15" i="38"/>
  <c r="AW15" i="38"/>
  <c r="AX15" i="38"/>
  <c r="BA15" i="38"/>
  <c r="BB15" i="38"/>
  <c r="BE15" i="38"/>
  <c r="BF15" i="38"/>
  <c r="BI15" i="38"/>
  <c r="BJ15" i="38"/>
  <c r="BM15" i="38"/>
  <c r="BN15" i="38"/>
  <c r="BQ15" i="38"/>
  <c r="BR15" i="38"/>
  <c r="BU15" i="38"/>
  <c r="BV15" i="38"/>
  <c r="BY15" i="38"/>
  <c r="BZ15" i="38"/>
  <c r="CC15" i="38"/>
  <c r="CD15" i="38"/>
  <c r="CG15" i="38"/>
  <c r="CH15" i="38"/>
  <c r="CK15" i="38"/>
  <c r="CL15" i="38"/>
  <c r="CO15" i="38"/>
  <c r="CP15" i="38"/>
  <c r="A16" i="38"/>
  <c r="B16" i="38"/>
  <c r="E16" i="38"/>
  <c r="F16" i="38"/>
  <c r="I16" i="38"/>
  <c r="J16" i="38"/>
  <c r="M16" i="38"/>
  <c r="N16" i="38"/>
  <c r="Q16" i="38"/>
  <c r="R16" i="38"/>
  <c r="U16" i="38"/>
  <c r="V16" i="38"/>
  <c r="Y16" i="38"/>
  <c r="Z16" i="38"/>
  <c r="AC16" i="38"/>
  <c r="AD16" i="38"/>
  <c r="AG16" i="38"/>
  <c r="AH16" i="38"/>
  <c r="AK16" i="38"/>
  <c r="AL16" i="38"/>
  <c r="AO16" i="38"/>
  <c r="AP16" i="38"/>
  <c r="AS16" i="38"/>
  <c r="AT16" i="38"/>
  <c r="AW16" i="38"/>
  <c r="AX16" i="38"/>
  <c r="BA16" i="38"/>
  <c r="BB16" i="38"/>
  <c r="BE16" i="38"/>
  <c r="BF16" i="38"/>
  <c r="BI16" i="38"/>
  <c r="BJ16" i="38"/>
  <c r="BM16" i="38"/>
  <c r="BN16" i="38"/>
  <c r="BQ16" i="38"/>
  <c r="BR16" i="38"/>
  <c r="BU16" i="38"/>
  <c r="BV16" i="38"/>
  <c r="BY16" i="38"/>
  <c r="BZ16" i="38"/>
  <c r="CC16" i="38"/>
  <c r="CD16" i="38"/>
  <c r="CG16" i="38"/>
  <c r="CH16" i="38"/>
  <c r="CK16" i="38"/>
  <c r="CL16" i="38"/>
  <c r="CO16" i="38"/>
  <c r="CP16" i="38"/>
  <c r="A17" i="38"/>
  <c r="B17" i="38"/>
  <c r="E17" i="38"/>
  <c r="F17" i="38"/>
  <c r="I17" i="38"/>
  <c r="J17" i="38"/>
  <c r="M17" i="38"/>
  <c r="N17" i="38"/>
  <c r="Q17" i="38"/>
  <c r="R17" i="38"/>
  <c r="U17" i="38"/>
  <c r="V17" i="38"/>
  <c r="Y17" i="38"/>
  <c r="Z17" i="38"/>
  <c r="AC17" i="38"/>
  <c r="AD17" i="38"/>
  <c r="AG17" i="38"/>
  <c r="AH17" i="38"/>
  <c r="AK17" i="38"/>
  <c r="AL17" i="38"/>
  <c r="AO17" i="38"/>
  <c r="AP17" i="38"/>
  <c r="AS17" i="38"/>
  <c r="AT17" i="38"/>
  <c r="AW17" i="38"/>
  <c r="AX17" i="38"/>
  <c r="BA17" i="38"/>
  <c r="BB17" i="38"/>
  <c r="BE17" i="38"/>
  <c r="BF17" i="38"/>
  <c r="BI17" i="38"/>
  <c r="BJ17" i="38"/>
  <c r="BM17" i="38"/>
  <c r="BN17" i="38"/>
  <c r="BQ17" i="38"/>
  <c r="BR17" i="38"/>
  <c r="BU17" i="38"/>
  <c r="BV17" i="38"/>
  <c r="BY17" i="38"/>
  <c r="BZ17" i="38"/>
  <c r="CC17" i="38"/>
  <c r="CD17" i="38"/>
  <c r="CG17" i="38"/>
  <c r="CH17" i="38"/>
  <c r="CK17" i="38"/>
  <c r="CL17" i="38"/>
  <c r="CO17" i="38"/>
  <c r="CP17" i="38"/>
  <c r="A18" i="38"/>
  <c r="B18" i="38"/>
  <c r="E18" i="38"/>
  <c r="F18" i="38"/>
  <c r="I18" i="38"/>
  <c r="J18" i="38"/>
  <c r="M18" i="38"/>
  <c r="N18" i="38"/>
  <c r="Q18" i="38"/>
  <c r="R18" i="38"/>
  <c r="U18" i="38"/>
  <c r="V18" i="38"/>
  <c r="Y18" i="38"/>
  <c r="Z18" i="38"/>
  <c r="AC18" i="38"/>
  <c r="AD18" i="38"/>
  <c r="AG18" i="38"/>
  <c r="AH18" i="38"/>
  <c r="AK18" i="38"/>
  <c r="AL18" i="38"/>
  <c r="AO18" i="38"/>
  <c r="AP18" i="38"/>
  <c r="AS18" i="38"/>
  <c r="AT18" i="38"/>
  <c r="AW18" i="38"/>
  <c r="AX18" i="38"/>
  <c r="BA18" i="38"/>
  <c r="BB18" i="38"/>
  <c r="BE18" i="38"/>
  <c r="BF18" i="38"/>
  <c r="BI18" i="38"/>
  <c r="BJ18" i="38"/>
  <c r="BM18" i="38"/>
  <c r="BN18" i="38"/>
  <c r="BQ18" i="38"/>
  <c r="BR18" i="38"/>
  <c r="BU18" i="38"/>
  <c r="BV18" i="38"/>
  <c r="BY18" i="38"/>
  <c r="BZ18" i="38"/>
  <c r="CC18" i="38"/>
  <c r="CD18" i="38"/>
  <c r="CG18" i="38"/>
  <c r="CH18" i="38"/>
  <c r="CK18" i="38"/>
  <c r="CL18" i="38"/>
  <c r="CO18" i="38"/>
  <c r="CP18" i="38"/>
  <c r="A19" i="38"/>
  <c r="B19" i="38"/>
  <c r="E19" i="38"/>
  <c r="F19" i="38"/>
  <c r="I19" i="38"/>
  <c r="J19" i="38"/>
  <c r="M19" i="38"/>
  <c r="N19" i="38"/>
  <c r="Q19" i="38"/>
  <c r="R19" i="38"/>
  <c r="U19" i="38"/>
  <c r="V19" i="38"/>
  <c r="Y19" i="38"/>
  <c r="Z19" i="38"/>
  <c r="AC19" i="38"/>
  <c r="AD19" i="38"/>
  <c r="AG19" i="38"/>
  <c r="AH19" i="38"/>
  <c r="AK19" i="38"/>
  <c r="AL19" i="38"/>
  <c r="AO19" i="38"/>
  <c r="AP19" i="38"/>
  <c r="AS19" i="38"/>
  <c r="AT19" i="38"/>
  <c r="AW19" i="38"/>
  <c r="AX19" i="38"/>
  <c r="BA19" i="38"/>
  <c r="BB19" i="38"/>
  <c r="BE19" i="38"/>
  <c r="BF19" i="38"/>
  <c r="BI19" i="38"/>
  <c r="BJ19" i="38"/>
  <c r="BM19" i="38"/>
  <c r="BN19" i="38"/>
  <c r="BQ19" i="38"/>
  <c r="BR19" i="38"/>
  <c r="BU19" i="38"/>
  <c r="BV19" i="38"/>
  <c r="BY19" i="38"/>
  <c r="BZ19" i="38"/>
  <c r="CC19" i="38"/>
  <c r="CD19" i="38"/>
  <c r="CG19" i="38"/>
  <c r="CH19" i="38"/>
  <c r="CK19" i="38"/>
  <c r="CL19" i="38"/>
  <c r="CO19" i="38"/>
  <c r="CP19" i="38"/>
  <c r="A20" i="38"/>
  <c r="B20" i="38"/>
  <c r="E20" i="38"/>
  <c r="F20" i="38"/>
  <c r="I20" i="38"/>
  <c r="J20" i="38"/>
  <c r="M20" i="38"/>
  <c r="N20" i="38"/>
  <c r="Q20" i="38"/>
  <c r="R20" i="38"/>
  <c r="U20" i="38"/>
  <c r="V20" i="38"/>
  <c r="Y20" i="38"/>
  <c r="Z20" i="38"/>
  <c r="AC20" i="38"/>
  <c r="AD20" i="38"/>
  <c r="AG20" i="38"/>
  <c r="AH20" i="38"/>
  <c r="AK20" i="38"/>
  <c r="AL20" i="38"/>
  <c r="AO20" i="38"/>
  <c r="AP20" i="38"/>
  <c r="AS20" i="38"/>
  <c r="AT20" i="38"/>
  <c r="AW20" i="38"/>
  <c r="AX20" i="38"/>
  <c r="BA20" i="38"/>
  <c r="BB20" i="38"/>
  <c r="BE20" i="38"/>
  <c r="BF20" i="38"/>
  <c r="BI20" i="38"/>
  <c r="BJ20" i="38"/>
  <c r="BM20" i="38"/>
  <c r="BN20" i="38"/>
  <c r="BQ20" i="38"/>
  <c r="BR20" i="38"/>
  <c r="BU20" i="38"/>
  <c r="BV20" i="38"/>
  <c r="BY20" i="38"/>
  <c r="BZ20" i="38"/>
  <c r="CC20" i="38"/>
  <c r="CD20" i="38"/>
  <c r="CG20" i="38"/>
  <c r="CH20" i="38"/>
  <c r="CK20" i="38"/>
  <c r="CL20" i="38"/>
  <c r="CO20" i="38"/>
  <c r="CP20" i="38"/>
  <c r="A21" i="38"/>
  <c r="B21" i="38"/>
  <c r="E21" i="38"/>
  <c r="F21" i="38"/>
  <c r="I21" i="38"/>
  <c r="J21" i="38"/>
  <c r="M21" i="38"/>
  <c r="N21" i="38"/>
  <c r="Q21" i="38"/>
  <c r="R21" i="38"/>
  <c r="U21" i="38"/>
  <c r="V21" i="38"/>
  <c r="Y21" i="38"/>
  <c r="Z21" i="38"/>
  <c r="AC21" i="38"/>
  <c r="AD21" i="38"/>
  <c r="AG21" i="38"/>
  <c r="AH21" i="38"/>
  <c r="AK21" i="38"/>
  <c r="AL21" i="38"/>
  <c r="AO21" i="38"/>
  <c r="AP21" i="38"/>
  <c r="AS21" i="38"/>
  <c r="AT21" i="38"/>
  <c r="AW21" i="38"/>
  <c r="AX21" i="38"/>
  <c r="BA21" i="38"/>
  <c r="BB21" i="38"/>
  <c r="BE21" i="38"/>
  <c r="BF21" i="38"/>
  <c r="BI21" i="38"/>
  <c r="BJ21" i="38"/>
  <c r="BM21" i="38"/>
  <c r="BN21" i="38"/>
  <c r="BQ21" i="38"/>
  <c r="BR21" i="38"/>
  <c r="BU21" i="38"/>
  <c r="BV21" i="38"/>
  <c r="BY21" i="38"/>
  <c r="BZ21" i="38"/>
  <c r="CC21" i="38"/>
  <c r="CD21" i="38"/>
  <c r="CG21" i="38"/>
  <c r="CH21" i="38"/>
  <c r="CK21" i="38"/>
  <c r="CL21" i="38"/>
  <c r="CO21" i="38"/>
  <c r="CP21" i="38"/>
  <c r="A22" i="38"/>
  <c r="B22" i="38"/>
  <c r="E22" i="38"/>
  <c r="F22" i="38"/>
  <c r="I22" i="38"/>
  <c r="J22" i="38"/>
  <c r="M22" i="38"/>
  <c r="N22" i="38"/>
  <c r="Q22" i="38"/>
  <c r="R22" i="38"/>
  <c r="U22" i="38"/>
  <c r="V22" i="38"/>
  <c r="Y22" i="38"/>
  <c r="Z22" i="38"/>
  <c r="AC22" i="38"/>
  <c r="AD22" i="38"/>
  <c r="AG22" i="38"/>
  <c r="AH22" i="38"/>
  <c r="AK22" i="38"/>
  <c r="AL22" i="38"/>
  <c r="AO22" i="38"/>
  <c r="AP22" i="38"/>
  <c r="AS22" i="38"/>
  <c r="AT22" i="38"/>
  <c r="AW22" i="38"/>
  <c r="AX22" i="38"/>
  <c r="BA22" i="38"/>
  <c r="BB22" i="38"/>
  <c r="BE22" i="38"/>
  <c r="BF22" i="38"/>
  <c r="BI22" i="38"/>
  <c r="BJ22" i="38"/>
  <c r="BM22" i="38"/>
  <c r="BN22" i="38"/>
  <c r="BQ22" i="38"/>
  <c r="BR22" i="38"/>
  <c r="BU22" i="38"/>
  <c r="BV22" i="38"/>
  <c r="BY22" i="38"/>
  <c r="BZ22" i="38"/>
  <c r="CC22" i="38"/>
  <c r="CD22" i="38"/>
  <c r="CG22" i="38"/>
  <c r="CH22" i="38"/>
  <c r="CK22" i="38"/>
  <c r="CL22" i="38"/>
  <c r="CO22" i="38"/>
  <c r="CP22" i="38"/>
  <c r="A23" i="38"/>
  <c r="B23" i="38"/>
  <c r="E23" i="38"/>
  <c r="F23" i="38"/>
  <c r="I23" i="38"/>
  <c r="J23" i="38"/>
  <c r="M23" i="38"/>
  <c r="N23" i="38"/>
  <c r="Q23" i="38"/>
  <c r="R23" i="38"/>
  <c r="U23" i="38"/>
  <c r="V23" i="38"/>
  <c r="Y23" i="38"/>
  <c r="Z23" i="38"/>
  <c r="AC23" i="38"/>
  <c r="AD23" i="38"/>
  <c r="AG23" i="38"/>
  <c r="AH23" i="38"/>
  <c r="AK23" i="38"/>
  <c r="AL23" i="38"/>
  <c r="AO23" i="38"/>
  <c r="AP23" i="38"/>
  <c r="AS23" i="38"/>
  <c r="AT23" i="38"/>
  <c r="AW23" i="38"/>
  <c r="AX23" i="38"/>
  <c r="BA23" i="38"/>
  <c r="BB23" i="38"/>
  <c r="BE23" i="38"/>
  <c r="BF23" i="38"/>
  <c r="BI23" i="38"/>
  <c r="BJ23" i="38"/>
  <c r="BM23" i="38"/>
  <c r="BN23" i="38"/>
  <c r="BQ23" i="38"/>
  <c r="BR23" i="38"/>
  <c r="BU23" i="38"/>
  <c r="BV23" i="38"/>
  <c r="BY23" i="38"/>
  <c r="BZ23" i="38"/>
  <c r="CC23" i="38"/>
  <c r="CD23" i="38"/>
  <c r="CG23" i="38"/>
  <c r="CH23" i="38"/>
  <c r="CK23" i="38"/>
  <c r="CL23" i="38"/>
  <c r="CO23" i="38"/>
  <c r="CP23" i="38"/>
  <c r="A24" i="38"/>
  <c r="B24" i="38"/>
  <c r="E24" i="38"/>
  <c r="F24" i="38"/>
  <c r="I24" i="38"/>
  <c r="J24" i="38"/>
  <c r="M24" i="38"/>
  <c r="N24" i="38"/>
  <c r="Q24" i="38"/>
  <c r="R24" i="38"/>
  <c r="U24" i="38"/>
  <c r="V24" i="38"/>
  <c r="Y24" i="38"/>
  <c r="Z24" i="38"/>
  <c r="AC24" i="38"/>
  <c r="AD24" i="38"/>
  <c r="AG24" i="38"/>
  <c r="AH24" i="38"/>
  <c r="AK24" i="38"/>
  <c r="AL24" i="38"/>
  <c r="AO24" i="38"/>
  <c r="AP24" i="38"/>
  <c r="AS24" i="38"/>
  <c r="AT24" i="38"/>
  <c r="AW24" i="38"/>
  <c r="AX24" i="38"/>
  <c r="BA24" i="38"/>
  <c r="BB24" i="38"/>
  <c r="BE24" i="38"/>
  <c r="BF24" i="38"/>
  <c r="BI24" i="38"/>
  <c r="BJ24" i="38"/>
  <c r="BM24" i="38"/>
  <c r="BN24" i="38"/>
  <c r="BQ24" i="38"/>
  <c r="BR24" i="38"/>
  <c r="BU24" i="38"/>
  <c r="BV24" i="38"/>
  <c r="BY24" i="38"/>
  <c r="BZ24" i="38"/>
  <c r="CC24" i="38"/>
  <c r="CD24" i="38"/>
  <c r="CG24" i="38"/>
  <c r="CH24" i="38"/>
  <c r="CK24" i="38"/>
  <c r="CL24" i="38"/>
  <c r="CO24" i="38"/>
  <c r="CP24" i="38"/>
  <c r="A25" i="38"/>
  <c r="B25" i="38"/>
  <c r="E25" i="38"/>
  <c r="F25" i="38"/>
  <c r="I25" i="38"/>
  <c r="J25" i="38"/>
  <c r="M25" i="38"/>
  <c r="N25" i="38"/>
  <c r="Q25" i="38"/>
  <c r="R25" i="38"/>
  <c r="U25" i="38"/>
  <c r="V25" i="38"/>
  <c r="Y25" i="38"/>
  <c r="Z25" i="38"/>
  <c r="AC25" i="38"/>
  <c r="AD25" i="38"/>
  <c r="AG25" i="38"/>
  <c r="AH25" i="38"/>
  <c r="AK25" i="38"/>
  <c r="AL25" i="38"/>
  <c r="AO25" i="38"/>
  <c r="AP25" i="38"/>
  <c r="AS25" i="38"/>
  <c r="AT25" i="38"/>
  <c r="AW25" i="38"/>
  <c r="AX25" i="38"/>
  <c r="BA25" i="38"/>
  <c r="BB25" i="38"/>
  <c r="BE25" i="38"/>
  <c r="BF25" i="38"/>
  <c r="BI25" i="38"/>
  <c r="BJ25" i="38"/>
  <c r="BM25" i="38"/>
  <c r="BN25" i="38"/>
  <c r="BQ25" i="38"/>
  <c r="BR25" i="38"/>
  <c r="BU25" i="38"/>
  <c r="BV25" i="38"/>
  <c r="BY25" i="38"/>
  <c r="BZ25" i="38"/>
  <c r="CC25" i="38"/>
  <c r="CD25" i="38"/>
  <c r="CG25" i="38"/>
  <c r="CH25" i="38"/>
  <c r="CK25" i="38"/>
  <c r="CL25" i="38"/>
  <c r="CO25" i="38"/>
  <c r="CP25" i="38"/>
  <c r="J16" i="27"/>
  <c r="C121" i="10"/>
  <c r="B3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B4" i="22"/>
  <c r="C4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B5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B6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B8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B9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B10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B11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B12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B13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B14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B15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B16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B17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B18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B19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B20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B21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B23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B26" i="22"/>
  <c r="C120" i="10" l="1"/>
  <c r="C119" i="10" l="1"/>
  <c r="C25" i="38" s="1"/>
  <c r="C3" i="41" l="1"/>
  <c r="B121" i="12" s="1"/>
  <c r="C4" i="41"/>
  <c r="B121" i="1" s="1"/>
  <c r="C5" i="41"/>
  <c r="B121" i="13" s="1"/>
  <c r="C6" i="41"/>
  <c r="B121" i="6" s="1"/>
  <c r="C7" i="41"/>
  <c r="B121" i="9" s="1"/>
  <c r="C8" i="41"/>
  <c r="B121" i="3" s="1"/>
  <c r="C9" i="41"/>
  <c r="B121" i="2" s="1"/>
  <c r="C10" i="41"/>
  <c r="B121" i="14" s="1"/>
  <c r="C11" i="41"/>
  <c r="B121" i="15" s="1"/>
  <c r="C12" i="41"/>
  <c r="B121" i="21" s="1"/>
  <c r="C13" i="41"/>
  <c r="B121" i="23" s="1"/>
  <c r="C14" i="41"/>
  <c r="B121" i="18" s="1"/>
  <c r="C15" i="41"/>
  <c r="B121" i="17" s="1"/>
  <c r="C16" i="41"/>
  <c r="B121" i="20" s="1"/>
  <c r="C17" i="41"/>
  <c r="B121" i="19" s="1"/>
  <c r="C18" i="41"/>
  <c r="B121" i="16" s="1"/>
  <c r="C19" i="41"/>
  <c r="B121" i="25" s="1"/>
  <c r="C20" i="41"/>
  <c r="B121" i="37" s="1"/>
  <c r="C21" i="41"/>
  <c r="B121" i="26" s="1"/>
  <c r="J18" i="27" s="1"/>
  <c r="C22" i="41"/>
  <c r="B121" i="31" s="1"/>
  <c r="C23" i="41"/>
  <c r="B121" i="33" s="1"/>
  <c r="C24" i="41"/>
  <c r="B121" i="32" s="1"/>
  <c r="C2" i="41"/>
  <c r="B121" i="11" s="1"/>
  <c r="C121" i="11" l="1"/>
  <c r="C26" i="22"/>
  <c r="J8" i="27"/>
  <c r="C121" i="33"/>
  <c r="X26" i="22"/>
  <c r="J6" i="27"/>
  <c r="C121" i="31"/>
  <c r="J14" i="27"/>
  <c r="W26" i="22"/>
  <c r="C121" i="16"/>
  <c r="J20" i="27"/>
  <c r="Q26" i="22"/>
  <c r="C121" i="18"/>
  <c r="J26" i="27"/>
  <c r="L26" i="22"/>
  <c r="C121" i="14"/>
  <c r="J23" i="27"/>
  <c r="U26" i="22"/>
  <c r="C121" i="6"/>
  <c r="G26" i="22"/>
  <c r="J22" i="27"/>
  <c r="C121" i="19"/>
  <c r="J10" i="27"/>
  <c r="M26" i="22"/>
  <c r="C121" i="23"/>
  <c r="J15" i="27"/>
  <c r="F26" i="22"/>
  <c r="C121" i="2"/>
  <c r="J9" i="27"/>
  <c r="K26" i="22"/>
  <c r="C121" i="13"/>
  <c r="E26" i="22"/>
  <c r="J21" i="27"/>
  <c r="C121" i="37"/>
  <c r="R26" i="22"/>
  <c r="J28" i="27"/>
  <c r="C121" i="20"/>
  <c r="N26" i="22"/>
  <c r="J17" i="27"/>
  <c r="C121" i="21"/>
  <c r="J19" i="27"/>
  <c r="D26" i="22"/>
  <c r="C121" i="3"/>
  <c r="J26" i="22"/>
  <c r="J25" i="27"/>
  <c r="C121" i="1"/>
  <c r="J11" i="27"/>
  <c r="I26" i="22"/>
  <c r="C121" i="32"/>
  <c r="J13" i="27"/>
  <c r="Y26" i="22"/>
  <c r="C121" i="25"/>
  <c r="S26" i="22"/>
  <c r="J24" i="27"/>
  <c r="C121" i="17"/>
  <c r="O26" i="22"/>
  <c r="J12" i="27"/>
  <c r="C121" i="15"/>
  <c r="J5" i="27"/>
  <c r="V26" i="22"/>
  <c r="C121" i="9"/>
  <c r="J27" i="27"/>
  <c r="H26" i="22"/>
  <c r="C121" i="12"/>
  <c r="J7" i="27"/>
  <c r="P26" i="22"/>
  <c r="C121" i="26"/>
  <c r="T26" i="22"/>
  <c r="C119" i="33"/>
  <c r="CM25" i="38" s="1"/>
  <c r="C119" i="31"/>
  <c r="CI25" i="38" s="1"/>
  <c r="C119" i="18"/>
  <c r="BC25" i="38" s="1"/>
  <c r="C119" i="6"/>
  <c r="W25" i="38" s="1"/>
  <c r="C119" i="26"/>
  <c r="CE25" i="38" s="1"/>
  <c r="C119" i="19"/>
  <c r="BO25" i="38" s="1"/>
  <c r="C119" i="23"/>
  <c r="AY25" i="38" s="1"/>
  <c r="C119" i="2"/>
  <c r="AI25" i="38" s="1"/>
  <c r="C119" i="13"/>
  <c r="O25" i="38" s="1"/>
  <c r="C119" i="11"/>
  <c r="G25" i="38" s="1"/>
  <c r="C119" i="32"/>
  <c r="CQ25" i="38" s="1"/>
  <c r="C119" i="37"/>
  <c r="CA25" i="38" s="1"/>
  <c r="C119" i="20"/>
  <c r="BK25" i="38" s="1"/>
  <c r="C119" i="21"/>
  <c r="AU25" i="38" s="1"/>
  <c r="C119" i="3"/>
  <c r="AE25" i="38" s="1"/>
  <c r="C119" i="1"/>
  <c r="S25" i="38" s="1"/>
  <c r="C119" i="25"/>
  <c r="BW25" i="38" s="1"/>
  <c r="C119" i="17"/>
  <c r="BG25" i="38" s="1"/>
  <c r="C119" i="15"/>
  <c r="AQ25" i="38" s="1"/>
  <c r="C119" i="9"/>
  <c r="AA25" i="38" s="1"/>
  <c r="C119" i="12"/>
  <c r="K25" i="38" s="1"/>
  <c r="C119" i="16"/>
  <c r="BS25" i="38" s="1"/>
  <c r="C119" i="14"/>
  <c r="AM25" i="38" s="1"/>
  <c r="H6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1" i="36"/>
  <c r="H20" i="36"/>
  <c r="H22" i="36"/>
  <c r="H23" i="36"/>
  <c r="H24" i="36"/>
  <c r="H25" i="36"/>
  <c r="H27" i="36"/>
  <c r="H26" i="36"/>
  <c r="H28" i="36"/>
  <c r="H7" i="36"/>
  <c r="C118" i="19"/>
  <c r="BO24" i="38" s="1"/>
  <c r="C118" i="18"/>
  <c r="BC24" i="38" s="1"/>
  <c r="C118" i="12"/>
  <c r="K24" i="38" s="1"/>
  <c r="C118" i="10"/>
  <c r="C24" i="38" s="1"/>
  <c r="C118" i="15"/>
  <c r="AQ24" i="38" s="1"/>
  <c r="C118" i="33"/>
  <c r="CM24" i="38" s="1"/>
  <c r="C118" i="16"/>
  <c r="BS24" i="38" s="1"/>
  <c r="C118" i="25"/>
  <c r="BW24" i="38" s="1"/>
  <c r="C118" i="1"/>
  <c r="S24" i="38" s="1"/>
  <c r="C118" i="14"/>
  <c r="AM24" i="38" s="1"/>
  <c r="C118" i="3"/>
  <c r="AE24" i="38" s="1"/>
  <c r="C118" i="2"/>
  <c r="AI24" i="38" s="1"/>
  <c r="C118" i="31"/>
  <c r="CI24" i="38" s="1"/>
  <c r="C118" i="32"/>
  <c r="CQ24" i="38" s="1"/>
  <c r="C118" i="20"/>
  <c r="BK24" i="38" s="1"/>
  <c r="C118" i="17"/>
  <c r="BG24" i="38" s="1"/>
  <c r="C118" i="37"/>
  <c r="CA24" i="38" s="1"/>
  <c r="C118" i="26"/>
  <c r="CE24" i="38" s="1"/>
  <c r="C118" i="11"/>
  <c r="G24" i="38" s="1"/>
  <c r="C118" i="21"/>
  <c r="AU24" i="38" s="1"/>
  <c r="C118" i="23"/>
  <c r="AY24" i="38" s="1"/>
  <c r="C118" i="9"/>
  <c r="AA24" i="38" s="1"/>
  <c r="C118" i="6"/>
  <c r="W24" i="38" s="1"/>
  <c r="C118" i="13"/>
  <c r="O24" i="38" s="1"/>
  <c r="G26" i="36"/>
  <c r="G25" i="36"/>
  <c r="G15" i="36"/>
  <c r="G6" i="36"/>
  <c r="C117" i="18"/>
  <c r="BC23" i="38" s="1"/>
  <c r="C116" i="12"/>
  <c r="K22" i="38" s="1"/>
  <c r="C117" i="12"/>
  <c r="K23" i="38" s="1"/>
  <c r="C117" i="19"/>
  <c r="BO23" i="38" s="1"/>
  <c r="K16" i="27"/>
  <c r="K18" i="27"/>
  <c r="K6" i="27"/>
  <c r="K11" i="27"/>
  <c r="K8" i="27"/>
  <c r="K5" i="27"/>
  <c r="K25" i="27"/>
  <c r="K9" i="27"/>
  <c r="K28" i="27"/>
  <c r="K22" i="27"/>
  <c r="K21" i="27"/>
  <c r="K7" i="27"/>
  <c r="K10" i="27"/>
  <c r="K12" i="27"/>
  <c r="K23" i="27"/>
  <c r="K13" i="27"/>
  <c r="K14" i="27"/>
  <c r="K15" i="27"/>
  <c r="K27" i="27"/>
  <c r="K24" i="27"/>
  <c r="K19" i="27"/>
  <c r="K20" i="27"/>
  <c r="K17" i="27"/>
  <c r="K26" i="27"/>
  <c r="C117" i="15"/>
  <c r="AQ23" i="38" s="1"/>
  <c r="C116" i="10"/>
  <c r="C22" i="38" s="1"/>
  <c r="C117" i="10"/>
  <c r="C23" i="38" s="1"/>
  <c r="C117" i="25"/>
  <c r="BW23" i="38" s="1"/>
  <c r="C117" i="26"/>
  <c r="CE23" i="38" s="1"/>
  <c r="C117" i="37"/>
  <c r="CA23" i="38" s="1"/>
  <c r="C117" i="20"/>
  <c r="BK23" i="38" s="1"/>
  <c r="C117" i="17"/>
  <c r="BG23" i="38" s="1"/>
  <c r="C117" i="31"/>
  <c r="CI23" i="38" s="1"/>
  <c r="C117" i="32"/>
  <c r="CQ23" i="38" s="1"/>
  <c r="C117" i="33"/>
  <c r="CM23" i="38" s="1"/>
  <c r="C117" i="2"/>
  <c r="AI23" i="38" s="1"/>
  <c r="C117" i="3"/>
  <c r="AE23" i="38" s="1"/>
  <c r="C117" i="14"/>
  <c r="AM23" i="38" s="1"/>
  <c r="C117" i="1"/>
  <c r="S23" i="38" s="1"/>
  <c r="C117" i="16"/>
  <c r="BS23" i="38" s="1"/>
  <c r="C117" i="11"/>
  <c r="G23" i="38" s="1"/>
  <c r="C117" i="13"/>
  <c r="O23" i="38" s="1"/>
  <c r="C117" i="9"/>
  <c r="AA23" i="38" s="1"/>
  <c r="C117" i="6"/>
  <c r="W23" i="38" s="1"/>
  <c r="C117" i="23"/>
  <c r="AY23" i="38" s="1"/>
  <c r="C117" i="21"/>
  <c r="AU23" i="38" s="1"/>
  <c r="L8" i="36"/>
  <c r="M8" i="36"/>
  <c r="N8" i="36"/>
  <c r="C116" i="11"/>
  <c r="G22" i="38" s="1"/>
  <c r="C116" i="19"/>
  <c r="BO22" i="38" s="1"/>
  <c r="C116" i="18"/>
  <c r="BC22" i="38" s="1"/>
  <c r="N7" i="36"/>
  <c r="N23" i="36"/>
  <c r="M23" i="36"/>
  <c r="N6" i="36"/>
  <c r="N18" i="36"/>
  <c r="M18" i="36"/>
  <c r="N14" i="36"/>
  <c r="N15" i="36"/>
  <c r="N28" i="36"/>
  <c r="N24" i="36"/>
  <c r="N11" i="36"/>
  <c r="N10" i="36"/>
  <c r="M10" i="36"/>
  <c r="N20" i="36"/>
  <c r="N13" i="36"/>
  <c r="N25" i="36"/>
  <c r="N17" i="36"/>
  <c r="N26" i="36"/>
  <c r="N12" i="36"/>
  <c r="N27" i="36"/>
  <c r="N22" i="36"/>
  <c r="N16" i="36"/>
  <c r="N19" i="36"/>
  <c r="N9" i="36"/>
  <c r="N21" i="36"/>
  <c r="M21" i="36"/>
  <c r="C116" i="16"/>
  <c r="BS22" i="38" s="1"/>
  <c r="C116" i="25"/>
  <c r="BW22" i="38" s="1"/>
  <c r="C116" i="21"/>
  <c r="AU22" i="38" s="1"/>
  <c r="C116" i="26"/>
  <c r="CE22" i="38" s="1"/>
  <c r="C116" i="37"/>
  <c r="CA22" i="38" s="1"/>
  <c r="C116" i="20"/>
  <c r="BK22" i="38" s="1"/>
  <c r="C116" i="15"/>
  <c r="AQ22" i="38" s="1"/>
  <c r="C116" i="17"/>
  <c r="BG22" i="38" s="1"/>
  <c r="C116" i="32"/>
  <c r="CQ22" i="38" s="1"/>
  <c r="C116" i="2"/>
  <c r="AI22" i="38" s="1"/>
  <c r="C116" i="33"/>
  <c r="CM22" i="38" s="1"/>
  <c r="C116" i="3"/>
  <c r="AE22" i="38" s="1"/>
  <c r="C116" i="9"/>
  <c r="AA22" i="38" s="1"/>
  <c r="C116" i="6"/>
  <c r="W22" i="38" s="1"/>
  <c r="C116" i="14"/>
  <c r="AM22" i="38" s="1"/>
  <c r="C116" i="13"/>
  <c r="O22" i="38" s="1"/>
  <c r="C116" i="1"/>
  <c r="S22" i="38" s="1"/>
  <c r="C116" i="23"/>
  <c r="AY22" i="38" s="1"/>
  <c r="C116" i="31"/>
  <c r="CI22" i="38" s="1"/>
  <c r="C115" i="32"/>
  <c r="CQ21" i="38" s="1"/>
  <c r="C115" i="33"/>
  <c r="CM21" i="38" s="1"/>
  <c r="C115" i="37"/>
  <c r="CA21" i="38" s="1"/>
  <c r="C80" i="37"/>
  <c r="C81" i="37"/>
  <c r="C82" i="37"/>
  <c r="C83" i="37"/>
  <c r="C84" i="37"/>
  <c r="C85" i="37"/>
  <c r="C86" i="37"/>
  <c r="C87" i="37"/>
  <c r="C88" i="37"/>
  <c r="C89" i="37"/>
  <c r="C90" i="37"/>
  <c r="C91" i="37"/>
  <c r="C92" i="37"/>
  <c r="C93" i="37"/>
  <c r="C94" i="37"/>
  <c r="C95" i="37"/>
  <c r="C96" i="37"/>
  <c r="C97" i="37"/>
  <c r="C98" i="37"/>
  <c r="CA4" i="38" s="1"/>
  <c r="C99" i="37"/>
  <c r="CA5" i="38" s="1"/>
  <c r="C100" i="37"/>
  <c r="CA6" i="38" s="1"/>
  <c r="C101" i="37"/>
  <c r="CA7" i="38" s="1"/>
  <c r="C102" i="37"/>
  <c r="CA8" i="38" s="1"/>
  <c r="C103" i="37"/>
  <c r="CA9" i="38" s="1"/>
  <c r="C104" i="37"/>
  <c r="CA10" i="38" s="1"/>
  <c r="C105" i="37"/>
  <c r="CA11" i="38" s="1"/>
  <c r="C106" i="37"/>
  <c r="CA12" i="38" s="1"/>
  <c r="C107" i="37"/>
  <c r="CA13" i="38" s="1"/>
  <c r="C108" i="37"/>
  <c r="CA14" i="38" s="1"/>
  <c r="C109" i="37"/>
  <c r="CA15" i="38" s="1"/>
  <c r="C110" i="37"/>
  <c r="CA16" i="38" s="1"/>
  <c r="C111" i="37"/>
  <c r="CA17" i="38" s="1"/>
  <c r="C112" i="37"/>
  <c r="CA18" i="38" s="1"/>
  <c r="C113" i="37"/>
  <c r="CA19" i="38" s="1"/>
  <c r="C114" i="37"/>
  <c r="CA20" i="38" s="1"/>
  <c r="C79" i="37"/>
  <c r="L12" i="36"/>
  <c r="L22" i="36"/>
  <c r="L27" i="36"/>
  <c r="L25" i="36"/>
  <c r="L10" i="36"/>
  <c r="L23" i="36"/>
  <c r="L6" i="36"/>
  <c r="L19" i="36"/>
  <c r="L16" i="36"/>
  <c r="L26" i="36"/>
  <c r="L13" i="36"/>
  <c r="L17" i="36"/>
  <c r="L11" i="36"/>
  <c r="L20" i="36"/>
  <c r="L24" i="36"/>
  <c r="L18" i="36"/>
  <c r="L15" i="36"/>
  <c r="L7" i="36"/>
  <c r="L14" i="36"/>
  <c r="L21" i="36"/>
  <c r="L28" i="36"/>
  <c r="L9" i="36"/>
  <c r="C115" i="31"/>
  <c r="CI21" i="38" s="1"/>
  <c r="C115" i="26"/>
  <c r="CE21" i="38" s="1"/>
  <c r="C115" i="25"/>
  <c r="BW21" i="38" s="1"/>
  <c r="C115" i="16"/>
  <c r="BS21" i="38" s="1"/>
  <c r="C115" i="19"/>
  <c r="BO21" i="38" s="1"/>
  <c r="C115" i="20"/>
  <c r="BK21" i="38" s="1"/>
  <c r="C115" i="17"/>
  <c r="BG21" i="38" s="1"/>
  <c r="C115" i="18"/>
  <c r="BC21" i="38" s="1"/>
  <c r="C115" i="15"/>
  <c r="AQ21" i="38" s="1"/>
  <c r="C115" i="14"/>
  <c r="AM21" i="38" s="1"/>
  <c r="C115" i="2"/>
  <c r="AI21" i="38" s="1"/>
  <c r="C115" i="3"/>
  <c r="AE21" i="38" s="1"/>
  <c r="C115" i="13"/>
  <c r="O21" i="38" s="1"/>
  <c r="C115" i="1"/>
  <c r="S21" i="38" s="1"/>
  <c r="C115" i="12"/>
  <c r="K21" i="38" s="1"/>
  <c r="C115" i="11"/>
  <c r="G21" i="38" s="1"/>
  <c r="H87" i="10"/>
  <c r="H86" i="10"/>
  <c r="C115" i="10"/>
  <c r="C21" i="38" s="1"/>
  <c r="C115" i="21"/>
  <c r="AU21" i="38" s="1"/>
  <c r="C114" i="21"/>
  <c r="AU20" i="38" s="1"/>
  <c r="C113" i="21"/>
  <c r="AU19" i="38" s="1"/>
  <c r="C112" i="21"/>
  <c r="AU18" i="38" s="1"/>
  <c r="C111" i="21"/>
  <c r="AU17" i="38" s="1"/>
  <c r="C110" i="21"/>
  <c r="AU16" i="38" s="1"/>
  <c r="C109" i="21"/>
  <c r="AU15" i="38" s="1"/>
  <c r="C108" i="21"/>
  <c r="AU14" i="38" s="1"/>
  <c r="C107" i="21"/>
  <c r="AU13" i="38" s="1"/>
  <c r="C106" i="21"/>
  <c r="AU12" i="38" s="1"/>
  <c r="C105" i="21"/>
  <c r="AU11" i="38" s="1"/>
  <c r="C104" i="21"/>
  <c r="AU10" i="38" s="1"/>
  <c r="C103" i="21"/>
  <c r="AU9" i="38" s="1"/>
  <c r="C102" i="21"/>
  <c r="AU8" i="38" s="1"/>
  <c r="C101" i="21"/>
  <c r="AU7" i="38" s="1"/>
  <c r="C100" i="21"/>
  <c r="AU6" i="38" s="1"/>
  <c r="C99" i="21"/>
  <c r="AU5" i="38" s="1"/>
  <c r="C98" i="21"/>
  <c r="AU4" i="38" s="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111" i="18"/>
  <c r="BC17" i="38" s="1"/>
  <c r="C112" i="18"/>
  <c r="BC18" i="38" s="1"/>
  <c r="C113" i="18"/>
  <c r="BC19" i="38" s="1"/>
  <c r="C114" i="18"/>
  <c r="BC20" i="38" s="1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40" i="6"/>
  <c r="C34" i="13"/>
  <c r="C35" i="13"/>
  <c r="C36" i="13"/>
  <c r="C37" i="13"/>
  <c r="C38" i="13"/>
  <c r="C39" i="13"/>
  <c r="C40" i="13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79" i="19"/>
  <c r="C80" i="19"/>
  <c r="C81" i="19"/>
  <c r="C82" i="19"/>
  <c r="C83" i="19"/>
  <c r="C84" i="19"/>
  <c r="C85" i="19"/>
  <c r="C86" i="19"/>
  <c r="C87" i="19"/>
  <c r="C111" i="11"/>
  <c r="G17" i="38" s="1"/>
  <c r="C112" i="11"/>
  <c r="G18" i="38" s="1"/>
  <c r="C113" i="11"/>
  <c r="G19" i="38" s="1"/>
  <c r="C114" i="11"/>
  <c r="G20" i="38" s="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M4" i="38" s="1"/>
  <c r="C99" i="33"/>
  <c r="CM5" i="38" s="1"/>
  <c r="C100" i="33"/>
  <c r="CM6" i="38" s="1"/>
  <c r="C101" i="33"/>
  <c r="CM7" i="38" s="1"/>
  <c r="C102" i="33"/>
  <c r="CM8" i="38" s="1"/>
  <c r="C103" i="33"/>
  <c r="CM9" i="38" s="1"/>
  <c r="C104" i="33"/>
  <c r="CM10" i="38" s="1"/>
  <c r="C105" i="33"/>
  <c r="CM11" i="38" s="1"/>
  <c r="C106" i="33"/>
  <c r="CM12" i="38" s="1"/>
  <c r="C107" i="33"/>
  <c r="CM13" i="38" s="1"/>
  <c r="C108" i="33"/>
  <c r="CM14" i="38" s="1"/>
  <c r="C109" i="33"/>
  <c r="CM15" i="38" s="1"/>
  <c r="C110" i="33"/>
  <c r="CM16" i="38" s="1"/>
  <c r="C111" i="33"/>
  <c r="CM17" i="38" s="1"/>
  <c r="C112" i="33"/>
  <c r="CM18" i="38" s="1"/>
  <c r="C113" i="33"/>
  <c r="CM19" i="38" s="1"/>
  <c r="C114" i="33"/>
  <c r="CM20" i="38" s="1"/>
  <c r="C73" i="33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Q4" i="38" s="1"/>
  <c r="C99" i="32"/>
  <c r="CQ5" i="38" s="1"/>
  <c r="C100" i="32"/>
  <c r="CQ6" i="38" s="1"/>
  <c r="C101" i="32"/>
  <c r="CQ7" i="38" s="1"/>
  <c r="C102" i="32"/>
  <c r="CQ8" i="38" s="1"/>
  <c r="C103" i="32"/>
  <c r="CQ9" i="38" s="1"/>
  <c r="C104" i="32"/>
  <c r="CQ10" i="38" s="1"/>
  <c r="C105" i="32"/>
  <c r="CQ11" i="38" s="1"/>
  <c r="C106" i="32"/>
  <c r="CQ12" i="38" s="1"/>
  <c r="C107" i="32"/>
  <c r="CQ13" i="38" s="1"/>
  <c r="C108" i="32"/>
  <c r="CQ14" i="38" s="1"/>
  <c r="C109" i="32"/>
  <c r="CQ15" i="38" s="1"/>
  <c r="C110" i="32"/>
  <c r="CQ16" i="38" s="1"/>
  <c r="C111" i="32"/>
  <c r="CQ17" i="38" s="1"/>
  <c r="C112" i="32"/>
  <c r="CQ18" i="38" s="1"/>
  <c r="C113" i="32"/>
  <c r="CQ19" i="38" s="1"/>
  <c r="C114" i="32"/>
  <c r="CQ20" i="38" s="1"/>
  <c r="C73" i="32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I4" i="38" s="1"/>
  <c r="C99" i="31"/>
  <c r="CI5" i="38" s="1"/>
  <c r="C100" i="31"/>
  <c r="CI6" i="38" s="1"/>
  <c r="C101" i="31"/>
  <c r="CI7" i="38" s="1"/>
  <c r="C102" i="31"/>
  <c r="CI8" i="38" s="1"/>
  <c r="C103" i="31"/>
  <c r="CI9" i="38" s="1"/>
  <c r="C104" i="31"/>
  <c r="CI10" i="38" s="1"/>
  <c r="C105" i="31"/>
  <c r="CI11" i="38" s="1"/>
  <c r="C106" i="31"/>
  <c r="CI12" i="38" s="1"/>
  <c r="C107" i="31"/>
  <c r="CI13" i="38" s="1"/>
  <c r="C108" i="31"/>
  <c r="CI14" i="38" s="1"/>
  <c r="C109" i="31"/>
  <c r="CI15" i="38" s="1"/>
  <c r="C110" i="31"/>
  <c r="CI16" i="38" s="1"/>
  <c r="C111" i="31"/>
  <c r="CI17" i="38" s="1"/>
  <c r="C112" i="31"/>
  <c r="CI18" i="38" s="1"/>
  <c r="C113" i="31"/>
  <c r="CI19" i="38" s="1"/>
  <c r="C114" i="31"/>
  <c r="CI20" i="38" s="1"/>
  <c r="C73" i="31"/>
  <c r="C86" i="26"/>
  <c r="C85" i="26"/>
  <c r="C74" i="26"/>
  <c r="C75" i="26"/>
  <c r="C76" i="26"/>
  <c r="C77" i="26"/>
  <c r="C78" i="26"/>
  <c r="C79" i="26"/>
  <c r="C80" i="26"/>
  <c r="C81" i="26"/>
  <c r="C82" i="26"/>
  <c r="C83" i="26"/>
  <c r="C84" i="26"/>
  <c r="C73" i="26"/>
  <c r="C87" i="26"/>
  <c r="C75" i="25"/>
  <c r="C76" i="25"/>
  <c r="C77" i="25"/>
  <c r="C78" i="25"/>
  <c r="C79" i="25"/>
  <c r="C80" i="25"/>
  <c r="C111" i="20"/>
  <c r="BK17" i="38" s="1"/>
  <c r="C112" i="20"/>
  <c r="BK18" i="38" s="1"/>
  <c r="C113" i="20"/>
  <c r="BK19" i="38" s="1"/>
  <c r="C114" i="20"/>
  <c r="BK20" i="38" s="1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73" i="18"/>
  <c r="C74" i="18"/>
  <c r="C75" i="18"/>
  <c r="C76" i="18"/>
  <c r="C77" i="18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73" i="14"/>
  <c r="C74" i="14"/>
  <c r="C75" i="14"/>
  <c r="C76" i="14"/>
  <c r="C77" i="14"/>
  <c r="C78" i="14"/>
  <c r="C79" i="14"/>
  <c r="C80" i="14"/>
  <c r="C78" i="18"/>
  <c r="C79" i="18"/>
  <c r="C80" i="18"/>
  <c r="C81" i="18"/>
  <c r="C82" i="18"/>
  <c r="C83" i="18"/>
  <c r="C84" i="18"/>
  <c r="C85" i="18"/>
  <c r="C86" i="18"/>
  <c r="C87" i="18"/>
  <c r="C111" i="10"/>
  <c r="C17" i="38" s="1"/>
  <c r="C112" i="10"/>
  <c r="C18" i="38" s="1"/>
  <c r="C113" i="10"/>
  <c r="C19" i="38" s="1"/>
  <c r="C114" i="10"/>
  <c r="C20" i="38" s="1"/>
  <c r="C111" i="26"/>
  <c r="CE17" i="38" s="1"/>
  <c r="C112" i="26"/>
  <c r="CE18" i="38" s="1"/>
  <c r="C113" i="26"/>
  <c r="CE19" i="38" s="1"/>
  <c r="C114" i="26"/>
  <c r="CE20" i="38" s="1"/>
  <c r="C111" i="25"/>
  <c r="BW17" i="38" s="1"/>
  <c r="C112" i="25"/>
  <c r="BW18" i="38" s="1"/>
  <c r="C113" i="25"/>
  <c r="BW19" i="38" s="1"/>
  <c r="C114" i="25"/>
  <c r="BW20" i="38" s="1"/>
  <c r="C81" i="25"/>
  <c r="C82" i="25"/>
  <c r="C83" i="25"/>
  <c r="C84" i="25"/>
  <c r="C85" i="25"/>
  <c r="C86" i="25"/>
  <c r="C87" i="25"/>
  <c r="C111" i="19"/>
  <c r="BO17" i="38" s="1"/>
  <c r="C112" i="19"/>
  <c r="BO18" i="38" s="1"/>
  <c r="C113" i="19"/>
  <c r="BO19" i="38" s="1"/>
  <c r="C114" i="19"/>
  <c r="BO20" i="38" s="1"/>
  <c r="C111" i="17"/>
  <c r="BG17" i="38" s="1"/>
  <c r="C112" i="17"/>
  <c r="BG18" i="38" s="1"/>
  <c r="C113" i="17"/>
  <c r="BG19" i="38" s="1"/>
  <c r="C114" i="17"/>
  <c r="BG20" i="38" s="1"/>
  <c r="C87" i="15"/>
  <c r="C111" i="15"/>
  <c r="AQ17" i="38" s="1"/>
  <c r="C112" i="15"/>
  <c r="AQ18" i="38" s="1"/>
  <c r="C113" i="15"/>
  <c r="AQ19" i="38" s="1"/>
  <c r="C114" i="15"/>
  <c r="AQ20" i="38" s="1"/>
  <c r="C111" i="14"/>
  <c r="AM17" i="38" s="1"/>
  <c r="C112" i="14"/>
  <c r="AM18" i="38" s="1"/>
  <c r="C113" i="14"/>
  <c r="AM19" i="38" s="1"/>
  <c r="C114" i="14"/>
  <c r="AM20" i="38" s="1"/>
  <c r="C111" i="12"/>
  <c r="K17" i="38" s="1"/>
  <c r="C112" i="12"/>
  <c r="K18" i="38" s="1"/>
  <c r="C113" i="12"/>
  <c r="K19" i="38" s="1"/>
  <c r="C114" i="12"/>
  <c r="K20" i="38" s="1"/>
  <c r="C79" i="12"/>
  <c r="C80" i="12"/>
  <c r="C81" i="12"/>
  <c r="C82" i="12"/>
  <c r="C83" i="12"/>
  <c r="C84" i="12"/>
  <c r="C85" i="12"/>
  <c r="C86" i="12"/>
  <c r="C87" i="12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115" i="6"/>
  <c r="W21" i="38" s="1"/>
  <c r="C115" i="9"/>
  <c r="AA21" i="38" s="1"/>
  <c r="C115" i="23"/>
  <c r="AY21" i="38" s="1"/>
  <c r="C114" i="16"/>
  <c r="BS20" i="38" s="1"/>
  <c r="C113" i="3"/>
  <c r="AE19" i="38" s="1"/>
  <c r="C114" i="3"/>
  <c r="AE20" i="38" s="1"/>
  <c r="C114" i="2"/>
  <c r="AI20" i="38" s="1"/>
  <c r="C114" i="9"/>
  <c r="AA20" i="38" s="1"/>
  <c r="C114" i="6"/>
  <c r="W20" i="38" s="1"/>
  <c r="C114" i="13"/>
  <c r="O20" i="38" s="1"/>
  <c r="C114" i="1"/>
  <c r="S20" i="38" s="1"/>
  <c r="C111" i="23"/>
  <c r="AY17" i="38" s="1"/>
  <c r="C112" i="23"/>
  <c r="AY18" i="38" s="1"/>
  <c r="C113" i="23"/>
  <c r="AY19" i="38" s="1"/>
  <c r="C114" i="23"/>
  <c r="AY20" i="38" s="1"/>
  <c r="C113" i="16"/>
  <c r="BS19" i="38" s="1"/>
  <c r="C113" i="2"/>
  <c r="AI19" i="38" s="1"/>
  <c r="C113" i="9"/>
  <c r="AA19" i="38" s="1"/>
  <c r="C113" i="6"/>
  <c r="W19" i="38" s="1"/>
  <c r="C113" i="13"/>
  <c r="O19" i="38" s="1"/>
  <c r="C113" i="1"/>
  <c r="S19" i="38" s="1"/>
  <c r="C112" i="16"/>
  <c r="BS18" i="38" s="1"/>
  <c r="C112" i="3"/>
  <c r="AE18" i="38" s="1"/>
  <c r="C112" i="2"/>
  <c r="AI18" i="38" s="1"/>
  <c r="C112" i="9"/>
  <c r="AA18" i="38" s="1"/>
  <c r="C112" i="6"/>
  <c r="W18" i="38" s="1"/>
  <c r="C112" i="13"/>
  <c r="O18" i="38" s="1"/>
  <c r="C112" i="1"/>
  <c r="S18" i="38" s="1"/>
  <c r="L16" i="27"/>
  <c r="C111" i="16"/>
  <c r="BS17" i="38" s="1"/>
  <c r="C111" i="3"/>
  <c r="AE17" i="38" s="1"/>
  <c r="C111" i="2"/>
  <c r="AI17" i="38" s="1"/>
  <c r="C111" i="9"/>
  <c r="AA17" i="38" s="1"/>
  <c r="C111" i="6"/>
  <c r="W17" i="38" s="1"/>
  <c r="C111" i="13"/>
  <c r="O17" i="38" s="1"/>
  <c r="C111" i="1"/>
  <c r="S17" i="38" s="1"/>
  <c r="D107" i="6"/>
  <c r="D104" i="6"/>
  <c r="D101" i="6"/>
  <c r="D95" i="6"/>
  <c r="D80" i="6"/>
  <c r="D77" i="6"/>
  <c r="D74" i="6"/>
  <c r="D107" i="13"/>
  <c r="D104" i="13"/>
  <c r="D101" i="13"/>
  <c r="D83" i="13"/>
  <c r="D80" i="13"/>
  <c r="D77" i="13"/>
  <c r="D71" i="13"/>
  <c r="J9" i="1"/>
  <c r="D5" i="1" s="1"/>
  <c r="J10" i="1"/>
  <c r="D8" i="1" s="1"/>
  <c r="J11" i="1"/>
  <c r="D11" i="1" s="1"/>
  <c r="J12" i="1"/>
  <c r="D14" i="1" s="1"/>
  <c r="J13" i="1"/>
  <c r="D17" i="1" s="1"/>
  <c r="J14" i="1"/>
  <c r="D20" i="1" s="1"/>
  <c r="J15" i="1"/>
  <c r="D23" i="1" s="1"/>
  <c r="J16" i="1"/>
  <c r="D26" i="1" s="1"/>
  <c r="J17" i="1"/>
  <c r="D29" i="1" s="1"/>
  <c r="J18" i="1"/>
  <c r="D32" i="1" s="1"/>
  <c r="J19" i="1"/>
  <c r="D35" i="1" s="1"/>
  <c r="J20" i="1"/>
  <c r="J21" i="1"/>
  <c r="D38" i="1" s="1"/>
  <c r="J22" i="1"/>
  <c r="D44" i="1" s="1"/>
  <c r="J23" i="1"/>
  <c r="D47" i="1" s="1"/>
  <c r="J24" i="1"/>
  <c r="D50" i="1" s="1"/>
  <c r="J25" i="1"/>
  <c r="D53" i="1" s="1"/>
  <c r="J26" i="1"/>
  <c r="D56" i="1" s="1"/>
  <c r="J27" i="1"/>
  <c r="D59" i="1" s="1"/>
  <c r="J28" i="1"/>
  <c r="D62" i="1" s="1"/>
  <c r="J29" i="1"/>
  <c r="D65" i="1" s="1"/>
  <c r="J30" i="1"/>
  <c r="D68" i="1" s="1"/>
  <c r="J31" i="1"/>
  <c r="D71" i="1" s="1"/>
  <c r="J32" i="1"/>
  <c r="D74" i="1" s="1"/>
  <c r="J33" i="1"/>
  <c r="D77" i="1" s="1"/>
  <c r="J34" i="1"/>
  <c r="D80" i="1" s="1"/>
  <c r="J35" i="1"/>
  <c r="D83" i="1" s="1"/>
  <c r="J36" i="1"/>
  <c r="D86" i="1" s="1"/>
  <c r="J37" i="1"/>
  <c r="D89" i="1" s="1"/>
  <c r="J38" i="1"/>
  <c r="D92" i="1" s="1"/>
  <c r="J39" i="1"/>
  <c r="D95" i="1" s="1"/>
  <c r="J40" i="1"/>
  <c r="D98" i="1" s="1"/>
  <c r="J41" i="1"/>
  <c r="D101" i="1" s="1"/>
  <c r="J42" i="1"/>
  <c r="D104" i="1" s="1"/>
  <c r="J43" i="1"/>
  <c r="D107" i="1" s="1"/>
  <c r="J44" i="1"/>
  <c r="D110" i="1" s="1"/>
  <c r="J8" i="1"/>
  <c r="D2" i="1" s="1"/>
  <c r="C89" i="10"/>
  <c r="C90" i="10"/>
  <c r="C91" i="10"/>
  <c r="C92" i="10"/>
  <c r="C93" i="10"/>
  <c r="C94" i="10"/>
  <c r="C95" i="10"/>
  <c r="C96" i="10"/>
  <c r="C97" i="10"/>
  <c r="C98" i="10"/>
  <c r="C4" i="38" s="1"/>
  <c r="C99" i="10"/>
  <c r="C5" i="38" s="1"/>
  <c r="C100" i="10"/>
  <c r="C6" i="38" s="1"/>
  <c r="C101" i="10"/>
  <c r="C7" i="38" s="1"/>
  <c r="C102" i="10"/>
  <c r="C8" i="38" s="1"/>
  <c r="C103" i="10"/>
  <c r="C9" i="38" s="1"/>
  <c r="C104" i="10"/>
  <c r="C10" i="38" s="1"/>
  <c r="C105" i="10"/>
  <c r="C11" i="38" s="1"/>
  <c r="C106" i="10"/>
  <c r="C12" i="38" s="1"/>
  <c r="C107" i="10"/>
  <c r="C13" i="38" s="1"/>
  <c r="C108" i="10"/>
  <c r="C14" i="38" s="1"/>
  <c r="C109" i="10"/>
  <c r="C15" i="38" s="1"/>
  <c r="C110" i="10"/>
  <c r="C16" i="38" s="1"/>
  <c r="C88" i="10"/>
  <c r="C89" i="25"/>
  <c r="C90" i="25"/>
  <c r="C91" i="25"/>
  <c r="C92" i="25"/>
  <c r="C93" i="25"/>
  <c r="C94" i="25"/>
  <c r="C95" i="25"/>
  <c r="C96" i="25"/>
  <c r="C97" i="25"/>
  <c r="C98" i="25"/>
  <c r="BW4" i="38" s="1"/>
  <c r="C99" i="25"/>
  <c r="BW5" i="38" s="1"/>
  <c r="C100" i="25"/>
  <c r="BW6" i="38" s="1"/>
  <c r="C101" i="25"/>
  <c r="BW7" i="38" s="1"/>
  <c r="C102" i="25"/>
  <c r="BW8" i="38" s="1"/>
  <c r="C103" i="25"/>
  <c r="BW9" i="38" s="1"/>
  <c r="C104" i="25"/>
  <c r="BW10" i="38" s="1"/>
  <c r="C105" i="25"/>
  <c r="BW11" i="38" s="1"/>
  <c r="C106" i="25"/>
  <c r="BW12" i="38" s="1"/>
  <c r="C107" i="25"/>
  <c r="BW13" i="38" s="1"/>
  <c r="C108" i="25"/>
  <c r="BW14" i="38" s="1"/>
  <c r="C109" i="25"/>
  <c r="BW15" i="38" s="1"/>
  <c r="C110" i="25"/>
  <c r="BW16" i="38" s="1"/>
  <c r="C88" i="25"/>
  <c r="C89" i="26"/>
  <c r="C90" i="26"/>
  <c r="C91" i="26"/>
  <c r="C92" i="26"/>
  <c r="C93" i="26"/>
  <c r="C94" i="26"/>
  <c r="C95" i="26"/>
  <c r="C96" i="26"/>
  <c r="C97" i="26"/>
  <c r="C98" i="26"/>
  <c r="CE4" i="38" s="1"/>
  <c r="C99" i="26"/>
  <c r="CE5" i="38" s="1"/>
  <c r="C100" i="26"/>
  <c r="CE6" i="38" s="1"/>
  <c r="C101" i="26"/>
  <c r="CE7" i="38" s="1"/>
  <c r="C102" i="26"/>
  <c r="CE8" i="38" s="1"/>
  <c r="C103" i="26"/>
  <c r="CE9" i="38" s="1"/>
  <c r="C104" i="26"/>
  <c r="CE10" i="38" s="1"/>
  <c r="C105" i="26"/>
  <c r="CE11" i="38" s="1"/>
  <c r="C106" i="26"/>
  <c r="CE12" i="38" s="1"/>
  <c r="C107" i="26"/>
  <c r="CE13" i="38" s="1"/>
  <c r="C108" i="26"/>
  <c r="CE14" i="38" s="1"/>
  <c r="C109" i="26"/>
  <c r="CE15" i="38" s="1"/>
  <c r="C110" i="26"/>
  <c r="CE16" i="38" s="1"/>
  <c r="C88" i="26"/>
  <c r="C110" i="6"/>
  <c r="W16" i="38" s="1"/>
  <c r="C89" i="12"/>
  <c r="C90" i="12"/>
  <c r="C91" i="12"/>
  <c r="C92" i="12"/>
  <c r="C93" i="12"/>
  <c r="C94" i="12"/>
  <c r="C95" i="12"/>
  <c r="C96" i="12"/>
  <c r="C97" i="12"/>
  <c r="C98" i="12"/>
  <c r="K4" i="38" s="1"/>
  <c r="C99" i="12"/>
  <c r="K5" i="38" s="1"/>
  <c r="C100" i="12"/>
  <c r="K6" i="38" s="1"/>
  <c r="C101" i="12"/>
  <c r="K7" i="38" s="1"/>
  <c r="C102" i="12"/>
  <c r="K8" i="38" s="1"/>
  <c r="C103" i="12"/>
  <c r="K9" i="38" s="1"/>
  <c r="C104" i="12"/>
  <c r="K10" i="38" s="1"/>
  <c r="C105" i="12"/>
  <c r="K11" i="38" s="1"/>
  <c r="C106" i="12"/>
  <c r="K12" i="38" s="1"/>
  <c r="C107" i="12"/>
  <c r="K13" i="38" s="1"/>
  <c r="C108" i="12"/>
  <c r="K14" i="38" s="1"/>
  <c r="C109" i="12"/>
  <c r="K15" i="38" s="1"/>
  <c r="C110" i="12"/>
  <c r="K16" i="38" s="1"/>
  <c r="C88" i="12"/>
  <c r="C89" i="23"/>
  <c r="C90" i="23"/>
  <c r="C91" i="23"/>
  <c r="C92" i="23"/>
  <c r="C93" i="23"/>
  <c r="C94" i="23"/>
  <c r="C95" i="23"/>
  <c r="C96" i="23"/>
  <c r="C97" i="23"/>
  <c r="C98" i="23"/>
  <c r="AY4" i="38" s="1"/>
  <c r="C99" i="23"/>
  <c r="AY5" i="38" s="1"/>
  <c r="C100" i="23"/>
  <c r="AY6" i="38" s="1"/>
  <c r="C101" i="23"/>
  <c r="AY7" i="38" s="1"/>
  <c r="C102" i="23"/>
  <c r="AY8" i="38" s="1"/>
  <c r="C103" i="23"/>
  <c r="AY9" i="38" s="1"/>
  <c r="C104" i="23"/>
  <c r="AY10" i="38" s="1"/>
  <c r="C105" i="23"/>
  <c r="AY11" i="38" s="1"/>
  <c r="C106" i="23"/>
  <c r="AY12" i="38" s="1"/>
  <c r="C107" i="23"/>
  <c r="AY13" i="38" s="1"/>
  <c r="C108" i="23"/>
  <c r="AY14" i="38" s="1"/>
  <c r="C109" i="23"/>
  <c r="AY15" i="38" s="1"/>
  <c r="C110" i="23"/>
  <c r="AY16" i="38" s="1"/>
  <c r="C88" i="23"/>
  <c r="C56" i="9"/>
  <c r="C57" i="9"/>
  <c r="C110" i="16"/>
  <c r="BS16" i="38" s="1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109" i="16"/>
  <c r="BS15" i="38" s="1"/>
  <c r="C44" i="16"/>
  <c r="C104" i="14"/>
  <c r="AM10" i="38" s="1"/>
  <c r="C105" i="14"/>
  <c r="AM11" i="38" s="1"/>
  <c r="C106" i="14"/>
  <c r="AM12" i="38" s="1"/>
  <c r="C107" i="14"/>
  <c r="AM13" i="38" s="1"/>
  <c r="C108" i="14"/>
  <c r="AM14" i="38" s="1"/>
  <c r="C109" i="14"/>
  <c r="AM15" i="38" s="1"/>
  <c r="C110" i="14"/>
  <c r="AM16" i="38" s="1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O4" i="38" s="1"/>
  <c r="C99" i="13"/>
  <c r="O5" i="38" s="1"/>
  <c r="C100" i="13"/>
  <c r="O6" i="38" s="1"/>
  <c r="C101" i="13"/>
  <c r="O7" i="38" s="1"/>
  <c r="C102" i="13"/>
  <c r="O8" i="38" s="1"/>
  <c r="C103" i="13"/>
  <c r="O9" i="38" s="1"/>
  <c r="C104" i="13"/>
  <c r="O10" i="38" s="1"/>
  <c r="C105" i="13"/>
  <c r="O11" i="38" s="1"/>
  <c r="C106" i="13"/>
  <c r="O12" i="38" s="1"/>
  <c r="C107" i="13"/>
  <c r="O13" i="38" s="1"/>
  <c r="C108" i="13"/>
  <c r="O14" i="38" s="1"/>
  <c r="C109" i="13"/>
  <c r="O15" i="38" s="1"/>
  <c r="C110" i="13"/>
  <c r="O16" i="38" s="1"/>
  <c r="C41" i="13"/>
  <c r="C89" i="20"/>
  <c r="C90" i="20"/>
  <c r="C91" i="20"/>
  <c r="C92" i="20"/>
  <c r="C93" i="20"/>
  <c r="C94" i="20"/>
  <c r="C95" i="20"/>
  <c r="C96" i="20"/>
  <c r="C97" i="20"/>
  <c r="C98" i="20"/>
  <c r="BK4" i="38" s="1"/>
  <c r="C99" i="20"/>
  <c r="BK5" i="38" s="1"/>
  <c r="C100" i="20"/>
  <c r="BK6" i="38" s="1"/>
  <c r="C101" i="20"/>
  <c r="BK7" i="38" s="1"/>
  <c r="C102" i="20"/>
  <c r="BK8" i="38" s="1"/>
  <c r="C103" i="20"/>
  <c r="BK9" i="38" s="1"/>
  <c r="C104" i="20"/>
  <c r="BK10" i="38" s="1"/>
  <c r="C105" i="20"/>
  <c r="BK11" i="38" s="1"/>
  <c r="C106" i="20"/>
  <c r="BK12" i="38" s="1"/>
  <c r="C107" i="20"/>
  <c r="BK13" i="38" s="1"/>
  <c r="C108" i="20"/>
  <c r="BK14" i="38" s="1"/>
  <c r="C109" i="20"/>
  <c r="BK15" i="38" s="1"/>
  <c r="C110" i="20"/>
  <c r="BK16" i="38" s="1"/>
  <c r="C88" i="20"/>
  <c r="C89" i="19"/>
  <c r="C90" i="19"/>
  <c r="C91" i="19"/>
  <c r="C92" i="19"/>
  <c r="C93" i="19"/>
  <c r="C94" i="19"/>
  <c r="C95" i="19"/>
  <c r="C96" i="19"/>
  <c r="C97" i="19"/>
  <c r="C98" i="19"/>
  <c r="BO4" i="38" s="1"/>
  <c r="C99" i="19"/>
  <c r="BO5" i="38" s="1"/>
  <c r="C100" i="19"/>
  <c r="BO6" i="38" s="1"/>
  <c r="C101" i="19"/>
  <c r="BO7" i="38" s="1"/>
  <c r="C102" i="19"/>
  <c r="BO8" i="38" s="1"/>
  <c r="C103" i="19"/>
  <c r="BO9" i="38" s="1"/>
  <c r="C104" i="19"/>
  <c r="BO10" i="38" s="1"/>
  <c r="C105" i="19"/>
  <c r="BO11" i="38" s="1"/>
  <c r="C106" i="19"/>
  <c r="BO12" i="38" s="1"/>
  <c r="C107" i="19"/>
  <c r="BO13" i="38" s="1"/>
  <c r="C108" i="19"/>
  <c r="BO14" i="38" s="1"/>
  <c r="C109" i="19"/>
  <c r="BO15" i="38" s="1"/>
  <c r="C110" i="19"/>
  <c r="BO16" i="38" s="1"/>
  <c r="C88" i="19"/>
  <c r="C89" i="18"/>
  <c r="C90" i="18"/>
  <c r="C91" i="18"/>
  <c r="C92" i="18"/>
  <c r="C93" i="18"/>
  <c r="C94" i="18"/>
  <c r="C95" i="18"/>
  <c r="C96" i="18"/>
  <c r="C97" i="18"/>
  <c r="C98" i="18"/>
  <c r="BC4" i="38" s="1"/>
  <c r="C99" i="18"/>
  <c r="BC5" i="38" s="1"/>
  <c r="C100" i="18"/>
  <c r="BC6" i="38" s="1"/>
  <c r="C101" i="18"/>
  <c r="BC7" i="38" s="1"/>
  <c r="C102" i="18"/>
  <c r="BC8" i="38" s="1"/>
  <c r="C103" i="18"/>
  <c r="BC9" i="38" s="1"/>
  <c r="C104" i="18"/>
  <c r="BC10" i="38" s="1"/>
  <c r="C105" i="18"/>
  <c r="BC11" i="38" s="1"/>
  <c r="C106" i="18"/>
  <c r="BC12" i="38" s="1"/>
  <c r="C107" i="18"/>
  <c r="BC13" i="38" s="1"/>
  <c r="C108" i="18"/>
  <c r="BC14" i="38" s="1"/>
  <c r="C109" i="18"/>
  <c r="BC15" i="38" s="1"/>
  <c r="C110" i="18"/>
  <c r="BC16" i="38" s="1"/>
  <c r="C88" i="18"/>
  <c r="C89" i="17"/>
  <c r="C90" i="17"/>
  <c r="C91" i="17"/>
  <c r="C92" i="17"/>
  <c r="C93" i="17"/>
  <c r="C94" i="17"/>
  <c r="C95" i="17"/>
  <c r="C96" i="17"/>
  <c r="C97" i="17"/>
  <c r="C98" i="17"/>
  <c r="BG4" i="38" s="1"/>
  <c r="C99" i="17"/>
  <c r="BG5" i="38" s="1"/>
  <c r="C100" i="17"/>
  <c r="BG6" i="38" s="1"/>
  <c r="C101" i="17"/>
  <c r="BG7" i="38" s="1"/>
  <c r="C102" i="17"/>
  <c r="BG8" i="38" s="1"/>
  <c r="C103" i="17"/>
  <c r="BG9" i="38" s="1"/>
  <c r="C104" i="17"/>
  <c r="BG10" i="38" s="1"/>
  <c r="C105" i="17"/>
  <c r="BG11" i="38" s="1"/>
  <c r="C106" i="17"/>
  <c r="BG12" i="38" s="1"/>
  <c r="C107" i="17"/>
  <c r="BG13" i="38" s="1"/>
  <c r="C108" i="17"/>
  <c r="BG14" i="38" s="1"/>
  <c r="C109" i="17"/>
  <c r="BG15" i="38" s="1"/>
  <c r="C110" i="17"/>
  <c r="BG16" i="38" s="1"/>
  <c r="C88" i="17"/>
  <c r="C107" i="16"/>
  <c r="BS13" i="38" s="1"/>
  <c r="C106" i="16"/>
  <c r="BS12" i="38" s="1"/>
  <c r="C105" i="16"/>
  <c r="BS11" i="38" s="1"/>
  <c r="C104" i="16"/>
  <c r="BS10" i="38" s="1"/>
  <c r="C103" i="16"/>
  <c r="BS9" i="38" s="1"/>
  <c r="C102" i="16"/>
  <c r="BS8" i="38" s="1"/>
  <c r="C101" i="16"/>
  <c r="BS7" i="38" s="1"/>
  <c r="C100" i="16"/>
  <c r="BS6" i="38" s="1"/>
  <c r="C99" i="16"/>
  <c r="BS5" i="38" s="1"/>
  <c r="C98" i="16"/>
  <c r="BS4" i="38" s="1"/>
  <c r="C97" i="16"/>
  <c r="C96" i="16"/>
  <c r="C95" i="16"/>
  <c r="C94" i="16"/>
  <c r="C93" i="16"/>
  <c r="C92" i="16"/>
  <c r="C91" i="16"/>
  <c r="C90" i="16"/>
  <c r="C89" i="16"/>
  <c r="C88" i="16"/>
  <c r="C87" i="16"/>
  <c r="C108" i="16"/>
  <c r="BS14" i="38" s="1"/>
  <c r="C89" i="15"/>
  <c r="C90" i="15"/>
  <c r="C91" i="15"/>
  <c r="C92" i="15"/>
  <c r="C93" i="15"/>
  <c r="C94" i="15"/>
  <c r="C95" i="15"/>
  <c r="C96" i="15"/>
  <c r="C97" i="15"/>
  <c r="C98" i="15"/>
  <c r="AQ4" i="38" s="1"/>
  <c r="C99" i="15"/>
  <c r="AQ5" i="38" s="1"/>
  <c r="C100" i="15"/>
  <c r="AQ6" i="38" s="1"/>
  <c r="C101" i="15"/>
  <c r="AQ7" i="38" s="1"/>
  <c r="C102" i="15"/>
  <c r="AQ8" i="38" s="1"/>
  <c r="C103" i="15"/>
  <c r="AQ9" i="38" s="1"/>
  <c r="C104" i="15"/>
  <c r="AQ10" i="38" s="1"/>
  <c r="C105" i="15"/>
  <c r="AQ11" i="38" s="1"/>
  <c r="C106" i="15"/>
  <c r="AQ12" i="38" s="1"/>
  <c r="C107" i="15"/>
  <c r="AQ13" i="38" s="1"/>
  <c r="C108" i="15"/>
  <c r="AQ14" i="38" s="1"/>
  <c r="C109" i="15"/>
  <c r="AQ15" i="38" s="1"/>
  <c r="C110" i="15"/>
  <c r="AQ16" i="38" s="1"/>
  <c r="C88" i="15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AM4" i="38" s="1"/>
  <c r="C99" i="14"/>
  <c r="AM5" i="38" s="1"/>
  <c r="C100" i="14"/>
  <c r="AM6" i="38" s="1"/>
  <c r="C101" i="14"/>
  <c r="AM7" i="38" s="1"/>
  <c r="C102" i="14"/>
  <c r="AM8" i="38" s="1"/>
  <c r="C103" i="14"/>
  <c r="AM9" i="38" s="1"/>
  <c r="C81" i="14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89" i="11"/>
  <c r="C90" i="11"/>
  <c r="C91" i="11"/>
  <c r="C92" i="11"/>
  <c r="C93" i="11"/>
  <c r="C94" i="11"/>
  <c r="C95" i="11"/>
  <c r="C96" i="11"/>
  <c r="C97" i="11"/>
  <c r="C98" i="11"/>
  <c r="G4" i="38" s="1"/>
  <c r="C99" i="11"/>
  <c r="G5" i="38" s="1"/>
  <c r="C100" i="11"/>
  <c r="G6" i="38" s="1"/>
  <c r="C101" i="11"/>
  <c r="G7" i="38" s="1"/>
  <c r="C102" i="11"/>
  <c r="G8" i="38" s="1"/>
  <c r="C103" i="11"/>
  <c r="G9" i="38" s="1"/>
  <c r="C104" i="11"/>
  <c r="G10" i="38" s="1"/>
  <c r="C105" i="11"/>
  <c r="G11" i="38" s="1"/>
  <c r="C106" i="11"/>
  <c r="G12" i="38" s="1"/>
  <c r="C107" i="11"/>
  <c r="G13" i="38" s="1"/>
  <c r="C108" i="11"/>
  <c r="G14" i="38" s="1"/>
  <c r="C109" i="11"/>
  <c r="G15" i="38" s="1"/>
  <c r="C110" i="11"/>
  <c r="G16" i="38" s="1"/>
  <c r="C88" i="11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AE4" i="38" s="1"/>
  <c r="C99" i="3"/>
  <c r="AE5" i="38" s="1"/>
  <c r="C100" i="3"/>
  <c r="AE6" i="38" s="1"/>
  <c r="C101" i="3"/>
  <c r="AE7" i="38" s="1"/>
  <c r="C102" i="3"/>
  <c r="AE8" i="38" s="1"/>
  <c r="C103" i="3"/>
  <c r="AE9" i="38" s="1"/>
  <c r="C104" i="3"/>
  <c r="AE10" i="38" s="1"/>
  <c r="C105" i="3"/>
  <c r="AE11" i="38" s="1"/>
  <c r="C106" i="3"/>
  <c r="AE12" i="38" s="1"/>
  <c r="C107" i="3"/>
  <c r="AE13" i="38" s="1"/>
  <c r="C108" i="3"/>
  <c r="AE14" i="38" s="1"/>
  <c r="C109" i="3"/>
  <c r="AE15" i="38" s="1"/>
  <c r="C110" i="3"/>
  <c r="AE16" i="38" s="1"/>
  <c r="C27" i="3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AI4" i="38" s="1"/>
  <c r="C99" i="2"/>
  <c r="AI5" i="38" s="1"/>
  <c r="C100" i="2"/>
  <c r="AI6" i="38" s="1"/>
  <c r="C101" i="2"/>
  <c r="AI7" i="38" s="1"/>
  <c r="C102" i="2"/>
  <c r="AI8" i="38" s="1"/>
  <c r="C103" i="2"/>
  <c r="AI9" i="38" s="1"/>
  <c r="C104" i="2"/>
  <c r="AI10" i="38" s="1"/>
  <c r="C105" i="2"/>
  <c r="AI11" i="38" s="1"/>
  <c r="C106" i="2"/>
  <c r="AI12" i="38" s="1"/>
  <c r="C107" i="2"/>
  <c r="AI13" i="38" s="1"/>
  <c r="C108" i="2"/>
  <c r="AI14" i="38" s="1"/>
  <c r="C109" i="2"/>
  <c r="AI15" i="38" s="1"/>
  <c r="C110" i="2"/>
  <c r="AI16" i="38" s="1"/>
  <c r="C27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S4" i="38" s="1"/>
  <c r="C99" i="1"/>
  <c r="S5" i="38" s="1"/>
  <c r="C100" i="1"/>
  <c r="S6" i="38" s="1"/>
  <c r="C101" i="1"/>
  <c r="S7" i="38" s="1"/>
  <c r="C102" i="1"/>
  <c r="S8" i="38" s="1"/>
  <c r="C103" i="1"/>
  <c r="S9" i="38" s="1"/>
  <c r="C104" i="1"/>
  <c r="S10" i="38" s="1"/>
  <c r="C105" i="1"/>
  <c r="S11" i="38" s="1"/>
  <c r="C106" i="1"/>
  <c r="S12" i="38" s="1"/>
  <c r="C107" i="1"/>
  <c r="S13" i="38" s="1"/>
  <c r="C108" i="1"/>
  <c r="S14" i="38" s="1"/>
  <c r="C109" i="1"/>
  <c r="S15" i="38" s="1"/>
  <c r="C110" i="1"/>
  <c r="S16" i="38" s="1"/>
  <c r="C3" i="1"/>
  <c r="C48" i="9"/>
  <c r="C49" i="9"/>
  <c r="C50" i="9"/>
  <c r="C51" i="9"/>
  <c r="C52" i="9"/>
  <c r="C53" i="9"/>
  <c r="C54" i="9"/>
  <c r="C55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AA4" i="38" s="1"/>
  <c r="C99" i="9"/>
  <c r="AA5" i="38" s="1"/>
  <c r="C100" i="9"/>
  <c r="AA6" i="38" s="1"/>
  <c r="C101" i="9"/>
  <c r="AA7" i="38" s="1"/>
  <c r="C102" i="9"/>
  <c r="AA8" i="38" s="1"/>
  <c r="C103" i="9"/>
  <c r="AA9" i="38" s="1"/>
  <c r="C104" i="9"/>
  <c r="AA10" i="38" s="1"/>
  <c r="C105" i="9"/>
  <c r="AA11" i="38" s="1"/>
  <c r="C106" i="9"/>
  <c r="AA12" i="38" s="1"/>
  <c r="C107" i="9"/>
  <c r="AA13" i="38" s="1"/>
  <c r="C108" i="9"/>
  <c r="AA14" i="38" s="1"/>
  <c r="C109" i="9"/>
  <c r="AA15" i="38" s="1"/>
  <c r="C110" i="9"/>
  <c r="AA16" i="38" s="1"/>
  <c r="C47" i="9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W4" i="38" s="1"/>
  <c r="C99" i="6"/>
  <c r="W5" i="38" s="1"/>
  <c r="C100" i="6"/>
  <c r="W6" i="38" s="1"/>
  <c r="C101" i="6"/>
  <c r="W7" i="38" s="1"/>
  <c r="C102" i="6"/>
  <c r="W8" i="38" s="1"/>
  <c r="C103" i="6"/>
  <c r="W9" i="38" s="1"/>
  <c r="C104" i="6"/>
  <c r="W10" i="38" s="1"/>
  <c r="C105" i="6"/>
  <c r="W11" i="38" s="1"/>
  <c r="C106" i="6"/>
  <c r="W12" i="38" s="1"/>
  <c r="C107" i="6"/>
  <c r="W13" i="38" s="1"/>
  <c r="C108" i="6"/>
  <c r="W14" i="38" s="1"/>
  <c r="C109" i="6"/>
  <c r="W15" i="38" s="1"/>
  <c r="C41" i="6"/>
  <c r="G18" i="36" l="1"/>
  <c r="L28" i="27"/>
  <c r="M17" i="36"/>
  <c r="O17" i="36" s="1"/>
  <c r="L23" i="27"/>
  <c r="M19" i="36"/>
  <c r="O19" i="36" s="1"/>
  <c r="M16" i="36"/>
  <c r="O16" i="36" s="1"/>
  <c r="G16" i="36"/>
  <c r="L10" i="27"/>
  <c r="M12" i="36"/>
  <c r="O12" i="36" s="1"/>
  <c r="G28" i="36"/>
  <c r="M14" i="36"/>
  <c r="O14" i="36" s="1"/>
  <c r="L25" i="27"/>
  <c r="G9" i="36"/>
  <c r="G8" i="36"/>
  <c r="G17" i="36"/>
  <c r="M11" i="36"/>
  <c r="O11" i="36" s="1"/>
  <c r="L7" i="27"/>
  <c r="L5" i="27"/>
  <c r="L21" i="27"/>
  <c r="M13" i="36"/>
  <c r="O13" i="36" s="1"/>
  <c r="G7" i="36"/>
  <c r="L17" i="27"/>
  <c r="G24" i="36"/>
  <c r="G12" i="36"/>
  <c r="M6" i="36"/>
  <c r="O6" i="36" s="1"/>
  <c r="G27" i="36"/>
  <c r="L14" i="27"/>
  <c r="L9" i="27"/>
  <c r="L27" i="27"/>
  <c r="L26" i="27"/>
  <c r="M7" i="36"/>
  <c r="O7" i="36" s="1"/>
  <c r="G13" i="36"/>
  <c r="M22" i="36"/>
  <c r="O22" i="36" s="1"/>
  <c r="L6" i="27"/>
  <c r="M25" i="36"/>
  <c r="O25" i="36" s="1"/>
  <c r="M24" i="36"/>
  <c r="O24" i="36" s="1"/>
  <c r="L22" i="27"/>
  <c r="G19" i="36"/>
  <c r="L8" i="27"/>
  <c r="M26" i="36"/>
  <c r="O26" i="36" s="1"/>
  <c r="I87" i="10"/>
  <c r="M27" i="36"/>
  <c r="O27" i="36" s="1"/>
  <c r="G10" i="36"/>
  <c r="G20" i="36"/>
  <c r="G11" i="36"/>
  <c r="M20" i="36"/>
  <c r="O20" i="36" s="1"/>
  <c r="G14" i="36"/>
  <c r="G23" i="36"/>
  <c r="M28" i="36"/>
  <c r="O28" i="36" s="1"/>
  <c r="G22" i="36"/>
  <c r="M9" i="36"/>
  <c r="O9" i="36" s="1"/>
  <c r="M15" i="36"/>
  <c r="O15" i="36" s="1"/>
  <c r="G21" i="36"/>
  <c r="O21" i="36"/>
  <c r="O10" i="36"/>
  <c r="O18" i="36"/>
  <c r="O23" i="36"/>
  <c r="L19" i="27"/>
  <c r="L15" i="27"/>
  <c r="L18" i="27"/>
  <c r="L20" i="27"/>
  <c r="L12" i="27"/>
  <c r="L24" i="27"/>
  <c r="L13" i="27"/>
  <c r="O8" i="36"/>
  <c r="L11" i="27"/>
</calcChain>
</file>

<file path=xl/sharedStrings.xml><?xml version="1.0" encoding="utf-8"?>
<sst xmlns="http://schemas.openxmlformats.org/spreadsheetml/2006/main" count="1192" uniqueCount="326">
  <si>
    <t>Date</t>
  </si>
  <si>
    <t>UK PMI</t>
  </si>
  <si>
    <t>Spanish PMI</t>
  </si>
  <si>
    <t>Italy PMI</t>
  </si>
  <si>
    <t>Germany PMI</t>
  </si>
  <si>
    <t>Change</t>
  </si>
  <si>
    <t>France PMI</t>
  </si>
  <si>
    <t>Canada PMI</t>
  </si>
  <si>
    <t>Greece PMI</t>
  </si>
  <si>
    <t>Ireland PMI</t>
  </si>
  <si>
    <t>Australia PMI</t>
  </si>
  <si>
    <t>India PMI</t>
  </si>
  <si>
    <t>Brasil PMI</t>
  </si>
  <si>
    <t>Mexico PMI</t>
  </si>
  <si>
    <t>Russia PMI</t>
  </si>
  <si>
    <t>Global</t>
  </si>
  <si>
    <t>US</t>
  </si>
  <si>
    <t>UK</t>
  </si>
  <si>
    <t xml:space="preserve">China </t>
  </si>
  <si>
    <t>EA</t>
  </si>
  <si>
    <t>Japan PMI</t>
  </si>
  <si>
    <t xml:space="preserve">Japan </t>
  </si>
  <si>
    <t>Germany</t>
  </si>
  <si>
    <t>France</t>
  </si>
  <si>
    <t>Brazil</t>
  </si>
  <si>
    <t xml:space="preserve">Italy </t>
  </si>
  <si>
    <t>Spain</t>
  </si>
  <si>
    <t>Russia</t>
  </si>
  <si>
    <t>Australia</t>
  </si>
  <si>
    <t>Mexico</t>
  </si>
  <si>
    <t>Greece</t>
  </si>
  <si>
    <t>Ireland</t>
  </si>
  <si>
    <t>Indonesia</t>
  </si>
  <si>
    <t xml:space="preserve">S Korea </t>
  </si>
  <si>
    <t>Taiwan</t>
  </si>
  <si>
    <t>Canada</t>
  </si>
  <si>
    <t>PMI</t>
  </si>
  <si>
    <t>Country</t>
  </si>
  <si>
    <t>Sweden</t>
  </si>
  <si>
    <t>Czech</t>
  </si>
  <si>
    <t>Norway</t>
  </si>
  <si>
    <t>Turkey</t>
  </si>
  <si>
    <t>Poland</t>
  </si>
  <si>
    <t>Euro Area PMI</t>
  </si>
  <si>
    <t>India</t>
  </si>
  <si>
    <t>Euro Area GDP q/q %</t>
  </si>
  <si>
    <t>Germany GDP q/q</t>
  </si>
  <si>
    <t>French GDP q/q</t>
  </si>
  <si>
    <t>Spanish GDP q/q</t>
  </si>
  <si>
    <t>Italy GDP q/q</t>
  </si>
  <si>
    <t xml:space="preserve">GDP Change y/y </t>
  </si>
  <si>
    <t>UK ESI</t>
  </si>
  <si>
    <t>ESI</t>
  </si>
  <si>
    <t>Japan GDP Growth q/q</t>
  </si>
  <si>
    <t>Canada GDP Growth q/q</t>
  </si>
  <si>
    <t>Ireland GDP Growth q/q</t>
  </si>
  <si>
    <t>India GDP Growth q/q</t>
  </si>
  <si>
    <t>Brazil GDP Growth q/q</t>
  </si>
  <si>
    <t>Mexico GDP Growth q/q</t>
  </si>
  <si>
    <t>S Korea PMI</t>
  </si>
  <si>
    <t>S Korea GDP Growth q/q</t>
  </si>
  <si>
    <t>Taiwan GDP Growth q/q</t>
  </si>
  <si>
    <t>Turkey PMI</t>
  </si>
  <si>
    <t>Turkey GDP Growth q/q</t>
  </si>
  <si>
    <t>Greece GDP Growth q/q</t>
  </si>
  <si>
    <t>Russian GDP Growth q/q</t>
  </si>
  <si>
    <t>Poland Manufacturing PMI</t>
  </si>
  <si>
    <t>Poland GDP Growth q/q</t>
  </si>
  <si>
    <t>Czech Manufacturing PMI</t>
  </si>
  <si>
    <t>Czech GDP Growth q/q</t>
  </si>
  <si>
    <t>US GDP Growth q/q</t>
  </si>
  <si>
    <t>US Manufactung  PMI</t>
  </si>
  <si>
    <t>Global Manufacturing PMI</t>
  </si>
  <si>
    <t>China GDP q/q</t>
  </si>
  <si>
    <t>China GDP y/y %</t>
  </si>
  <si>
    <t>HSBC China PMI</t>
  </si>
  <si>
    <t>Index</t>
  </si>
  <si>
    <t>Summary</t>
  </si>
  <si>
    <t>Reading</t>
  </si>
  <si>
    <t>Points</t>
  </si>
  <si>
    <t>Previous</t>
  </si>
  <si>
    <t>Latest</t>
  </si>
  <si>
    <t xml:space="preserve">Global </t>
  </si>
  <si>
    <t>United Kingdom</t>
  </si>
  <si>
    <t>Italy</t>
  </si>
  <si>
    <t>China</t>
  </si>
  <si>
    <t>Japan</t>
  </si>
  <si>
    <t>United States</t>
  </si>
  <si>
    <t>Country Name</t>
  </si>
  <si>
    <t>% World GDP</t>
  </si>
  <si>
    <t>Key Rate</t>
  </si>
  <si>
    <t xml:space="preserve">Inflation </t>
  </si>
  <si>
    <t xml:space="preserve">GDP y/y </t>
  </si>
  <si>
    <t xml:space="preserve">GDP q/q </t>
  </si>
  <si>
    <t>Indonesia PMI</t>
  </si>
  <si>
    <t>GDP Growth q/q</t>
  </si>
  <si>
    <t xml:space="preserve">Czech </t>
  </si>
  <si>
    <t>Growing, slower</t>
  </si>
  <si>
    <t>Growing, faster</t>
  </si>
  <si>
    <t>Contracting, slower</t>
  </si>
  <si>
    <t>Trend</t>
  </si>
  <si>
    <t>CA</t>
  </si>
  <si>
    <t>EZ</t>
  </si>
  <si>
    <t>DE</t>
  </si>
  <si>
    <t>FR</t>
  </si>
  <si>
    <t>IT</t>
  </si>
  <si>
    <t>ES</t>
  </si>
  <si>
    <t>EL</t>
  </si>
  <si>
    <t>IR</t>
  </si>
  <si>
    <t>CH</t>
  </si>
  <si>
    <t>JP</t>
  </si>
  <si>
    <t>BRL</t>
  </si>
  <si>
    <t>IND</t>
  </si>
  <si>
    <t>RS</t>
  </si>
  <si>
    <t>MX</t>
  </si>
  <si>
    <t>AU</t>
  </si>
  <si>
    <t>SK</t>
  </si>
  <si>
    <t>INS</t>
  </si>
  <si>
    <t>TW</t>
  </si>
  <si>
    <t>TUR</t>
  </si>
  <si>
    <t>CZ</t>
  </si>
  <si>
    <t>PL</t>
  </si>
  <si>
    <t>Contracting, faster</t>
  </si>
  <si>
    <t>Contracting, from Growing</t>
  </si>
  <si>
    <t>SPY ETF</t>
  </si>
  <si>
    <t>EWC ETF</t>
  </si>
  <si>
    <t>Monthly</t>
  </si>
  <si>
    <t>Austria</t>
  </si>
  <si>
    <t>Czech Republic</t>
  </si>
  <si>
    <t>Egypt</t>
  </si>
  <si>
    <t>Euro Area</t>
  </si>
  <si>
    <t>Hong Kong</t>
  </si>
  <si>
    <t>Saudi Arabia</t>
  </si>
  <si>
    <t>Singapore</t>
  </si>
  <si>
    <t>South Africa</t>
  </si>
  <si>
    <t>South Korea</t>
  </si>
  <si>
    <t>Switzerland</t>
  </si>
  <si>
    <t>United Arab Emirates</t>
  </si>
  <si>
    <t>Last</t>
  </si>
  <si>
    <t>Highest</t>
  </si>
  <si>
    <t>Lowest</t>
  </si>
  <si>
    <t>Unit</t>
  </si>
  <si>
    <t>Reference</t>
  </si>
  <si>
    <t>Frequency</t>
  </si>
  <si>
    <t>Growing, from Contracting</t>
  </si>
  <si>
    <t>             </t>
  </si>
  <si>
    <t>Oct</t>
  </si>
  <si>
    <t>Growing, at same rate</t>
  </si>
  <si>
    <t>[+]</t>
  </si>
  <si>
    <t>Netherlands</t>
  </si>
  <si>
    <t>New Zealand</t>
  </si>
  <si>
    <t>Vietnam</t>
  </si>
  <si>
    <t>Taiwan PMI</t>
  </si>
  <si>
    <t>Nov</t>
  </si>
  <si>
    <t>GDP</t>
  </si>
  <si>
    <t>GDP YoY</t>
  </si>
  <si>
    <t>GDP QoQ</t>
  </si>
  <si>
    <t>Interest rate</t>
  </si>
  <si>
    <t>Inflation rate</t>
  </si>
  <si>
    <t>Jobless rate</t>
  </si>
  <si>
    <t>Gov. Budget</t>
  </si>
  <si>
    <t>Debt/GDP</t>
  </si>
  <si>
    <t>Current Account</t>
  </si>
  <si>
    <t>Currency</t>
  </si>
  <si>
    <t>Population</t>
  </si>
  <si>
    <t>Argentina</t>
  </si>
  <si>
    <t>Nigeria</t>
  </si>
  <si>
    <t>Belgium</t>
  </si>
  <si>
    <t>Venezuela</t>
  </si>
  <si>
    <t>Thailand</t>
  </si>
  <si>
    <t>Colombia</t>
  </si>
  <si>
    <t>Iran</t>
  </si>
  <si>
    <t>Denmark</t>
  </si>
  <si>
    <t>Malaysia</t>
  </si>
  <si>
    <t>Israel</t>
  </si>
  <si>
    <t>Chile</t>
  </si>
  <si>
    <t>Philippines</t>
  </si>
  <si>
    <t>Finland</t>
  </si>
  <si>
    <t>Pakistan</t>
  </si>
  <si>
    <t>Kazakhstan</t>
  </si>
  <si>
    <t>Iraq</t>
  </si>
  <si>
    <t>Portugal</t>
  </si>
  <si>
    <t>Algeria</t>
  </si>
  <si>
    <t>Qatar</t>
  </si>
  <si>
    <t>Peru</t>
  </si>
  <si>
    <t>Romania</t>
  </si>
  <si>
    <t>Kuwait</t>
  </si>
  <si>
    <t>Ukraine</t>
  </si>
  <si>
    <t>Bangladesh</t>
  </si>
  <si>
    <t>Hungary</t>
  </si>
  <si>
    <t>Angola</t>
  </si>
  <si>
    <t>Morocco</t>
  </si>
  <si>
    <t>Puerto Rico</t>
  </si>
  <si>
    <t>Slovakia</t>
  </si>
  <si>
    <t>Ecuador</t>
  </si>
  <si>
    <t>Oman</t>
  </si>
  <si>
    <t>Libya</t>
  </si>
  <si>
    <t>Azerbaijan</t>
  </si>
  <si>
    <t>Syria</t>
  </si>
  <si>
    <t>Belarus</t>
  </si>
  <si>
    <t>Cuba</t>
  </si>
  <si>
    <t>Sri Lanka</t>
  </si>
  <si>
    <t>Sudan</t>
  </si>
  <si>
    <t>Dominican Republic</t>
  </si>
  <si>
    <t>Luxembourg</t>
  </si>
  <si>
    <t>Croatia</t>
  </si>
  <si>
    <t>Uzbekistan</t>
  </si>
  <si>
    <t>Uruguay</t>
  </si>
  <si>
    <t>Guatemala</t>
  </si>
  <si>
    <t>Bulgaria</t>
  </si>
  <si>
    <t>Myanmar</t>
  </si>
  <si>
    <t>Macao</t>
  </si>
  <si>
    <t>Costa Rica</t>
  </si>
  <si>
    <t>Ghana</t>
  </si>
  <si>
    <t>Ethiopia</t>
  </si>
  <si>
    <t>Tunisia</t>
  </si>
  <si>
    <t>Slovenia</t>
  </si>
  <si>
    <t>Lebanon</t>
  </si>
  <si>
    <t>Kenya</t>
  </si>
  <si>
    <t>Panama</t>
  </si>
  <si>
    <t>Serbia</t>
  </si>
  <si>
    <t>Lithuania</t>
  </si>
  <si>
    <t>Turkmenistan</t>
  </si>
  <si>
    <t>Yemen</t>
  </si>
  <si>
    <t>Jordan</t>
  </si>
  <si>
    <t>Bahrain</t>
  </si>
  <si>
    <t>Tanzania</t>
  </si>
  <si>
    <t>Congo</t>
  </si>
  <si>
    <t>Bolivia</t>
  </si>
  <si>
    <t>Ivory Coast</t>
  </si>
  <si>
    <t>Paraguay</t>
  </si>
  <si>
    <t>Cameroon</t>
  </si>
  <si>
    <t>Latvia</t>
  </si>
  <si>
    <t>Trinidad and Tobago</t>
  </si>
  <si>
    <t>Estonia</t>
  </si>
  <si>
    <t>El Salvador</t>
  </si>
  <si>
    <t>Cyprus</t>
  </si>
  <si>
    <t>Zambia</t>
  </si>
  <si>
    <t>Uganda</t>
  </si>
  <si>
    <t>Afghanistan</t>
  </si>
  <si>
    <t>Gabon</t>
  </si>
  <si>
    <t>Honduras</t>
  </si>
  <si>
    <t>Nepal</t>
  </si>
  <si>
    <t>Bosnia and Herzegovina</t>
  </si>
  <si>
    <t>Brunei</t>
  </si>
  <si>
    <t>Georgia</t>
  </si>
  <si>
    <t>Equatorial Guinea</t>
  </si>
  <si>
    <t>Iceland</t>
  </si>
  <si>
    <t>Cambodia</t>
  </si>
  <si>
    <t>Botswana</t>
  </si>
  <si>
    <t>Senegal</t>
  </si>
  <si>
    <t>Papua New Guinea</t>
  </si>
  <si>
    <t>Mozambique</t>
  </si>
  <si>
    <t>Republic of the Congo</t>
  </si>
  <si>
    <t>Jamaica</t>
  </si>
  <si>
    <t>South Sudan</t>
  </si>
  <si>
    <t>Zimbabwe</t>
  </si>
  <si>
    <t>Namibia</t>
  </si>
  <si>
    <t>Albania</t>
  </si>
  <si>
    <t>Chad</t>
  </si>
  <si>
    <t>Burkina Faso</t>
  </si>
  <si>
    <t>Mongolia</t>
  </si>
  <si>
    <t>Mauritius</t>
  </si>
  <si>
    <t>Mali</t>
  </si>
  <si>
    <t>Madagascar</t>
  </si>
  <si>
    <t>Laos</t>
  </si>
  <si>
    <t>Nicaragua</t>
  </si>
  <si>
    <t>New Caledonia</t>
  </si>
  <si>
    <t>Macedonia</t>
  </si>
  <si>
    <t>Armenia</t>
  </si>
  <si>
    <t>Malta</t>
  </si>
  <si>
    <t>Tajikistan</t>
  </si>
  <si>
    <t>Moldova</t>
  </si>
  <si>
    <t>Benin</t>
  </si>
  <si>
    <t>Bahamas</t>
  </si>
  <si>
    <t>Haiti</t>
  </si>
  <si>
    <t>Kyrgyzstan</t>
  </si>
  <si>
    <t>Kosovo</t>
  </si>
  <si>
    <t>Niger</t>
  </si>
  <si>
    <t>Palestine</t>
  </si>
  <si>
    <t>Rwanda</t>
  </si>
  <si>
    <t>Monaco</t>
  </si>
  <si>
    <t>Guinea</t>
  </si>
  <si>
    <t>Liechtenstein</t>
  </si>
  <si>
    <t>Sierra Leone</t>
  </si>
  <si>
    <t>Suriname</t>
  </si>
  <si>
    <t>Swaziland</t>
  </si>
  <si>
    <t>Togo</t>
  </si>
  <si>
    <t>Montenegro</t>
  </si>
  <si>
    <t>Malawi</t>
  </si>
  <si>
    <t>Mauritania</t>
  </si>
  <si>
    <t>Fiji</t>
  </si>
  <si>
    <t>Guyana</t>
  </si>
  <si>
    <t>Eritrea</t>
  </si>
  <si>
    <t>Burundi</t>
  </si>
  <si>
    <t>Cayman Islands</t>
  </si>
  <si>
    <t>Central African Republic</t>
  </si>
  <si>
    <t>Cape Verde</t>
  </si>
  <si>
    <t>Bhutan</t>
  </si>
  <si>
    <t>East Timor</t>
  </si>
  <si>
    <t>Maldives</t>
  </si>
  <si>
    <t>Lesotho</t>
  </si>
  <si>
    <t>Liberia</t>
  </si>
  <si>
    <t>Seychelles</t>
  </si>
  <si>
    <t>Djibouti</t>
  </si>
  <si>
    <t>Guinea Bissau</t>
  </si>
  <si>
    <t>Gambia</t>
  </si>
  <si>
    <t>Comoros</t>
  </si>
  <si>
    <t>Somalia</t>
  </si>
  <si>
    <t>Sao Tome and Principe</t>
  </si>
  <si>
    <t>Contracting, at same rate</t>
  </si>
  <si>
    <t>UK GDP Growth q/q</t>
  </si>
  <si>
    <t>percent</t>
  </si>
  <si>
    <t>Quarterly</t>
  </si>
  <si>
    <t>Yearly</t>
  </si>
  <si>
    <t>Belize</t>
  </si>
  <si>
    <t>Bosnia And Herzegovina</t>
  </si>
  <si>
    <t>European Union</t>
  </si>
  <si>
    <t>Names Tab</t>
  </si>
  <si>
    <t>All Tabs GDP Growth</t>
  </si>
  <si>
    <t>Rows 26-27 REFRESHED to May/Jun-2026 (S&amp;P Global press releases via web, fetched 2026-07-03; China block = Caixin/RatingDog, HSBC lineage). Rows 4-25 remain the 2012-14 teaching corpus. May row Change left blank (Apr-2026 not tracked). Cross-checks: US ISM Jun 53.3 (May 54.0); China NBS official Jun 50.3 (May 50.0).</t>
  </si>
  <si>
    <t>Jun-26</t>
  </si>
  <si>
    <t>May-26</t>
  </si>
  <si>
    <t>REFRESHED 2026-07-03 for the 24 PMI-dashboard countries: GDP y/y + key rate + inflation = GMD 2026_06 2025 actuals (US/UK/AU/CN/EZ overridden with live FRED readings; Taiwan rate = 2023 latest). GDP q/q blanked (not tracked free). Other countries remain 2014-vintage.</t>
  </si>
  <si>
    <t>gap 2015-Apr26: S&amp;P Global licensed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</si>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</sst>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0.0"/>
    <numFmt numFmtId="166" formatCode="0.0%"/>
    <numFmt numFmtId="167" formatCode="yyyy/mm/dd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Georgia"/>
      <family val="1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FF"/>
      <name val="Garamond"/>
      <family val="1"/>
    </font>
    <font>
      <b/>
      <i/>
      <sz val="11"/>
      <color theme="1"/>
      <name val="Garamond"/>
      <family val="1"/>
    </font>
    <font>
      <b/>
      <sz val="10"/>
      <color theme="1"/>
      <name val="Garamond"/>
      <family val="1"/>
    </font>
    <font>
      <sz val="10"/>
      <color theme="1"/>
      <name val="Calibri"/>
      <family val="2"/>
      <scheme val="minor"/>
    </font>
    <font>
      <b/>
      <sz val="11"/>
      <color theme="1"/>
      <name val="Garamond"/>
      <family val="1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Garamond"/>
      <family val="1"/>
    </font>
    <font>
      <b/>
      <sz val="10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name val="Calibri"/>
      <scheme val="minor"/>
    </font>
    <font>
      <sz val="11"/>
      <color theme="1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AFA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6FFF6"/>
        <bgColor indexed="64"/>
      </patternFill>
    </fill>
    <fill>
      <patternFill patternType="solid">
        <fgColor rgb="FFE9FFE9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EEFFEE"/>
        <bgColor indexed="64"/>
      </patternFill>
    </fill>
    <fill>
      <patternFill patternType="solid">
        <fgColor rgb="FFFF787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17" fontId="1" fillId="0" borderId="0" xfId="0" applyNumberFormat="1" applyFont="1" applyAlignment="1">
      <alignment horizontal="left" vertical="top" wrapText="1"/>
    </xf>
    <xf numFmtId="165" fontId="0" fillId="0" borderId="0" xfId="0" applyNumberFormat="1"/>
    <xf numFmtId="14" fontId="0" fillId="0" borderId="0" xfId="0" applyNumberFormat="1"/>
    <xf numFmtId="0" fontId="0" fillId="0" borderId="4" xfId="0" applyBorder="1" applyAlignment="1">
      <alignment wrapText="1"/>
    </xf>
    <xf numFmtId="166" fontId="0" fillId="0" borderId="0" xfId="0" applyNumberFormat="1"/>
    <xf numFmtId="165" fontId="0" fillId="0" borderId="0" xfId="0" applyNumberFormat="1" applyAlignment="1">
      <alignment horizontal="center" vertical="center"/>
    </xf>
    <xf numFmtId="10" fontId="0" fillId="0" borderId="0" xfId="0" applyNumberFormat="1"/>
    <xf numFmtId="0" fontId="4" fillId="6" borderId="0" xfId="0" applyFont="1" applyFill="1" applyAlignment="1">
      <alignment vertical="top" wrapText="1"/>
    </xf>
    <xf numFmtId="17" fontId="1" fillId="0" borderId="3" xfId="0" applyNumberFormat="1" applyFont="1" applyBorder="1" applyAlignment="1">
      <alignment horizontal="left" vertical="top" wrapText="1"/>
    </xf>
    <xf numFmtId="165" fontId="0" fillId="0" borderId="3" xfId="0" applyNumberFormat="1" applyBorder="1"/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" fontId="1" fillId="0" borderId="0" xfId="0" applyNumberFormat="1" applyFont="1" applyAlignment="1">
      <alignment horizontal="left" vertical="center" wrapText="1"/>
    </xf>
    <xf numFmtId="17" fontId="1" fillId="0" borderId="3" xfId="0" applyNumberFormat="1" applyFont="1" applyBorder="1" applyAlignment="1">
      <alignment horizontal="left" vertical="center" wrapText="1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3" xfId="0" applyNumberForma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right" vertical="center"/>
    </xf>
    <xf numFmtId="165" fontId="7" fillId="0" borderId="3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right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right" vertical="center" wrapText="1"/>
    </xf>
    <xf numFmtId="165" fontId="0" fillId="4" borderId="3" xfId="0" applyNumberFormat="1" applyFill="1" applyBorder="1" applyAlignment="1">
      <alignment horizontal="center" vertical="center" wrapText="1"/>
    </xf>
    <xf numFmtId="165" fontId="0" fillId="7" borderId="3" xfId="0" applyNumberFormat="1" applyFill="1" applyBorder="1" applyAlignment="1">
      <alignment horizontal="right" vertical="center" wrapText="1"/>
    </xf>
    <xf numFmtId="165" fontId="0" fillId="5" borderId="3" xfId="0" applyNumberFormat="1" applyFill="1" applyBorder="1" applyAlignment="1">
      <alignment horizontal="center" vertical="center" wrapText="1"/>
    </xf>
    <xf numFmtId="165" fontId="0" fillId="8" borderId="3" xfId="0" applyNumberForma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vertical="center"/>
    </xf>
    <xf numFmtId="166" fontId="10" fillId="3" borderId="8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" fontId="3" fillId="0" borderId="3" xfId="0" applyNumberFormat="1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9" fontId="0" fillId="0" borderId="0" xfId="0" applyNumberFormat="1"/>
    <xf numFmtId="0" fontId="16" fillId="3" borderId="3" xfId="0" applyFont="1" applyFill="1" applyBorder="1" applyAlignment="1">
      <alignment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165" fontId="0" fillId="2" borderId="8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vertical="center"/>
    </xf>
    <xf numFmtId="0" fontId="2" fillId="0" borderId="0" xfId="0" applyFont="1"/>
    <xf numFmtId="17" fontId="2" fillId="11" borderId="0" xfId="0" applyNumberFormat="1" applyFont="1" applyFill="1"/>
    <xf numFmtId="0" fontId="17" fillId="0" borderId="0" xfId="0" applyFont="1"/>
    <xf numFmtId="0" fontId="13" fillId="0" borderId="3" xfId="0" applyFont="1" applyBorder="1"/>
    <xf numFmtId="17" fontId="15" fillId="2" borderId="3" xfId="0" applyNumberFormat="1" applyFont="1" applyFill="1" applyBorder="1" applyAlignment="1">
      <alignment horizontal="left" vertical="top" wrapText="1"/>
    </xf>
    <xf numFmtId="165" fontId="13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8" fillId="12" borderId="12" xfId="0" applyFont="1" applyFill="1" applyBorder="1" applyAlignment="1">
      <alignment horizontal="center" vertical="top"/>
    </xf>
    <xf numFmtId="0" fontId="18" fillId="13" borderId="12" xfId="0" applyFont="1" applyFill="1" applyBorder="1" applyAlignment="1">
      <alignment horizontal="center" vertical="top"/>
    </xf>
    <xf numFmtId="0" fontId="8" fillId="3" borderId="11" xfId="0" applyFont="1" applyFill="1" applyBorder="1"/>
    <xf numFmtId="0" fontId="8" fillId="3" borderId="14" xfId="0" applyFont="1" applyFill="1" applyBorder="1"/>
    <xf numFmtId="166" fontId="10" fillId="3" borderId="3" xfId="0" applyNumberFormat="1" applyFon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11" fillId="10" borderId="3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166" fontId="10" fillId="3" borderId="11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0" fontId="11" fillId="4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vertical="center"/>
    </xf>
    <xf numFmtId="0" fontId="18" fillId="6" borderId="12" xfId="0" applyFont="1" applyFill="1" applyBorder="1" applyAlignment="1">
      <alignment vertical="top"/>
    </xf>
    <xf numFmtId="17" fontId="18" fillId="6" borderId="12" xfId="0" applyNumberFormat="1" applyFont="1" applyFill="1" applyBorder="1" applyAlignment="1">
      <alignment vertical="top"/>
    </xf>
    <xf numFmtId="0" fontId="18" fillId="14" borderId="12" xfId="0" applyFont="1" applyFill="1" applyBorder="1" applyAlignment="1">
      <alignment vertical="top"/>
    </xf>
    <xf numFmtId="17" fontId="18" fillId="14" borderId="12" xfId="0" applyNumberFormat="1" applyFont="1" applyFill="1" applyBorder="1" applyAlignment="1">
      <alignment vertical="top"/>
    </xf>
    <xf numFmtId="0" fontId="18" fillId="6" borderId="13" xfId="0" applyFont="1" applyFill="1" applyBorder="1" applyAlignment="1">
      <alignment horizontal="left" wrapText="1"/>
    </xf>
    <xf numFmtId="17" fontId="1" fillId="0" borderId="15" xfId="0" applyNumberFormat="1" applyFont="1" applyBorder="1" applyAlignment="1">
      <alignment horizontal="left" vertical="center" wrapText="1"/>
    </xf>
    <xf numFmtId="165" fontId="0" fillId="0" borderId="15" xfId="0" applyNumberForma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7" fontId="2" fillId="3" borderId="3" xfId="0" applyNumberFormat="1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top" wrapText="1"/>
    </xf>
    <xf numFmtId="10" fontId="18" fillId="15" borderId="12" xfId="0" applyNumberFormat="1" applyFont="1" applyFill="1" applyBorder="1" applyAlignment="1">
      <alignment horizontal="center" vertical="top" wrapText="1"/>
    </xf>
    <xf numFmtId="10" fontId="18" fillId="16" borderId="12" xfId="0" applyNumberFormat="1" applyFont="1" applyFill="1" applyBorder="1" applyAlignment="1">
      <alignment horizontal="center" vertical="top" wrapText="1"/>
    </xf>
    <xf numFmtId="10" fontId="18" fillId="17" borderId="12" xfId="0" applyNumberFormat="1" applyFont="1" applyFill="1" applyBorder="1" applyAlignment="1">
      <alignment horizontal="center" vertical="top" wrapText="1"/>
    </xf>
    <xf numFmtId="10" fontId="18" fillId="18" borderId="12" xfId="0" applyNumberFormat="1" applyFont="1" applyFill="1" applyBorder="1" applyAlignment="1">
      <alignment horizontal="center" vertical="top" wrapText="1"/>
    </xf>
    <xf numFmtId="10" fontId="18" fillId="19" borderId="12" xfId="0" applyNumberFormat="1" applyFont="1" applyFill="1" applyBorder="1" applyAlignment="1">
      <alignment horizontal="center" vertical="top" wrapText="1"/>
    </xf>
    <xf numFmtId="10" fontId="18" fillId="20" borderId="12" xfId="0" applyNumberFormat="1" applyFont="1" applyFill="1" applyBorder="1" applyAlignment="1">
      <alignment horizontal="center" vertical="top" wrapText="1"/>
    </xf>
    <xf numFmtId="10" fontId="18" fillId="21" borderId="12" xfId="0" applyNumberFormat="1" applyFont="1" applyFill="1" applyBorder="1" applyAlignment="1">
      <alignment horizontal="center" vertical="top" wrapText="1"/>
    </xf>
    <xf numFmtId="17" fontId="1" fillId="22" borderId="3" xfId="0" applyNumberFormat="1" applyFont="1" applyFill="1" applyBorder="1" applyAlignment="1">
      <alignment horizontal="left" vertical="center" wrapText="1"/>
    </xf>
    <xf numFmtId="17" fontId="1" fillId="0" borderId="18" xfId="0" applyNumberFormat="1" applyFont="1" applyBorder="1" applyAlignment="1">
      <alignment horizontal="left" vertical="center" wrapText="1"/>
    </xf>
    <xf numFmtId="17" fontId="19" fillId="0" borderId="3" xfId="0" applyNumberFormat="1" applyFont="1" applyBorder="1" applyAlignment="1">
      <alignment horizontal="left" vertical="center" wrapText="1"/>
    </xf>
    <xf numFmtId="17" fontId="19" fillId="0" borderId="15" xfId="0" applyNumberFormat="1" applyFont="1" applyBorder="1" applyAlignment="1">
      <alignment horizontal="left" vertical="center" wrapText="1"/>
    </xf>
    <xf numFmtId="165" fontId="0" fillId="0" borderId="15" xfId="0" applyNumberFormat="1" applyBorder="1" applyAlignment="1">
      <alignment horizontal="right" vertical="center"/>
    </xf>
    <xf numFmtId="164" fontId="19" fillId="0" borderId="3" xfId="0" applyNumberFormat="1" applyFont="1" applyBorder="1" applyAlignment="1">
      <alignment horizontal="left" vertical="center" wrapText="1"/>
    </xf>
    <xf numFmtId="164" fontId="19" fillId="0" borderId="15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165" fontId="0" fillId="0" borderId="15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17" fontId="19" fillId="0" borderId="3" xfId="0" applyNumberFormat="1" applyFont="1" applyBorder="1" applyAlignment="1">
      <alignment horizontal="left" vertical="top" wrapText="1"/>
    </xf>
    <xf numFmtId="17" fontId="19" fillId="0" borderId="15" xfId="0" applyNumberFormat="1" applyFont="1" applyBorder="1" applyAlignment="1">
      <alignment horizontal="left" vertical="top" wrapText="1"/>
    </xf>
    <xf numFmtId="165" fontId="0" fillId="0" borderId="15" xfId="0" applyNumberFormat="1" applyBorder="1" applyAlignment="1">
      <alignment horizontal="center"/>
    </xf>
    <xf numFmtId="165" fontId="0" fillId="0" borderId="15" xfId="0" applyNumberFormat="1" applyBorder="1"/>
    <xf numFmtId="49" fontId="11" fillId="3" borderId="3" xfId="0" applyNumberFormat="1" applyFont="1" applyFill="1" applyBorder="1" applyAlignment="1">
      <alignment horizontal="center" vertical="center"/>
    </xf>
    <xf numFmtId="165" fontId="20" fillId="5" borderId="15" xfId="0" applyNumberFormat="1" applyFont="1" applyFill="1" applyBorder="1" applyAlignment="1">
      <alignment horizontal="center" vertical="center" wrapText="1"/>
    </xf>
    <xf numFmtId="165" fontId="20" fillId="8" borderId="15" xfId="0" applyNumberFormat="1" applyFont="1" applyFill="1" applyBorder="1" applyAlignment="1">
      <alignment horizontal="right" vertical="center" wrapText="1"/>
    </xf>
    <xf numFmtId="167" fontId="1" fillId="0" borderId="3" xfId="0" applyNumberFormat="1" applyFont="1" applyBorder="1" applyAlignment="1">
      <alignment horizontal="left" vertical="center" wrapText="1"/>
    </xf>
    <xf numFmtId="167" fontId="19" fillId="0" borderId="15" xfId="0" applyNumberFormat="1" applyFont="1" applyBorder="1" applyAlignment="1">
      <alignment horizontal="left" vertical="center" wrapText="1"/>
    </xf>
    <xf numFmtId="167" fontId="0" fillId="0" borderId="15" xfId="0" applyNumberFormat="1" applyBorder="1" applyAlignment="1">
      <alignment vertical="center"/>
    </xf>
    <xf numFmtId="167" fontId="20" fillId="0" borderId="19" xfId="0" applyNumberFormat="1" applyFont="1" applyBorder="1" applyAlignment="1">
      <alignment horizontal="center" vertical="center" wrapText="1"/>
    </xf>
    <xf numFmtId="167" fontId="19" fillId="0" borderId="15" xfId="0" applyNumberFormat="1" applyFont="1" applyBorder="1" applyAlignment="1">
      <alignment horizontal="left" vertical="top" wrapText="1"/>
    </xf>
    <xf numFmtId="0" fontId="12" fillId="0" borderId="10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0" xfId="0"/>
    <xf numFmtId="0" fontId="18" fillId="6" borderId="16" xfId="0" applyFont="1" applyFill="1" applyBorder="1" applyAlignment="1">
      <alignment horizontal="left" vertical="center"/>
    </xf>
    <xf numFmtId="0" fontId="18" fillId="6" borderId="17" xfId="0" applyFont="1" applyFill="1" applyBorder="1" applyAlignment="1">
      <alignment horizontal="left" vertical="center"/>
    </xf>
  </cellXfs>
  <cellStyles count="1">
    <cellStyle name="Normal" xfId="0" builtinId="0"/>
  </cellStyles>
  <dxfs count="93">
    <dxf>
      <font>
        <b/>
        <i val="0"/>
        <color rgb="FF2A10EA"/>
      </font>
    </dxf>
    <dxf>
      <font>
        <b/>
        <i val="0"/>
        <color rgb="FFFF0000"/>
      </font>
    </dxf>
    <dxf>
      <font>
        <b/>
        <i val="0"/>
        <color rgb="FF07CB48"/>
      </font>
    </dxf>
    <dxf>
      <numFmt numFmtId="166" formatCode="0.0%"/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mmm\-yy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fill>
        <patternFill patternType="solid">
          <fgColor indexed="64"/>
          <bgColor rgb="FFFF00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mmm\-yy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mmm\-yy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mmm\-yy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mmm\-yy;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mmm\-yy;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165" formatCode="0.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2" formatCode="mmm\-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Medium9"/>
  <colors>
    <mruColors>
      <color rgb="FFD9E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Global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Global!$B$71</c:f>
              <c:strCache>
                <c:ptCount val="1"/>
                <c:pt idx="0">
                  <c:v>Global Manufacturing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Global!$A$72:$A$285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Global!$B$72:$B$285</c:f>
              <c:numCache>
                <c:formatCode>General</c:formatCode>
                <c:ptCount val="214"/>
                <c:pt idx="0">
                  <c:v>53.7</c:v>
                </c:pt>
                <c:pt idx="1">
                  <c:v>54</c:v>
                </c:pt>
                <c:pt idx="2">
                  <c:v>54.9</c:v>
                </c:pt>
                <c:pt idx="3">
                  <c:v>57.2</c:v>
                </c:pt>
                <c:pt idx="4">
                  <c:v>58.2</c:v>
                </c:pt>
                <c:pt idx="5">
                  <c:v>56</c:v>
                </c:pt>
                <c:pt idx="6">
                  <c:v>55.5</c:v>
                </c:pt>
                <c:pt idx="7">
                  <c:v>53.1</c:v>
                </c:pt>
                <c:pt idx="8">
                  <c:v>52.8</c:v>
                </c:pt>
                <c:pt idx="9">
                  <c:v>50.9</c:v>
                </c:pt>
                <c:pt idx="10">
                  <c:v>50.4</c:v>
                </c:pt>
                <c:pt idx="11">
                  <c:v>50.1</c:v>
                </c:pt>
                <c:pt idx="12">
                  <c:v>49.5</c:v>
                </c:pt>
                <c:pt idx="13">
                  <c:v>49.6</c:v>
                </c:pt>
                <c:pt idx="14">
                  <c:v>50.4</c:v>
                </c:pt>
                <c:pt idx="15" formatCode="0.0">
                  <c:v>51</c:v>
                </c:pt>
                <c:pt idx="16" formatCode="0.0">
                  <c:v>51.2</c:v>
                </c:pt>
                <c:pt idx="17" formatCode="0.0">
                  <c:v>51.6</c:v>
                </c:pt>
                <c:pt idx="18" formatCode="0.0">
                  <c:v>51.3</c:v>
                </c:pt>
                <c:pt idx="19" formatCode="0.0">
                  <c:v>50.3</c:v>
                </c:pt>
                <c:pt idx="20" formatCode="0.0">
                  <c:v>49.7</c:v>
                </c:pt>
                <c:pt idx="21" formatCode="0.0">
                  <c:v>48.8</c:v>
                </c:pt>
                <c:pt idx="22" formatCode="0.0">
                  <c:v>48.7</c:v>
                </c:pt>
                <c:pt idx="23" formatCode="0.0">
                  <c:v>48.7</c:v>
                </c:pt>
                <c:pt idx="24" formatCode="0.0">
                  <c:v>48.9</c:v>
                </c:pt>
                <c:pt idx="25" formatCode="0.0">
                  <c:v>49.6</c:v>
                </c:pt>
                <c:pt idx="26" formatCode="0.0">
                  <c:v>50</c:v>
                </c:pt>
                <c:pt idx="27" formatCode="0.0">
                  <c:v>51.5</c:v>
                </c:pt>
                <c:pt idx="28" formatCode="0.0">
                  <c:v>50.9</c:v>
                </c:pt>
                <c:pt idx="29" formatCode="0.0">
                  <c:v>51.2</c:v>
                </c:pt>
                <c:pt idx="30" formatCode="0.0">
                  <c:v>50.4</c:v>
                </c:pt>
                <c:pt idx="31" formatCode="0.0">
                  <c:v>50.6</c:v>
                </c:pt>
                <c:pt idx="32" formatCode="0.0">
                  <c:v>50.6</c:v>
                </c:pt>
                <c:pt idx="33" formatCode="0.0">
                  <c:v>50.8</c:v>
                </c:pt>
                <c:pt idx="34" formatCode="0.0">
                  <c:v>51.6</c:v>
                </c:pt>
                <c:pt idx="35" formatCode="0.0">
                  <c:v>51.8</c:v>
                </c:pt>
                <c:pt idx="36" formatCode="0.0">
                  <c:v>52.1</c:v>
                </c:pt>
                <c:pt idx="37" formatCode="0.0">
                  <c:v>53.1</c:v>
                </c:pt>
                <c:pt idx="38" formatCode="0.0">
                  <c:v>53.3</c:v>
                </c:pt>
                <c:pt idx="39">
                  <c:v>52.9</c:v>
                </c:pt>
                <c:pt idx="40">
                  <c:v>53.3</c:v>
                </c:pt>
                <c:pt idx="41">
                  <c:v>52.4</c:v>
                </c:pt>
                <c:pt idx="42">
                  <c:v>51.9</c:v>
                </c:pt>
                <c:pt idx="43" formatCode="0.0">
                  <c:v>52.2</c:v>
                </c:pt>
                <c:pt idx="44" formatCode="0.0">
                  <c:v>52.6</c:v>
                </c:pt>
                <c:pt idx="45" formatCode="0.0">
                  <c:v>52.5</c:v>
                </c:pt>
                <c:pt idx="46">
                  <c:v>52.6</c:v>
                </c:pt>
                <c:pt idx="47" formatCode="0.0">
                  <c:v>52.2</c:v>
                </c:pt>
                <c:pt idx="48">
                  <c:v>52.2</c:v>
                </c:pt>
                <c:pt idx="49" formatCode="0.0">
                  <c:v>51.8</c:v>
                </c:pt>
                <c:pt idx="83" formatCode="0.0">
                  <c:v>52.7</c:v>
                </c:pt>
                <c:pt idx="84" formatCode="0.0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4-48C3-9A13-5E7AF5148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16480"/>
        <c:axId val="11973248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Global!$B$72:$B$285</c:f>
              <c:numCache>
                <c:formatCode>General</c:formatCode>
                <c:ptCount val="214"/>
                <c:pt idx="0">
                  <c:v>53.7</c:v>
                </c:pt>
                <c:pt idx="1">
                  <c:v>54</c:v>
                </c:pt>
                <c:pt idx="2">
                  <c:v>54.9</c:v>
                </c:pt>
                <c:pt idx="3">
                  <c:v>57.2</c:v>
                </c:pt>
                <c:pt idx="4">
                  <c:v>58.2</c:v>
                </c:pt>
                <c:pt idx="5">
                  <c:v>56</c:v>
                </c:pt>
                <c:pt idx="6">
                  <c:v>55.5</c:v>
                </c:pt>
                <c:pt idx="7">
                  <c:v>53.1</c:v>
                </c:pt>
                <c:pt idx="8">
                  <c:v>52.8</c:v>
                </c:pt>
                <c:pt idx="9">
                  <c:v>50.9</c:v>
                </c:pt>
                <c:pt idx="10">
                  <c:v>50.4</c:v>
                </c:pt>
                <c:pt idx="11">
                  <c:v>50.1</c:v>
                </c:pt>
                <c:pt idx="12">
                  <c:v>49.5</c:v>
                </c:pt>
                <c:pt idx="13">
                  <c:v>49.6</c:v>
                </c:pt>
                <c:pt idx="14">
                  <c:v>50.4</c:v>
                </c:pt>
                <c:pt idx="15" formatCode="0.0">
                  <c:v>51</c:v>
                </c:pt>
                <c:pt idx="16" formatCode="0.0">
                  <c:v>51.2</c:v>
                </c:pt>
                <c:pt idx="17" formatCode="0.0">
                  <c:v>51.6</c:v>
                </c:pt>
                <c:pt idx="18" formatCode="0.0">
                  <c:v>51.3</c:v>
                </c:pt>
                <c:pt idx="19" formatCode="0.0">
                  <c:v>50.3</c:v>
                </c:pt>
                <c:pt idx="20" formatCode="0.0">
                  <c:v>49.7</c:v>
                </c:pt>
                <c:pt idx="21" formatCode="0.0">
                  <c:v>48.8</c:v>
                </c:pt>
                <c:pt idx="22" formatCode="0.0">
                  <c:v>48.7</c:v>
                </c:pt>
                <c:pt idx="23" formatCode="0.0">
                  <c:v>48.7</c:v>
                </c:pt>
                <c:pt idx="24" formatCode="0.0">
                  <c:v>48.9</c:v>
                </c:pt>
                <c:pt idx="25" formatCode="0.0">
                  <c:v>49.6</c:v>
                </c:pt>
                <c:pt idx="26" formatCode="0.0">
                  <c:v>50</c:v>
                </c:pt>
                <c:pt idx="27" formatCode="0.0">
                  <c:v>51.5</c:v>
                </c:pt>
                <c:pt idx="28" formatCode="0.0">
                  <c:v>50.9</c:v>
                </c:pt>
                <c:pt idx="29" formatCode="0.0">
                  <c:v>51.2</c:v>
                </c:pt>
                <c:pt idx="30" formatCode="0.0">
                  <c:v>50.4</c:v>
                </c:pt>
                <c:pt idx="31" formatCode="0.0">
                  <c:v>50.6</c:v>
                </c:pt>
                <c:pt idx="32" formatCode="0.0">
                  <c:v>50.6</c:v>
                </c:pt>
                <c:pt idx="33" formatCode="0.0">
                  <c:v>50.8</c:v>
                </c:pt>
                <c:pt idx="34" formatCode="0.0">
                  <c:v>51.6</c:v>
                </c:pt>
                <c:pt idx="35" formatCode="0.0">
                  <c:v>51.8</c:v>
                </c:pt>
                <c:pt idx="36" formatCode="0.0">
                  <c:v>52.1</c:v>
                </c:pt>
                <c:pt idx="37" formatCode="0.0">
                  <c:v>53.1</c:v>
                </c:pt>
                <c:pt idx="38" formatCode="0.0">
                  <c:v>53.3</c:v>
                </c:pt>
                <c:pt idx="39">
                  <c:v>52.9</c:v>
                </c:pt>
                <c:pt idx="40">
                  <c:v>53.3</c:v>
                </c:pt>
                <c:pt idx="41">
                  <c:v>52.4</c:v>
                </c:pt>
                <c:pt idx="42">
                  <c:v>51.9</c:v>
                </c:pt>
                <c:pt idx="43" formatCode="0.0">
                  <c:v>52.2</c:v>
                </c:pt>
                <c:pt idx="44" formatCode="0.0">
                  <c:v>52.6</c:v>
                </c:pt>
                <c:pt idx="45" formatCode="0.0">
                  <c:v>52.5</c:v>
                </c:pt>
                <c:pt idx="46">
                  <c:v>52.6</c:v>
                </c:pt>
                <c:pt idx="47" formatCode="0.0">
                  <c:v>52.2</c:v>
                </c:pt>
                <c:pt idx="48">
                  <c:v>52.2</c:v>
                </c:pt>
                <c:pt idx="49" formatCode="0.0">
                  <c:v>51.8</c:v>
                </c:pt>
                <c:pt idx="83" formatCode="0.0">
                  <c:v>52.7</c:v>
                </c:pt>
                <c:pt idx="84" formatCode="0.0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A4-48C3-9A13-5E7AF5148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16480"/>
        <c:axId val="119732480"/>
      </c:lineChart>
      <c:dateAx>
        <c:axId val="11971648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32480"/>
        <c:crossesAt val="50"/>
        <c:auto val="1"/>
        <c:lblOffset val="100"/>
        <c:baseTimeUnit val="months"/>
        <c:majorUnit val="1"/>
        <c:majorTimeUnit val="years"/>
      </c:dateAx>
      <c:valAx>
        <c:axId val="119732480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#,##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16480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02356770242923"/>
          <c:y val="0.77857231161322227"/>
          <c:w val="0.21891803194787202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US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US!$B$71</c:f>
              <c:strCache>
                <c:ptCount val="1"/>
                <c:pt idx="0">
                  <c:v>US Manufactung 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US!$A$72:$A$285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US!$B$72:$B$285</c:f>
              <c:numCache>
                <c:formatCode>General</c:formatCode>
                <c:ptCount val="214"/>
                <c:pt idx="0">
                  <c:v>56.9</c:v>
                </c:pt>
                <c:pt idx="1">
                  <c:v>56.6</c:v>
                </c:pt>
                <c:pt idx="2">
                  <c:v>57</c:v>
                </c:pt>
                <c:pt idx="3">
                  <c:v>60.8</c:v>
                </c:pt>
                <c:pt idx="4">
                  <c:v>61.4</c:v>
                </c:pt>
                <c:pt idx="5">
                  <c:v>61.2</c:v>
                </c:pt>
                <c:pt idx="6">
                  <c:v>60.4</c:v>
                </c:pt>
                <c:pt idx="7">
                  <c:v>53.5</c:v>
                </c:pt>
                <c:pt idx="8">
                  <c:v>55.3</c:v>
                </c:pt>
                <c:pt idx="9">
                  <c:v>50.9</c:v>
                </c:pt>
                <c:pt idx="10">
                  <c:v>50.6</c:v>
                </c:pt>
                <c:pt idx="11">
                  <c:v>51.6</c:v>
                </c:pt>
                <c:pt idx="12">
                  <c:v>50.8</c:v>
                </c:pt>
                <c:pt idx="13">
                  <c:v>52.7</c:v>
                </c:pt>
                <c:pt idx="14">
                  <c:v>53.2</c:v>
                </c:pt>
                <c:pt idx="15" formatCode="0.0">
                  <c:v>54.3</c:v>
                </c:pt>
                <c:pt idx="16" formatCode="0.0">
                  <c:v>53.6</c:v>
                </c:pt>
                <c:pt idx="17" formatCode="0.0">
                  <c:v>56</c:v>
                </c:pt>
                <c:pt idx="18" formatCode="0.0">
                  <c:v>56</c:v>
                </c:pt>
                <c:pt idx="19" formatCode="0.0">
                  <c:v>54</c:v>
                </c:pt>
                <c:pt idx="20" formatCode="0.0">
                  <c:v>52.5</c:v>
                </c:pt>
                <c:pt idx="21" formatCode="0.0">
                  <c:v>51.4</c:v>
                </c:pt>
                <c:pt idx="22" formatCode="0.0">
                  <c:v>51.5</c:v>
                </c:pt>
                <c:pt idx="23" formatCode="0.0">
                  <c:v>51.1</c:v>
                </c:pt>
                <c:pt idx="24" formatCode="0.0">
                  <c:v>51</c:v>
                </c:pt>
                <c:pt idx="25" formatCode="0.0">
                  <c:v>52.8</c:v>
                </c:pt>
                <c:pt idx="26" formatCode="0.0">
                  <c:v>54</c:v>
                </c:pt>
                <c:pt idx="27" formatCode="0.0">
                  <c:v>55.8</c:v>
                </c:pt>
                <c:pt idx="28" formatCode="0.0">
                  <c:v>54.3</c:v>
                </c:pt>
                <c:pt idx="29" formatCode="0.0">
                  <c:v>54.6</c:v>
                </c:pt>
                <c:pt idx="30" formatCode="0.0">
                  <c:v>52.1</c:v>
                </c:pt>
                <c:pt idx="31" formatCode="0.0">
                  <c:v>52.3</c:v>
                </c:pt>
                <c:pt idx="32" formatCode="0.0">
                  <c:v>51.9</c:v>
                </c:pt>
                <c:pt idx="33" formatCode="0.0">
                  <c:v>53.7</c:v>
                </c:pt>
                <c:pt idx="34" formatCode="0.0">
                  <c:v>53.7</c:v>
                </c:pt>
                <c:pt idx="35" formatCode="0.0">
                  <c:v>52.8</c:v>
                </c:pt>
                <c:pt idx="36" formatCode="0.0">
                  <c:v>51.8</c:v>
                </c:pt>
                <c:pt idx="37" formatCode="0.0">
                  <c:v>54.7</c:v>
                </c:pt>
                <c:pt idx="38" formatCode="0.0">
                  <c:v>55</c:v>
                </c:pt>
                <c:pt idx="39" formatCode="0.0">
                  <c:v>53.7</c:v>
                </c:pt>
                <c:pt idx="40" formatCode="0.0">
                  <c:v>57.1</c:v>
                </c:pt>
                <c:pt idx="41" formatCode="0.0">
                  <c:v>55.5</c:v>
                </c:pt>
                <c:pt idx="42" formatCode="0.0">
                  <c:v>55.4</c:v>
                </c:pt>
                <c:pt idx="43" formatCode="0.0">
                  <c:v>56.4</c:v>
                </c:pt>
                <c:pt idx="44" formatCode="0.0">
                  <c:v>57.3</c:v>
                </c:pt>
                <c:pt idx="45" formatCode="0.0">
                  <c:v>55.8</c:v>
                </c:pt>
                <c:pt idx="46" formatCode="0.0">
                  <c:v>57.9</c:v>
                </c:pt>
                <c:pt idx="47" formatCode="0.0">
                  <c:v>57.5</c:v>
                </c:pt>
                <c:pt idx="48" formatCode="0.0">
                  <c:v>55.9</c:v>
                </c:pt>
                <c:pt idx="49" formatCode="0.0">
                  <c:v>54.8</c:v>
                </c:pt>
                <c:pt idx="83" formatCode="0.0">
                  <c:v>55.1</c:v>
                </c:pt>
                <c:pt idx="84" formatCode="0.0">
                  <c:v>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D-4C6D-BCC5-3B16789E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94752"/>
        <c:axId val="12403955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US!$B$72:$B$285</c:f>
              <c:numCache>
                <c:formatCode>General</c:formatCode>
                <c:ptCount val="214"/>
                <c:pt idx="0">
                  <c:v>56.9</c:v>
                </c:pt>
                <c:pt idx="1">
                  <c:v>56.6</c:v>
                </c:pt>
                <c:pt idx="2">
                  <c:v>57</c:v>
                </c:pt>
                <c:pt idx="3">
                  <c:v>60.8</c:v>
                </c:pt>
                <c:pt idx="4">
                  <c:v>61.4</c:v>
                </c:pt>
                <c:pt idx="5">
                  <c:v>61.2</c:v>
                </c:pt>
                <c:pt idx="6">
                  <c:v>60.4</c:v>
                </c:pt>
                <c:pt idx="7">
                  <c:v>53.5</c:v>
                </c:pt>
                <c:pt idx="8">
                  <c:v>55.3</c:v>
                </c:pt>
                <c:pt idx="9">
                  <c:v>50.9</c:v>
                </c:pt>
                <c:pt idx="10">
                  <c:v>50.6</c:v>
                </c:pt>
                <c:pt idx="11">
                  <c:v>51.6</c:v>
                </c:pt>
                <c:pt idx="12">
                  <c:v>50.8</c:v>
                </c:pt>
                <c:pt idx="13">
                  <c:v>52.7</c:v>
                </c:pt>
                <c:pt idx="14">
                  <c:v>53.2</c:v>
                </c:pt>
                <c:pt idx="15" formatCode="0.0">
                  <c:v>54.3</c:v>
                </c:pt>
                <c:pt idx="16" formatCode="0.0">
                  <c:v>53.6</c:v>
                </c:pt>
                <c:pt idx="17" formatCode="0.0">
                  <c:v>56</c:v>
                </c:pt>
                <c:pt idx="18" formatCode="0.0">
                  <c:v>56</c:v>
                </c:pt>
                <c:pt idx="19" formatCode="0.0">
                  <c:v>54</c:v>
                </c:pt>
                <c:pt idx="20" formatCode="0.0">
                  <c:v>52.5</c:v>
                </c:pt>
                <c:pt idx="21" formatCode="0.0">
                  <c:v>51.4</c:v>
                </c:pt>
                <c:pt idx="22" formatCode="0.0">
                  <c:v>51.5</c:v>
                </c:pt>
                <c:pt idx="23" formatCode="0.0">
                  <c:v>51.1</c:v>
                </c:pt>
                <c:pt idx="24" formatCode="0.0">
                  <c:v>51</c:v>
                </c:pt>
                <c:pt idx="25" formatCode="0.0">
                  <c:v>52.8</c:v>
                </c:pt>
                <c:pt idx="26" formatCode="0.0">
                  <c:v>54</c:v>
                </c:pt>
                <c:pt idx="27" formatCode="0.0">
                  <c:v>55.8</c:v>
                </c:pt>
                <c:pt idx="28" formatCode="0.0">
                  <c:v>54.3</c:v>
                </c:pt>
                <c:pt idx="29" formatCode="0.0">
                  <c:v>54.6</c:v>
                </c:pt>
                <c:pt idx="30" formatCode="0.0">
                  <c:v>52.1</c:v>
                </c:pt>
                <c:pt idx="31" formatCode="0.0">
                  <c:v>52.3</c:v>
                </c:pt>
                <c:pt idx="32" formatCode="0.0">
                  <c:v>51.9</c:v>
                </c:pt>
                <c:pt idx="33" formatCode="0.0">
                  <c:v>53.7</c:v>
                </c:pt>
                <c:pt idx="34" formatCode="0.0">
                  <c:v>53.7</c:v>
                </c:pt>
                <c:pt idx="35" formatCode="0.0">
                  <c:v>52.8</c:v>
                </c:pt>
                <c:pt idx="36" formatCode="0.0">
                  <c:v>51.8</c:v>
                </c:pt>
                <c:pt idx="37" formatCode="0.0">
                  <c:v>54.7</c:v>
                </c:pt>
                <c:pt idx="38" formatCode="0.0">
                  <c:v>55</c:v>
                </c:pt>
                <c:pt idx="39" formatCode="0.0">
                  <c:v>53.7</c:v>
                </c:pt>
                <c:pt idx="40" formatCode="0.0">
                  <c:v>57.1</c:v>
                </c:pt>
                <c:pt idx="41" formatCode="0.0">
                  <c:v>55.5</c:v>
                </c:pt>
                <c:pt idx="42" formatCode="0.0">
                  <c:v>55.4</c:v>
                </c:pt>
                <c:pt idx="43" formatCode="0.0">
                  <c:v>56.4</c:v>
                </c:pt>
                <c:pt idx="44" formatCode="0.0">
                  <c:v>57.3</c:v>
                </c:pt>
                <c:pt idx="45" formatCode="0.0">
                  <c:v>55.8</c:v>
                </c:pt>
                <c:pt idx="46" formatCode="0.0">
                  <c:v>57.9</c:v>
                </c:pt>
                <c:pt idx="47" formatCode="0.0">
                  <c:v>57.5</c:v>
                </c:pt>
                <c:pt idx="48" formatCode="0.0">
                  <c:v>55.9</c:v>
                </c:pt>
                <c:pt idx="49" formatCode="0.0">
                  <c:v>54.8</c:v>
                </c:pt>
                <c:pt idx="83" formatCode="0.0">
                  <c:v>55.1</c:v>
                </c:pt>
                <c:pt idx="84" formatCode="0.0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D-4C6D-BCC5-3B16789E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94752"/>
        <c:axId val="124039552"/>
      </c:lineChart>
      <c:dateAx>
        <c:axId val="1231947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39552"/>
        <c:crossesAt val="50"/>
        <c:auto val="1"/>
        <c:lblOffset val="100"/>
        <c:baseTimeUnit val="months"/>
        <c:majorUnit val="1"/>
        <c:majorTimeUnit val="years"/>
      </c:dateAx>
      <c:valAx>
        <c:axId val="124039552"/>
        <c:scaling>
          <c:orientation val="minMax"/>
          <c:max val="66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#,##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94752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02356770242923"/>
          <c:y val="0.77857231161322227"/>
          <c:w val="0.21891803194787202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US Manufacturing PMI</a:t>
            </a:r>
            <a:r>
              <a:rPr lang="en-US" baseline="0"/>
              <a:t>I vs. GDP Growth q/q (annualised)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US!$B$71</c:f>
              <c:strCache>
                <c:ptCount val="1"/>
                <c:pt idx="0">
                  <c:v>US Manufactung 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US!$A$72:$A$285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US!$B$72:$B$285</c:f>
              <c:numCache>
                <c:formatCode>General</c:formatCode>
                <c:ptCount val="214"/>
                <c:pt idx="0">
                  <c:v>56.9</c:v>
                </c:pt>
                <c:pt idx="1">
                  <c:v>56.6</c:v>
                </c:pt>
                <c:pt idx="2">
                  <c:v>57</c:v>
                </c:pt>
                <c:pt idx="3">
                  <c:v>60.8</c:v>
                </c:pt>
                <c:pt idx="4">
                  <c:v>61.4</c:v>
                </c:pt>
                <c:pt idx="5">
                  <c:v>61.2</c:v>
                </c:pt>
                <c:pt idx="6">
                  <c:v>60.4</c:v>
                </c:pt>
                <c:pt idx="7">
                  <c:v>53.5</c:v>
                </c:pt>
                <c:pt idx="8">
                  <c:v>55.3</c:v>
                </c:pt>
                <c:pt idx="9">
                  <c:v>50.9</c:v>
                </c:pt>
                <c:pt idx="10">
                  <c:v>50.6</c:v>
                </c:pt>
                <c:pt idx="11">
                  <c:v>51.6</c:v>
                </c:pt>
                <c:pt idx="12">
                  <c:v>50.8</c:v>
                </c:pt>
                <c:pt idx="13">
                  <c:v>52.7</c:v>
                </c:pt>
                <c:pt idx="14">
                  <c:v>53.2</c:v>
                </c:pt>
                <c:pt idx="15" formatCode="0.0">
                  <c:v>54.3</c:v>
                </c:pt>
                <c:pt idx="16" formatCode="0.0">
                  <c:v>53.6</c:v>
                </c:pt>
                <c:pt idx="17" formatCode="0.0">
                  <c:v>56</c:v>
                </c:pt>
                <c:pt idx="18" formatCode="0.0">
                  <c:v>56</c:v>
                </c:pt>
                <c:pt idx="19" formatCode="0.0">
                  <c:v>54</c:v>
                </c:pt>
                <c:pt idx="20" formatCode="0.0">
                  <c:v>52.5</c:v>
                </c:pt>
                <c:pt idx="21" formatCode="0.0">
                  <c:v>51.4</c:v>
                </c:pt>
                <c:pt idx="22" formatCode="0.0">
                  <c:v>51.5</c:v>
                </c:pt>
                <c:pt idx="23" formatCode="0.0">
                  <c:v>51.1</c:v>
                </c:pt>
                <c:pt idx="24" formatCode="0.0">
                  <c:v>51</c:v>
                </c:pt>
                <c:pt idx="25" formatCode="0.0">
                  <c:v>52.8</c:v>
                </c:pt>
                <c:pt idx="26" formatCode="0.0">
                  <c:v>54</c:v>
                </c:pt>
                <c:pt idx="27" formatCode="0.0">
                  <c:v>55.8</c:v>
                </c:pt>
                <c:pt idx="28" formatCode="0.0">
                  <c:v>54.3</c:v>
                </c:pt>
                <c:pt idx="29" formatCode="0.0">
                  <c:v>54.6</c:v>
                </c:pt>
                <c:pt idx="30" formatCode="0.0">
                  <c:v>52.1</c:v>
                </c:pt>
                <c:pt idx="31" formatCode="0.0">
                  <c:v>52.3</c:v>
                </c:pt>
                <c:pt idx="32" formatCode="0.0">
                  <c:v>51.9</c:v>
                </c:pt>
                <c:pt idx="33" formatCode="0.0">
                  <c:v>53.7</c:v>
                </c:pt>
                <c:pt idx="34" formatCode="0.0">
                  <c:v>53.7</c:v>
                </c:pt>
                <c:pt idx="35" formatCode="0.0">
                  <c:v>52.8</c:v>
                </c:pt>
                <c:pt idx="36" formatCode="0.0">
                  <c:v>51.8</c:v>
                </c:pt>
                <c:pt idx="37" formatCode="0.0">
                  <c:v>54.7</c:v>
                </c:pt>
                <c:pt idx="38" formatCode="0.0">
                  <c:v>55</c:v>
                </c:pt>
                <c:pt idx="39" formatCode="0.0">
                  <c:v>53.7</c:v>
                </c:pt>
                <c:pt idx="40" formatCode="0.0">
                  <c:v>57.1</c:v>
                </c:pt>
                <c:pt idx="41" formatCode="0.0">
                  <c:v>55.5</c:v>
                </c:pt>
                <c:pt idx="42" formatCode="0.0">
                  <c:v>55.4</c:v>
                </c:pt>
                <c:pt idx="43" formatCode="0.0">
                  <c:v>56.4</c:v>
                </c:pt>
                <c:pt idx="44" formatCode="0.0">
                  <c:v>57.3</c:v>
                </c:pt>
                <c:pt idx="45" formatCode="0.0">
                  <c:v>55.8</c:v>
                </c:pt>
                <c:pt idx="46" formatCode="0.0">
                  <c:v>57.9</c:v>
                </c:pt>
                <c:pt idx="47" formatCode="0.0">
                  <c:v>57.5</c:v>
                </c:pt>
                <c:pt idx="48" formatCode="0.0">
                  <c:v>55.9</c:v>
                </c:pt>
                <c:pt idx="49" formatCode="0.0">
                  <c:v>54.8</c:v>
                </c:pt>
                <c:pt idx="83" formatCode="0.0">
                  <c:v>55.1</c:v>
                </c:pt>
                <c:pt idx="84" formatCode="0.0">
                  <c:v>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2-4434-A361-C15FF0EF8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24704"/>
        <c:axId val="210627584"/>
      </c:areaChart>
      <c:barChart>
        <c:barDir val="col"/>
        <c:grouping val="clustered"/>
        <c:varyColors val="0"/>
        <c:ser>
          <c:idx val="2"/>
          <c:order val="2"/>
          <c:tx>
            <c:strRef>
              <c:f>US!$D$71</c:f>
              <c:strCache>
                <c:ptCount val="1"/>
                <c:pt idx="0">
                  <c:v>US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US!$D$72:$D$270</c:f>
              <c:numCache>
                <c:formatCode>0.00%</c:formatCode>
                <c:ptCount val="199"/>
                <c:pt idx="2">
                  <c:v>3.9E-2</c:v>
                </c:pt>
                <c:pt idx="5">
                  <c:v>-1.4999999999999999E-2</c:v>
                </c:pt>
                <c:pt idx="8">
                  <c:v>2.9000000000000001E-2</c:v>
                </c:pt>
                <c:pt idx="11">
                  <c:v>8.0000000000000002E-3</c:v>
                </c:pt>
                <c:pt idx="14">
                  <c:v>4.5999999999999999E-2</c:v>
                </c:pt>
                <c:pt idx="17">
                  <c:v>2.3E-2</c:v>
                </c:pt>
                <c:pt idx="20">
                  <c:v>1.6E-2</c:v>
                </c:pt>
                <c:pt idx="23">
                  <c:v>2.5000000000000001E-2</c:v>
                </c:pt>
                <c:pt idx="26">
                  <c:v>1E-3</c:v>
                </c:pt>
                <c:pt idx="29">
                  <c:v>2.7E-2</c:v>
                </c:pt>
                <c:pt idx="32">
                  <c:v>1.7999999999999999E-2</c:v>
                </c:pt>
                <c:pt idx="35">
                  <c:v>4.4999999999999998E-2</c:v>
                </c:pt>
                <c:pt idx="38">
                  <c:v>3.5000000000000003E-2</c:v>
                </c:pt>
                <c:pt idx="41">
                  <c:v>-2.1000000000000001E-2</c:v>
                </c:pt>
                <c:pt idx="44" formatCode="0%">
                  <c:v>4.5999999999999999E-2</c:v>
                </c:pt>
                <c:pt idx="47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2-4434-A361-C15FF0EF8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15513344"/>
        <c:axId val="215511808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US!$B$72:$B$285</c:f>
              <c:numCache>
                <c:formatCode>General</c:formatCode>
                <c:ptCount val="214"/>
                <c:pt idx="0">
                  <c:v>56.9</c:v>
                </c:pt>
                <c:pt idx="1">
                  <c:v>56.6</c:v>
                </c:pt>
                <c:pt idx="2">
                  <c:v>57</c:v>
                </c:pt>
                <c:pt idx="3">
                  <c:v>60.8</c:v>
                </c:pt>
                <c:pt idx="4">
                  <c:v>61.4</c:v>
                </c:pt>
                <c:pt idx="5">
                  <c:v>61.2</c:v>
                </c:pt>
                <c:pt idx="6">
                  <c:v>60.4</c:v>
                </c:pt>
                <c:pt idx="7">
                  <c:v>53.5</c:v>
                </c:pt>
                <c:pt idx="8">
                  <c:v>55.3</c:v>
                </c:pt>
                <c:pt idx="9">
                  <c:v>50.9</c:v>
                </c:pt>
                <c:pt idx="10">
                  <c:v>50.6</c:v>
                </c:pt>
                <c:pt idx="11">
                  <c:v>51.6</c:v>
                </c:pt>
                <c:pt idx="12">
                  <c:v>50.8</c:v>
                </c:pt>
                <c:pt idx="13">
                  <c:v>52.7</c:v>
                </c:pt>
                <c:pt idx="14">
                  <c:v>53.2</c:v>
                </c:pt>
                <c:pt idx="15" formatCode="0.0">
                  <c:v>54.3</c:v>
                </c:pt>
                <c:pt idx="16" formatCode="0.0">
                  <c:v>53.6</c:v>
                </c:pt>
                <c:pt idx="17" formatCode="0.0">
                  <c:v>56</c:v>
                </c:pt>
                <c:pt idx="18" formatCode="0.0">
                  <c:v>56</c:v>
                </c:pt>
                <c:pt idx="19" formatCode="0.0">
                  <c:v>54</c:v>
                </c:pt>
                <c:pt idx="20" formatCode="0.0">
                  <c:v>52.5</c:v>
                </c:pt>
                <c:pt idx="21" formatCode="0.0">
                  <c:v>51.4</c:v>
                </c:pt>
                <c:pt idx="22" formatCode="0.0">
                  <c:v>51.5</c:v>
                </c:pt>
                <c:pt idx="23" formatCode="0.0">
                  <c:v>51.1</c:v>
                </c:pt>
                <c:pt idx="24" formatCode="0.0">
                  <c:v>51</c:v>
                </c:pt>
                <c:pt idx="25" formatCode="0.0">
                  <c:v>52.8</c:v>
                </c:pt>
                <c:pt idx="26" formatCode="0.0">
                  <c:v>54</c:v>
                </c:pt>
                <c:pt idx="27" formatCode="0.0">
                  <c:v>55.8</c:v>
                </c:pt>
                <c:pt idx="28" formatCode="0.0">
                  <c:v>54.3</c:v>
                </c:pt>
                <c:pt idx="29" formatCode="0.0">
                  <c:v>54.6</c:v>
                </c:pt>
                <c:pt idx="30" formatCode="0.0">
                  <c:v>52.1</c:v>
                </c:pt>
                <c:pt idx="31" formatCode="0.0">
                  <c:v>52.3</c:v>
                </c:pt>
                <c:pt idx="32" formatCode="0.0">
                  <c:v>51.9</c:v>
                </c:pt>
                <c:pt idx="33" formatCode="0.0">
                  <c:v>53.7</c:v>
                </c:pt>
                <c:pt idx="34" formatCode="0.0">
                  <c:v>53.7</c:v>
                </c:pt>
                <c:pt idx="35" formatCode="0.0">
                  <c:v>52.8</c:v>
                </c:pt>
                <c:pt idx="36" formatCode="0.0">
                  <c:v>51.8</c:v>
                </c:pt>
                <c:pt idx="37" formatCode="0.0">
                  <c:v>54.7</c:v>
                </c:pt>
                <c:pt idx="38" formatCode="0.0">
                  <c:v>55</c:v>
                </c:pt>
                <c:pt idx="39" formatCode="0.0">
                  <c:v>53.7</c:v>
                </c:pt>
                <c:pt idx="40" formatCode="0.0">
                  <c:v>57.1</c:v>
                </c:pt>
                <c:pt idx="41" formatCode="0.0">
                  <c:v>55.5</c:v>
                </c:pt>
                <c:pt idx="42" formatCode="0.0">
                  <c:v>55.4</c:v>
                </c:pt>
                <c:pt idx="43" formatCode="0.0">
                  <c:v>56.4</c:v>
                </c:pt>
                <c:pt idx="44" formatCode="0.0">
                  <c:v>57.3</c:v>
                </c:pt>
                <c:pt idx="45" formatCode="0.0">
                  <c:v>55.8</c:v>
                </c:pt>
                <c:pt idx="46" formatCode="0.0">
                  <c:v>57.9</c:v>
                </c:pt>
                <c:pt idx="47" formatCode="0.0">
                  <c:v>57.5</c:v>
                </c:pt>
                <c:pt idx="48" formatCode="0.0">
                  <c:v>55.9</c:v>
                </c:pt>
                <c:pt idx="49" formatCode="0.0">
                  <c:v>54.8</c:v>
                </c:pt>
                <c:pt idx="83" formatCode="0.0">
                  <c:v>55.1</c:v>
                </c:pt>
                <c:pt idx="84" formatCode="0.0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A2-4434-A361-C15FF0EF8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24704"/>
        <c:axId val="210627584"/>
      </c:lineChart>
      <c:dateAx>
        <c:axId val="21002470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0627584"/>
        <c:crossesAt val="50"/>
        <c:auto val="1"/>
        <c:lblOffset val="100"/>
        <c:baseTimeUnit val="months"/>
        <c:majorUnit val="1"/>
        <c:majorTimeUnit val="years"/>
      </c:dateAx>
      <c:valAx>
        <c:axId val="210627584"/>
        <c:scaling>
          <c:orientation val="minMax"/>
          <c:max val="66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#,##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0024704"/>
        <c:crosses val="autoZero"/>
        <c:crossBetween val="between"/>
        <c:majorUnit val="4"/>
      </c:valAx>
      <c:valAx>
        <c:axId val="215511808"/>
        <c:scaling>
          <c:orientation val="minMax"/>
          <c:max val="0.1"/>
          <c:min val="-5.000000000000001E-2"/>
        </c:scaling>
        <c:delete val="0"/>
        <c:axPos val="r"/>
        <c:numFmt formatCode="0.0%" sourceLinked="0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215513344"/>
        <c:crosses val="max"/>
        <c:crossBetween val="between"/>
      </c:valAx>
      <c:catAx>
        <c:axId val="215513344"/>
        <c:scaling>
          <c:orientation val="minMax"/>
        </c:scaling>
        <c:delete val="1"/>
        <c:axPos val="b"/>
        <c:majorTickMark val="out"/>
        <c:minorTickMark val="none"/>
        <c:tickLblPos val="nextTo"/>
        <c:crossAx val="21551180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3159326479728684"/>
          <c:y val="0.751398398569744"/>
          <c:w val="0.17120737803305827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US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US!$B$71</c:f>
              <c:strCache>
                <c:ptCount val="1"/>
                <c:pt idx="0">
                  <c:v>US Manufactung 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US!$A$72:$A$285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US!$B$72:$B$285</c:f>
              <c:numCache>
                <c:formatCode>General</c:formatCode>
                <c:ptCount val="214"/>
                <c:pt idx="0">
                  <c:v>56.9</c:v>
                </c:pt>
                <c:pt idx="1">
                  <c:v>56.6</c:v>
                </c:pt>
                <c:pt idx="2">
                  <c:v>57</c:v>
                </c:pt>
                <c:pt idx="3">
                  <c:v>60.8</c:v>
                </c:pt>
                <c:pt idx="4">
                  <c:v>61.4</c:v>
                </c:pt>
                <c:pt idx="5">
                  <c:v>61.2</c:v>
                </c:pt>
                <c:pt idx="6">
                  <c:v>60.4</c:v>
                </c:pt>
                <c:pt idx="7">
                  <c:v>53.5</c:v>
                </c:pt>
                <c:pt idx="8">
                  <c:v>55.3</c:v>
                </c:pt>
                <c:pt idx="9">
                  <c:v>50.9</c:v>
                </c:pt>
                <c:pt idx="10">
                  <c:v>50.6</c:v>
                </c:pt>
                <c:pt idx="11">
                  <c:v>51.6</c:v>
                </c:pt>
                <c:pt idx="12">
                  <c:v>50.8</c:v>
                </c:pt>
                <c:pt idx="13">
                  <c:v>52.7</c:v>
                </c:pt>
                <c:pt idx="14">
                  <c:v>53.2</c:v>
                </c:pt>
                <c:pt idx="15" formatCode="0.0">
                  <c:v>54.3</c:v>
                </c:pt>
                <c:pt idx="16" formatCode="0.0">
                  <c:v>53.6</c:v>
                </c:pt>
                <c:pt idx="17" formatCode="0.0">
                  <c:v>56</c:v>
                </c:pt>
                <c:pt idx="18" formatCode="0.0">
                  <c:v>56</c:v>
                </c:pt>
                <c:pt idx="19" formatCode="0.0">
                  <c:v>54</c:v>
                </c:pt>
                <c:pt idx="20" formatCode="0.0">
                  <c:v>52.5</c:v>
                </c:pt>
                <c:pt idx="21" formatCode="0.0">
                  <c:v>51.4</c:v>
                </c:pt>
                <c:pt idx="22" formatCode="0.0">
                  <c:v>51.5</c:v>
                </c:pt>
                <c:pt idx="23" formatCode="0.0">
                  <c:v>51.1</c:v>
                </c:pt>
                <c:pt idx="24" formatCode="0.0">
                  <c:v>51</c:v>
                </c:pt>
                <c:pt idx="25" formatCode="0.0">
                  <c:v>52.8</c:v>
                </c:pt>
                <c:pt idx="26" formatCode="0.0">
                  <c:v>54</c:v>
                </c:pt>
                <c:pt idx="27" formatCode="0.0">
                  <c:v>55.8</c:v>
                </c:pt>
                <c:pt idx="28" formatCode="0.0">
                  <c:v>54.3</c:v>
                </c:pt>
                <c:pt idx="29" formatCode="0.0">
                  <c:v>54.6</c:v>
                </c:pt>
                <c:pt idx="30" formatCode="0.0">
                  <c:v>52.1</c:v>
                </c:pt>
                <c:pt idx="31" formatCode="0.0">
                  <c:v>52.3</c:v>
                </c:pt>
                <c:pt idx="32" formatCode="0.0">
                  <c:v>51.9</c:v>
                </c:pt>
                <c:pt idx="33" formatCode="0.0">
                  <c:v>53.7</c:v>
                </c:pt>
                <c:pt idx="34" formatCode="0.0">
                  <c:v>53.7</c:v>
                </c:pt>
                <c:pt idx="35" formatCode="0.0">
                  <c:v>52.8</c:v>
                </c:pt>
                <c:pt idx="36" formatCode="0.0">
                  <c:v>51.8</c:v>
                </c:pt>
                <c:pt idx="37" formatCode="0.0">
                  <c:v>54.7</c:v>
                </c:pt>
                <c:pt idx="38" formatCode="0.0">
                  <c:v>55</c:v>
                </c:pt>
                <c:pt idx="39" formatCode="0.0">
                  <c:v>53.7</c:v>
                </c:pt>
                <c:pt idx="40" formatCode="0.0">
                  <c:v>57.1</c:v>
                </c:pt>
                <c:pt idx="41" formatCode="0.0">
                  <c:v>55.5</c:v>
                </c:pt>
                <c:pt idx="42" formatCode="0.0">
                  <c:v>55.4</c:v>
                </c:pt>
                <c:pt idx="43" formatCode="0.0">
                  <c:v>56.4</c:v>
                </c:pt>
                <c:pt idx="44" formatCode="0.0">
                  <c:v>57.3</c:v>
                </c:pt>
                <c:pt idx="45" formatCode="0.0">
                  <c:v>55.8</c:v>
                </c:pt>
                <c:pt idx="46" formatCode="0.0">
                  <c:v>57.9</c:v>
                </c:pt>
                <c:pt idx="47" formatCode="0.0">
                  <c:v>57.5</c:v>
                </c:pt>
                <c:pt idx="48" formatCode="0.0">
                  <c:v>55.9</c:v>
                </c:pt>
                <c:pt idx="49" formatCode="0.0">
                  <c:v>54.8</c:v>
                </c:pt>
                <c:pt idx="83" formatCode="0.0">
                  <c:v>55.1</c:v>
                </c:pt>
                <c:pt idx="84" formatCode="0.0">
                  <c:v>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A-4E57-93C5-C3262BEA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936256"/>
        <c:axId val="411937792"/>
      </c:area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US!$B$72:$B$285</c:f>
              <c:numCache>
                <c:formatCode>General</c:formatCode>
                <c:ptCount val="214"/>
                <c:pt idx="0">
                  <c:v>56.9</c:v>
                </c:pt>
                <c:pt idx="1">
                  <c:v>56.6</c:v>
                </c:pt>
                <c:pt idx="2">
                  <c:v>57</c:v>
                </c:pt>
                <c:pt idx="3">
                  <c:v>60.8</c:v>
                </c:pt>
                <c:pt idx="4">
                  <c:v>61.4</c:v>
                </c:pt>
                <c:pt idx="5">
                  <c:v>61.2</c:v>
                </c:pt>
                <c:pt idx="6">
                  <c:v>60.4</c:v>
                </c:pt>
                <c:pt idx="7">
                  <c:v>53.5</c:v>
                </c:pt>
                <c:pt idx="8">
                  <c:v>55.3</c:v>
                </c:pt>
                <c:pt idx="9">
                  <c:v>50.9</c:v>
                </c:pt>
                <c:pt idx="10">
                  <c:v>50.6</c:v>
                </c:pt>
                <c:pt idx="11">
                  <c:v>51.6</c:v>
                </c:pt>
                <c:pt idx="12">
                  <c:v>50.8</c:v>
                </c:pt>
                <c:pt idx="13">
                  <c:v>52.7</c:v>
                </c:pt>
                <c:pt idx="14">
                  <c:v>53.2</c:v>
                </c:pt>
                <c:pt idx="15" formatCode="0.0">
                  <c:v>54.3</c:v>
                </c:pt>
                <c:pt idx="16" formatCode="0.0">
                  <c:v>53.6</c:v>
                </c:pt>
                <c:pt idx="17" formatCode="0.0">
                  <c:v>56</c:v>
                </c:pt>
                <c:pt idx="18" formatCode="0.0">
                  <c:v>56</c:v>
                </c:pt>
                <c:pt idx="19" formatCode="0.0">
                  <c:v>54</c:v>
                </c:pt>
                <c:pt idx="20" formatCode="0.0">
                  <c:v>52.5</c:v>
                </c:pt>
                <c:pt idx="21" formatCode="0.0">
                  <c:v>51.4</c:v>
                </c:pt>
                <c:pt idx="22" formatCode="0.0">
                  <c:v>51.5</c:v>
                </c:pt>
                <c:pt idx="23" formatCode="0.0">
                  <c:v>51.1</c:v>
                </c:pt>
                <c:pt idx="24" formatCode="0.0">
                  <c:v>51</c:v>
                </c:pt>
                <c:pt idx="25" formatCode="0.0">
                  <c:v>52.8</c:v>
                </c:pt>
                <c:pt idx="26" formatCode="0.0">
                  <c:v>54</c:v>
                </c:pt>
                <c:pt idx="27" formatCode="0.0">
                  <c:v>55.8</c:v>
                </c:pt>
                <c:pt idx="28" formatCode="0.0">
                  <c:v>54.3</c:v>
                </c:pt>
                <c:pt idx="29" formatCode="0.0">
                  <c:v>54.6</c:v>
                </c:pt>
                <c:pt idx="30" formatCode="0.0">
                  <c:v>52.1</c:v>
                </c:pt>
                <c:pt idx="31" formatCode="0.0">
                  <c:v>52.3</c:v>
                </c:pt>
                <c:pt idx="32" formatCode="0.0">
                  <c:v>51.9</c:v>
                </c:pt>
                <c:pt idx="33" formatCode="0.0">
                  <c:v>53.7</c:v>
                </c:pt>
                <c:pt idx="34" formatCode="0.0">
                  <c:v>53.7</c:v>
                </c:pt>
                <c:pt idx="35" formatCode="0.0">
                  <c:v>52.8</c:v>
                </c:pt>
                <c:pt idx="36" formatCode="0.0">
                  <c:v>51.8</c:v>
                </c:pt>
                <c:pt idx="37" formatCode="0.0">
                  <c:v>54.7</c:v>
                </c:pt>
                <c:pt idx="38" formatCode="0.0">
                  <c:v>55</c:v>
                </c:pt>
                <c:pt idx="39" formatCode="0.0">
                  <c:v>53.7</c:v>
                </c:pt>
                <c:pt idx="40" formatCode="0.0">
                  <c:v>57.1</c:v>
                </c:pt>
                <c:pt idx="41" formatCode="0.0">
                  <c:v>55.5</c:v>
                </c:pt>
                <c:pt idx="42" formatCode="0.0">
                  <c:v>55.4</c:v>
                </c:pt>
                <c:pt idx="43" formatCode="0.0">
                  <c:v>56.4</c:v>
                </c:pt>
                <c:pt idx="44" formatCode="0.0">
                  <c:v>57.3</c:v>
                </c:pt>
                <c:pt idx="45" formatCode="0.0">
                  <c:v>55.8</c:v>
                </c:pt>
                <c:pt idx="46" formatCode="0.0">
                  <c:v>57.9</c:v>
                </c:pt>
                <c:pt idx="47" formatCode="0.0">
                  <c:v>57.5</c:v>
                </c:pt>
                <c:pt idx="48" formatCode="0.0">
                  <c:v>55.9</c:v>
                </c:pt>
                <c:pt idx="49" formatCode="0.0">
                  <c:v>54.8</c:v>
                </c:pt>
                <c:pt idx="83" formatCode="0.0">
                  <c:v>55.1</c:v>
                </c:pt>
                <c:pt idx="84" formatCode="0.0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CA-4E57-93C5-C3262BEA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36256"/>
        <c:axId val="411937792"/>
      </c:lineChart>
      <c:lineChart>
        <c:grouping val="standard"/>
        <c:varyColors val="0"/>
        <c:ser>
          <c:idx val="2"/>
          <c:order val="2"/>
          <c:tx>
            <c:strRef>
              <c:f>US!$E$71</c:f>
              <c:strCache>
                <c:ptCount val="1"/>
                <c:pt idx="0">
                  <c:v>SPY ETF</c:v>
                </c:pt>
              </c:strCache>
            </c:strRef>
          </c:tx>
          <c:spPr>
            <a:ln w="38100" cmpd="dbl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US!$E$72:$E$118</c:f>
              <c:numCache>
                <c:formatCode>General</c:formatCode>
                <c:ptCount val="47"/>
                <c:pt idx="0">
                  <c:v>109.7</c:v>
                </c:pt>
                <c:pt idx="1">
                  <c:v>109.7</c:v>
                </c:pt>
                <c:pt idx="2">
                  <c:v>117.03</c:v>
                </c:pt>
                <c:pt idx="3">
                  <c:v>119.76</c:v>
                </c:pt>
                <c:pt idx="4">
                  <c:v>123.92</c:v>
                </c:pt>
                <c:pt idx="5">
                  <c:v>123.93</c:v>
                </c:pt>
                <c:pt idx="6">
                  <c:v>127.52</c:v>
                </c:pt>
                <c:pt idx="7">
                  <c:v>126.09</c:v>
                </c:pt>
                <c:pt idx="8">
                  <c:v>123.96</c:v>
                </c:pt>
                <c:pt idx="9">
                  <c:v>121.48</c:v>
                </c:pt>
                <c:pt idx="10">
                  <c:v>114.8</c:v>
                </c:pt>
                <c:pt idx="11">
                  <c:v>106.83</c:v>
                </c:pt>
                <c:pt idx="12">
                  <c:v>118.5</c:v>
                </c:pt>
                <c:pt idx="13">
                  <c:v>118.01</c:v>
                </c:pt>
                <c:pt idx="14">
                  <c:v>119.25</c:v>
                </c:pt>
                <c:pt idx="15">
                  <c:v>124.78</c:v>
                </c:pt>
                <c:pt idx="16">
                  <c:v>130.19</c:v>
                </c:pt>
                <c:pt idx="17">
                  <c:v>134.38</c:v>
                </c:pt>
                <c:pt idx="18">
                  <c:v>133.47999999999999</c:v>
                </c:pt>
                <c:pt idx="19">
                  <c:v>125.47</c:v>
                </c:pt>
                <c:pt idx="20">
                  <c:v>130.56</c:v>
                </c:pt>
                <c:pt idx="21">
                  <c:v>132.1</c:v>
                </c:pt>
                <c:pt idx="22">
                  <c:v>135.41</c:v>
                </c:pt>
                <c:pt idx="23">
                  <c:v>138.85</c:v>
                </c:pt>
                <c:pt idx="24">
                  <c:v>136.32</c:v>
                </c:pt>
                <c:pt idx="25">
                  <c:v>137.09</c:v>
                </c:pt>
                <c:pt idx="26">
                  <c:v>138.32</c:v>
                </c:pt>
                <c:pt idx="27">
                  <c:v>145.4</c:v>
                </c:pt>
                <c:pt idx="28">
                  <c:v>147.25</c:v>
                </c:pt>
                <c:pt idx="29">
                  <c:v>152.84</c:v>
                </c:pt>
                <c:pt idx="30">
                  <c:v>155.78</c:v>
                </c:pt>
                <c:pt idx="31">
                  <c:v>159.46</c:v>
                </c:pt>
                <c:pt idx="32">
                  <c:v>157.33000000000001</c:v>
                </c:pt>
                <c:pt idx="33">
                  <c:v>165.46</c:v>
                </c:pt>
                <c:pt idx="34">
                  <c:v>160.5</c:v>
                </c:pt>
                <c:pt idx="35">
                  <c:v>165.58</c:v>
                </c:pt>
                <c:pt idx="36">
                  <c:v>173.24</c:v>
                </c:pt>
                <c:pt idx="37">
                  <c:v>178.38</c:v>
                </c:pt>
                <c:pt idx="38">
                  <c:v>183</c:v>
                </c:pt>
                <c:pt idx="39">
                  <c:v>176.55</c:v>
                </c:pt>
                <c:pt idx="40">
                  <c:v>184.59</c:v>
                </c:pt>
                <c:pt idx="41">
                  <c:v>186.12</c:v>
                </c:pt>
                <c:pt idx="42">
                  <c:v>187.41</c:v>
                </c:pt>
                <c:pt idx="43">
                  <c:v>191.76</c:v>
                </c:pt>
                <c:pt idx="44">
                  <c:v>195.72</c:v>
                </c:pt>
                <c:pt idx="45">
                  <c:v>193.09</c:v>
                </c:pt>
                <c:pt idx="46">
                  <c:v>199.19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CA-4E57-93C5-C3262BEAA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682688"/>
        <c:axId val="413398528"/>
      </c:lineChart>
      <c:dateAx>
        <c:axId val="41193625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937792"/>
        <c:crossesAt val="50"/>
        <c:auto val="1"/>
        <c:lblOffset val="100"/>
        <c:baseTimeUnit val="months"/>
        <c:majorUnit val="2"/>
        <c:majorTimeUnit val="months"/>
      </c:dateAx>
      <c:valAx>
        <c:axId val="411937792"/>
        <c:scaling>
          <c:orientation val="minMax"/>
          <c:max val="64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936256"/>
        <c:crosses val="autoZero"/>
        <c:crossBetween val="between"/>
        <c:majorUnit val="2"/>
      </c:valAx>
      <c:valAx>
        <c:axId val="413398528"/>
        <c:scaling>
          <c:orientation val="minMax"/>
          <c:max val="250"/>
          <c:min val="5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413682688"/>
        <c:crosses val="max"/>
        <c:crossBetween val="between"/>
      </c:valAx>
      <c:catAx>
        <c:axId val="413682688"/>
        <c:scaling>
          <c:orientation val="minMax"/>
        </c:scaling>
        <c:delete val="1"/>
        <c:axPos val="b"/>
        <c:majorTickMark val="out"/>
        <c:minorTickMark val="none"/>
        <c:tickLblPos val="nextTo"/>
        <c:crossAx val="41339852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02356770242923"/>
          <c:y val="0.77857231161322227"/>
          <c:w val="0.1996070137045797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Canada Manufacturing PMI</a:t>
            </a:r>
            <a:r>
              <a:rPr lang="en-US" baseline="0"/>
              <a:t> 2011-2014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CA!$B$77</c:f>
              <c:strCache>
                <c:ptCount val="1"/>
                <c:pt idx="0">
                  <c:v>Canada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CA!$A$78:$A$276</c:f>
              <c:numCache>
                <c:formatCode>mmm\-yy</c:formatCode>
                <c:ptCount val="199"/>
                <c:pt idx="0">
                  <c:v>40634</c:v>
                </c:pt>
                <c:pt idx="1">
                  <c:v>40664</c:v>
                </c:pt>
                <c:pt idx="2">
                  <c:v>40695</c:v>
                </c:pt>
                <c:pt idx="3">
                  <c:v>40725</c:v>
                </c:pt>
                <c:pt idx="4">
                  <c:v>40756</c:v>
                </c:pt>
                <c:pt idx="5">
                  <c:v>40787</c:v>
                </c:pt>
                <c:pt idx="6">
                  <c:v>40817</c:v>
                </c:pt>
                <c:pt idx="7">
                  <c:v>40848</c:v>
                </c:pt>
                <c:pt idx="8">
                  <c:v>40878</c:v>
                </c:pt>
                <c:pt idx="9">
                  <c:v>40909</c:v>
                </c:pt>
                <c:pt idx="10">
                  <c:v>40940</c:v>
                </c:pt>
                <c:pt idx="11">
                  <c:v>40969</c:v>
                </c:pt>
                <c:pt idx="12">
                  <c:v>41000</c:v>
                </c:pt>
                <c:pt idx="13">
                  <c:v>41030</c:v>
                </c:pt>
                <c:pt idx="14">
                  <c:v>41061</c:v>
                </c:pt>
                <c:pt idx="15">
                  <c:v>41091</c:v>
                </c:pt>
                <c:pt idx="16">
                  <c:v>41122</c:v>
                </c:pt>
                <c:pt idx="17">
                  <c:v>41153</c:v>
                </c:pt>
                <c:pt idx="18">
                  <c:v>41183</c:v>
                </c:pt>
                <c:pt idx="19">
                  <c:v>41214</c:v>
                </c:pt>
                <c:pt idx="20">
                  <c:v>41244</c:v>
                </c:pt>
                <c:pt idx="21">
                  <c:v>41275</c:v>
                </c:pt>
                <c:pt idx="22">
                  <c:v>41306</c:v>
                </c:pt>
                <c:pt idx="23">
                  <c:v>41334</c:v>
                </c:pt>
                <c:pt idx="24">
                  <c:v>41365</c:v>
                </c:pt>
                <c:pt idx="25">
                  <c:v>41395</c:v>
                </c:pt>
                <c:pt idx="26">
                  <c:v>41426</c:v>
                </c:pt>
                <c:pt idx="27">
                  <c:v>41456</c:v>
                </c:pt>
                <c:pt idx="28">
                  <c:v>41487</c:v>
                </c:pt>
                <c:pt idx="29">
                  <c:v>41518</c:v>
                </c:pt>
                <c:pt idx="30">
                  <c:v>41548</c:v>
                </c:pt>
                <c:pt idx="31">
                  <c:v>41579</c:v>
                </c:pt>
                <c:pt idx="32">
                  <c:v>41609</c:v>
                </c:pt>
                <c:pt idx="33">
                  <c:v>41640</c:v>
                </c:pt>
                <c:pt idx="34">
                  <c:v>41671</c:v>
                </c:pt>
                <c:pt idx="35">
                  <c:v>41699</c:v>
                </c:pt>
                <c:pt idx="36">
                  <c:v>41730</c:v>
                </c:pt>
                <c:pt idx="37">
                  <c:v>41760</c:v>
                </c:pt>
                <c:pt idx="38">
                  <c:v>41791</c:v>
                </c:pt>
                <c:pt idx="39">
                  <c:v>41821</c:v>
                </c:pt>
                <c:pt idx="40">
                  <c:v>41852</c:v>
                </c:pt>
                <c:pt idx="41">
                  <c:v>41883</c:v>
                </c:pt>
                <c:pt idx="42">
                  <c:v>41913</c:v>
                </c:pt>
                <c:pt idx="43">
                  <c:v>41944</c:v>
                </c:pt>
                <c:pt idx="44">
                  <c:v>41974</c:v>
                </c:pt>
                <c:pt idx="45">
                  <c:v>42005</c:v>
                </c:pt>
                <c:pt idx="46">
                  <c:v>42036</c:v>
                </c:pt>
                <c:pt idx="47">
                  <c:v>42064</c:v>
                </c:pt>
                <c:pt idx="48">
                  <c:v>42095</c:v>
                </c:pt>
                <c:pt idx="49">
                  <c:v>42125</c:v>
                </c:pt>
                <c:pt idx="50">
                  <c:v>42156</c:v>
                </c:pt>
                <c:pt idx="51">
                  <c:v>42186</c:v>
                </c:pt>
                <c:pt idx="52">
                  <c:v>42217</c:v>
                </c:pt>
                <c:pt idx="53">
                  <c:v>42248</c:v>
                </c:pt>
                <c:pt idx="54">
                  <c:v>42278</c:v>
                </c:pt>
                <c:pt idx="55">
                  <c:v>42309</c:v>
                </c:pt>
                <c:pt idx="56">
                  <c:v>42339</c:v>
                </c:pt>
                <c:pt idx="57">
                  <c:v>42370</c:v>
                </c:pt>
                <c:pt idx="58">
                  <c:v>42401</c:v>
                </c:pt>
                <c:pt idx="59">
                  <c:v>42430</c:v>
                </c:pt>
                <c:pt idx="60">
                  <c:v>42461</c:v>
                </c:pt>
                <c:pt idx="61">
                  <c:v>42491</c:v>
                </c:pt>
                <c:pt idx="62">
                  <c:v>42522</c:v>
                </c:pt>
                <c:pt idx="63">
                  <c:v>42552</c:v>
                </c:pt>
                <c:pt idx="64">
                  <c:v>42583</c:v>
                </c:pt>
                <c:pt idx="65">
                  <c:v>42614</c:v>
                </c:pt>
                <c:pt idx="66">
                  <c:v>42644</c:v>
                </c:pt>
                <c:pt idx="67">
                  <c:v>42675</c:v>
                </c:pt>
                <c:pt idx="68">
                  <c:v>42705</c:v>
                </c:pt>
                <c:pt idx="69">
                  <c:v>42736</c:v>
                </c:pt>
                <c:pt idx="70">
                  <c:v>42767</c:v>
                </c:pt>
                <c:pt idx="71">
                  <c:v>42795</c:v>
                </c:pt>
                <c:pt idx="72">
                  <c:v>42826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 formatCode="yyyy/mm/dd">
                  <c:v>46143</c:v>
                </c:pt>
                <c:pt idx="78" formatCode="yyyy/mm/dd">
                  <c:v>46174</c:v>
                </c:pt>
              </c:numCache>
            </c:numRef>
          </c:cat>
          <c:val>
            <c:numRef>
              <c:f>CA!$B$78:$B$276</c:f>
              <c:numCache>
                <c:formatCode>0.0</c:formatCode>
                <c:ptCount val="199"/>
                <c:pt idx="0">
                  <c:v>56.3</c:v>
                </c:pt>
                <c:pt idx="1">
                  <c:v>54.8</c:v>
                </c:pt>
                <c:pt idx="2">
                  <c:v>52.8</c:v>
                </c:pt>
                <c:pt idx="3">
                  <c:v>53.1</c:v>
                </c:pt>
                <c:pt idx="4">
                  <c:v>54.9</c:v>
                </c:pt>
                <c:pt idx="5">
                  <c:v>55</c:v>
                </c:pt>
                <c:pt idx="6">
                  <c:v>53.7</c:v>
                </c:pt>
                <c:pt idx="7">
                  <c:v>53.3</c:v>
                </c:pt>
                <c:pt idx="8">
                  <c:v>54</c:v>
                </c:pt>
                <c:pt idx="9">
                  <c:v>50.6</c:v>
                </c:pt>
                <c:pt idx="10">
                  <c:v>51.8</c:v>
                </c:pt>
                <c:pt idx="11">
                  <c:v>52.4</c:v>
                </c:pt>
                <c:pt idx="12">
                  <c:v>53.3</c:v>
                </c:pt>
                <c:pt idx="13">
                  <c:v>54.7</c:v>
                </c:pt>
                <c:pt idx="14">
                  <c:v>54.8</c:v>
                </c:pt>
                <c:pt idx="15">
                  <c:v>53</c:v>
                </c:pt>
                <c:pt idx="16">
                  <c:v>53</c:v>
                </c:pt>
                <c:pt idx="17">
                  <c:v>52.4</c:v>
                </c:pt>
                <c:pt idx="18">
                  <c:v>51.4</c:v>
                </c:pt>
                <c:pt idx="19">
                  <c:v>50.4</c:v>
                </c:pt>
                <c:pt idx="20">
                  <c:v>50.4</c:v>
                </c:pt>
                <c:pt idx="21">
                  <c:v>50.5</c:v>
                </c:pt>
                <c:pt idx="22">
                  <c:v>51.7</c:v>
                </c:pt>
                <c:pt idx="23">
                  <c:v>49.3</c:v>
                </c:pt>
                <c:pt idx="24">
                  <c:v>50.1</c:v>
                </c:pt>
                <c:pt idx="25">
                  <c:v>53.2</c:v>
                </c:pt>
                <c:pt idx="26">
                  <c:v>52.4</c:v>
                </c:pt>
                <c:pt idx="27">
                  <c:v>52</c:v>
                </c:pt>
                <c:pt idx="28">
                  <c:v>52.1</c:v>
                </c:pt>
                <c:pt idx="29">
                  <c:v>54.2</c:v>
                </c:pt>
                <c:pt idx="30">
                  <c:v>55.6</c:v>
                </c:pt>
                <c:pt idx="31">
                  <c:v>55.3</c:v>
                </c:pt>
                <c:pt idx="32">
                  <c:v>53.5</c:v>
                </c:pt>
                <c:pt idx="33" formatCode="General">
                  <c:v>51.7</c:v>
                </c:pt>
                <c:pt idx="34" formatCode="General">
                  <c:v>52.9</c:v>
                </c:pt>
                <c:pt idx="35" formatCode="General">
                  <c:v>53.3</c:v>
                </c:pt>
                <c:pt idx="36" formatCode="General">
                  <c:v>52.9</c:v>
                </c:pt>
                <c:pt idx="37">
                  <c:v>52.2</c:v>
                </c:pt>
                <c:pt idx="38">
                  <c:v>53.5</c:v>
                </c:pt>
                <c:pt idx="39">
                  <c:v>54.3</c:v>
                </c:pt>
                <c:pt idx="40" formatCode="General">
                  <c:v>54.8</c:v>
                </c:pt>
                <c:pt idx="41">
                  <c:v>53.5</c:v>
                </c:pt>
                <c:pt idx="42">
                  <c:v>55.3</c:v>
                </c:pt>
                <c:pt idx="43">
                  <c:v>55.3</c:v>
                </c:pt>
                <c:pt idx="77">
                  <c:v>52.9</c:v>
                </c:pt>
                <c:pt idx="7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2-4B52-8234-E21A0F2F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523200"/>
        <c:axId val="41552512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CA!$B$78:$B$276</c:f>
              <c:numCache>
                <c:formatCode>0.0</c:formatCode>
                <c:ptCount val="199"/>
                <c:pt idx="0">
                  <c:v>56.3</c:v>
                </c:pt>
                <c:pt idx="1">
                  <c:v>54.8</c:v>
                </c:pt>
                <c:pt idx="2">
                  <c:v>52.8</c:v>
                </c:pt>
                <c:pt idx="3">
                  <c:v>53.1</c:v>
                </c:pt>
                <c:pt idx="4">
                  <c:v>54.9</c:v>
                </c:pt>
                <c:pt idx="5">
                  <c:v>55</c:v>
                </c:pt>
                <c:pt idx="6">
                  <c:v>53.7</c:v>
                </c:pt>
                <c:pt idx="7">
                  <c:v>53.3</c:v>
                </c:pt>
                <c:pt idx="8">
                  <c:v>54</c:v>
                </c:pt>
                <c:pt idx="9">
                  <c:v>50.6</c:v>
                </c:pt>
                <c:pt idx="10">
                  <c:v>51.8</c:v>
                </c:pt>
                <c:pt idx="11">
                  <c:v>52.4</c:v>
                </c:pt>
                <c:pt idx="12">
                  <c:v>53.3</c:v>
                </c:pt>
                <c:pt idx="13">
                  <c:v>54.7</c:v>
                </c:pt>
                <c:pt idx="14">
                  <c:v>54.8</c:v>
                </c:pt>
                <c:pt idx="15">
                  <c:v>53</c:v>
                </c:pt>
                <c:pt idx="16">
                  <c:v>53</c:v>
                </c:pt>
                <c:pt idx="17">
                  <c:v>52.4</c:v>
                </c:pt>
                <c:pt idx="18">
                  <c:v>51.4</c:v>
                </c:pt>
                <c:pt idx="19">
                  <c:v>50.4</c:v>
                </c:pt>
                <c:pt idx="20">
                  <c:v>50.4</c:v>
                </c:pt>
                <c:pt idx="21">
                  <c:v>50.5</c:v>
                </c:pt>
                <c:pt idx="22">
                  <c:v>51.7</c:v>
                </c:pt>
                <c:pt idx="23">
                  <c:v>49.3</c:v>
                </c:pt>
                <c:pt idx="24">
                  <c:v>50.1</c:v>
                </c:pt>
                <c:pt idx="25">
                  <c:v>53.2</c:v>
                </c:pt>
                <c:pt idx="26">
                  <c:v>52.4</c:v>
                </c:pt>
                <c:pt idx="27">
                  <c:v>52</c:v>
                </c:pt>
                <c:pt idx="28">
                  <c:v>52.1</c:v>
                </c:pt>
                <c:pt idx="29">
                  <c:v>54.2</c:v>
                </c:pt>
                <c:pt idx="30">
                  <c:v>55.6</c:v>
                </c:pt>
                <c:pt idx="31">
                  <c:v>55.3</c:v>
                </c:pt>
                <c:pt idx="32">
                  <c:v>53.5</c:v>
                </c:pt>
                <c:pt idx="33" formatCode="General">
                  <c:v>51.7</c:v>
                </c:pt>
                <c:pt idx="34" formatCode="General">
                  <c:v>52.9</c:v>
                </c:pt>
                <c:pt idx="35" formatCode="General">
                  <c:v>53.3</c:v>
                </c:pt>
                <c:pt idx="36" formatCode="General">
                  <c:v>52.9</c:v>
                </c:pt>
                <c:pt idx="37">
                  <c:v>52.2</c:v>
                </c:pt>
                <c:pt idx="38">
                  <c:v>53.5</c:v>
                </c:pt>
                <c:pt idx="39">
                  <c:v>54.3</c:v>
                </c:pt>
                <c:pt idx="40" formatCode="General">
                  <c:v>54.8</c:v>
                </c:pt>
                <c:pt idx="41">
                  <c:v>53.5</c:v>
                </c:pt>
                <c:pt idx="42">
                  <c:v>55.3</c:v>
                </c:pt>
                <c:pt idx="43">
                  <c:v>55.3</c:v>
                </c:pt>
                <c:pt idx="77">
                  <c:v>52.9</c:v>
                </c:pt>
                <c:pt idx="78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D2-4B52-8234-E21A0F2F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523200"/>
        <c:axId val="415525120"/>
      </c:lineChart>
      <c:dateAx>
        <c:axId val="4155232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525120"/>
        <c:crossesAt val="50"/>
        <c:auto val="1"/>
        <c:lblOffset val="100"/>
        <c:baseTimeUnit val="months"/>
        <c:majorUnit val="1"/>
        <c:majorTimeUnit val="years"/>
      </c:dateAx>
      <c:valAx>
        <c:axId val="415525120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523200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56E-2"/>
          <c:y val="0.7453597512267488"/>
          <c:w val="0.14787584343053009"/>
          <c:h val="6.4045323138955459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Canada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CA!$B$77</c:f>
              <c:strCache>
                <c:ptCount val="1"/>
                <c:pt idx="0">
                  <c:v>Canada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CA!$A$78:$A$276</c:f>
              <c:numCache>
                <c:formatCode>mmm\-yy</c:formatCode>
                <c:ptCount val="199"/>
                <c:pt idx="0">
                  <c:v>40634</c:v>
                </c:pt>
                <c:pt idx="1">
                  <c:v>40664</c:v>
                </c:pt>
                <c:pt idx="2">
                  <c:v>40695</c:v>
                </c:pt>
                <c:pt idx="3">
                  <c:v>40725</c:v>
                </c:pt>
                <c:pt idx="4">
                  <c:v>40756</c:v>
                </c:pt>
                <c:pt idx="5">
                  <c:v>40787</c:v>
                </c:pt>
                <c:pt idx="6">
                  <c:v>40817</c:v>
                </c:pt>
                <c:pt idx="7">
                  <c:v>40848</c:v>
                </c:pt>
                <c:pt idx="8">
                  <c:v>40878</c:v>
                </c:pt>
                <c:pt idx="9">
                  <c:v>40909</c:v>
                </c:pt>
                <c:pt idx="10">
                  <c:v>40940</c:v>
                </c:pt>
                <c:pt idx="11">
                  <c:v>40969</c:v>
                </c:pt>
                <c:pt idx="12">
                  <c:v>41000</c:v>
                </c:pt>
                <c:pt idx="13">
                  <c:v>41030</c:v>
                </c:pt>
                <c:pt idx="14">
                  <c:v>41061</c:v>
                </c:pt>
                <c:pt idx="15">
                  <c:v>41091</c:v>
                </c:pt>
                <c:pt idx="16">
                  <c:v>41122</c:v>
                </c:pt>
                <c:pt idx="17">
                  <c:v>41153</c:v>
                </c:pt>
                <c:pt idx="18">
                  <c:v>41183</c:v>
                </c:pt>
                <c:pt idx="19">
                  <c:v>41214</c:v>
                </c:pt>
                <c:pt idx="20">
                  <c:v>41244</c:v>
                </c:pt>
                <c:pt idx="21">
                  <c:v>41275</c:v>
                </c:pt>
                <c:pt idx="22">
                  <c:v>41306</c:v>
                </c:pt>
                <c:pt idx="23">
                  <c:v>41334</c:v>
                </c:pt>
                <c:pt idx="24">
                  <c:v>41365</c:v>
                </c:pt>
                <c:pt idx="25">
                  <c:v>41395</c:v>
                </c:pt>
                <c:pt idx="26">
                  <c:v>41426</c:v>
                </c:pt>
                <c:pt idx="27">
                  <c:v>41456</c:v>
                </c:pt>
                <c:pt idx="28">
                  <c:v>41487</c:v>
                </c:pt>
                <c:pt idx="29">
                  <c:v>41518</c:v>
                </c:pt>
                <c:pt idx="30">
                  <c:v>41548</c:v>
                </c:pt>
                <c:pt idx="31">
                  <c:v>41579</c:v>
                </c:pt>
                <c:pt idx="32">
                  <c:v>41609</c:v>
                </c:pt>
                <c:pt idx="33">
                  <c:v>41640</c:v>
                </c:pt>
                <c:pt idx="34">
                  <c:v>41671</c:v>
                </c:pt>
                <c:pt idx="35">
                  <c:v>41699</c:v>
                </c:pt>
                <c:pt idx="36">
                  <c:v>41730</c:v>
                </c:pt>
                <c:pt idx="37">
                  <c:v>41760</c:v>
                </c:pt>
                <c:pt idx="38">
                  <c:v>41791</c:v>
                </c:pt>
                <c:pt idx="39">
                  <c:v>41821</c:v>
                </c:pt>
                <c:pt idx="40">
                  <c:v>41852</c:v>
                </c:pt>
                <c:pt idx="41">
                  <c:v>41883</c:v>
                </c:pt>
                <c:pt idx="42">
                  <c:v>41913</c:v>
                </c:pt>
                <c:pt idx="43">
                  <c:v>41944</c:v>
                </c:pt>
                <c:pt idx="44">
                  <c:v>41974</c:v>
                </c:pt>
                <c:pt idx="45">
                  <c:v>42005</c:v>
                </c:pt>
                <c:pt idx="46">
                  <c:v>42036</c:v>
                </c:pt>
                <c:pt idx="47">
                  <c:v>42064</c:v>
                </c:pt>
                <c:pt idx="48">
                  <c:v>42095</c:v>
                </c:pt>
                <c:pt idx="49">
                  <c:v>42125</c:v>
                </c:pt>
                <c:pt idx="50">
                  <c:v>42156</c:v>
                </c:pt>
                <c:pt idx="51">
                  <c:v>42186</c:v>
                </c:pt>
                <c:pt idx="52">
                  <c:v>42217</c:v>
                </c:pt>
                <c:pt idx="53">
                  <c:v>42248</c:v>
                </c:pt>
                <c:pt idx="54">
                  <c:v>42278</c:v>
                </c:pt>
                <c:pt idx="55">
                  <c:v>42309</c:v>
                </c:pt>
                <c:pt idx="56">
                  <c:v>42339</c:v>
                </c:pt>
                <c:pt idx="57">
                  <c:v>42370</c:v>
                </c:pt>
                <c:pt idx="58">
                  <c:v>42401</c:v>
                </c:pt>
                <c:pt idx="59">
                  <c:v>42430</c:v>
                </c:pt>
                <c:pt idx="60">
                  <c:v>42461</c:v>
                </c:pt>
                <c:pt idx="61">
                  <c:v>42491</c:v>
                </c:pt>
                <c:pt idx="62">
                  <c:v>42522</c:v>
                </c:pt>
                <c:pt idx="63">
                  <c:v>42552</c:v>
                </c:pt>
                <c:pt idx="64">
                  <c:v>42583</c:v>
                </c:pt>
                <c:pt idx="65">
                  <c:v>42614</c:v>
                </c:pt>
                <c:pt idx="66">
                  <c:v>42644</c:v>
                </c:pt>
                <c:pt idx="67">
                  <c:v>42675</c:v>
                </c:pt>
                <c:pt idx="68">
                  <c:v>42705</c:v>
                </c:pt>
                <c:pt idx="69">
                  <c:v>42736</c:v>
                </c:pt>
                <c:pt idx="70">
                  <c:v>42767</c:v>
                </c:pt>
                <c:pt idx="71">
                  <c:v>42795</c:v>
                </c:pt>
                <c:pt idx="72">
                  <c:v>42826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 formatCode="yyyy/mm/dd">
                  <c:v>46143</c:v>
                </c:pt>
                <c:pt idx="78" formatCode="yyyy/mm/dd">
                  <c:v>46174</c:v>
                </c:pt>
              </c:numCache>
            </c:numRef>
          </c:cat>
          <c:val>
            <c:numRef>
              <c:f>CA!$B$78:$B$276</c:f>
              <c:numCache>
                <c:formatCode>0.0</c:formatCode>
                <c:ptCount val="199"/>
                <c:pt idx="0">
                  <c:v>56.3</c:v>
                </c:pt>
                <c:pt idx="1">
                  <c:v>54.8</c:v>
                </c:pt>
                <c:pt idx="2">
                  <c:v>52.8</c:v>
                </c:pt>
                <c:pt idx="3">
                  <c:v>53.1</c:v>
                </c:pt>
                <c:pt idx="4">
                  <c:v>54.9</c:v>
                </c:pt>
                <c:pt idx="5">
                  <c:v>55</c:v>
                </c:pt>
                <c:pt idx="6">
                  <c:v>53.7</c:v>
                </c:pt>
                <c:pt idx="7">
                  <c:v>53.3</c:v>
                </c:pt>
                <c:pt idx="8">
                  <c:v>54</c:v>
                </c:pt>
                <c:pt idx="9">
                  <c:v>50.6</c:v>
                </c:pt>
                <c:pt idx="10">
                  <c:v>51.8</c:v>
                </c:pt>
                <c:pt idx="11">
                  <c:v>52.4</c:v>
                </c:pt>
                <c:pt idx="12">
                  <c:v>53.3</c:v>
                </c:pt>
                <c:pt idx="13">
                  <c:v>54.7</c:v>
                </c:pt>
                <c:pt idx="14">
                  <c:v>54.8</c:v>
                </c:pt>
                <c:pt idx="15">
                  <c:v>53</c:v>
                </c:pt>
                <c:pt idx="16">
                  <c:v>53</c:v>
                </c:pt>
                <c:pt idx="17">
                  <c:v>52.4</c:v>
                </c:pt>
                <c:pt idx="18">
                  <c:v>51.4</c:v>
                </c:pt>
                <c:pt idx="19">
                  <c:v>50.4</c:v>
                </c:pt>
                <c:pt idx="20">
                  <c:v>50.4</c:v>
                </c:pt>
                <c:pt idx="21">
                  <c:v>50.5</c:v>
                </c:pt>
                <c:pt idx="22">
                  <c:v>51.7</c:v>
                </c:pt>
                <c:pt idx="23">
                  <c:v>49.3</c:v>
                </c:pt>
                <c:pt idx="24">
                  <c:v>50.1</c:v>
                </c:pt>
                <c:pt idx="25">
                  <c:v>53.2</c:v>
                </c:pt>
                <c:pt idx="26">
                  <c:v>52.4</c:v>
                </c:pt>
                <c:pt idx="27">
                  <c:v>52</c:v>
                </c:pt>
                <c:pt idx="28">
                  <c:v>52.1</c:v>
                </c:pt>
                <c:pt idx="29">
                  <c:v>54.2</c:v>
                </c:pt>
                <c:pt idx="30">
                  <c:v>55.6</c:v>
                </c:pt>
                <c:pt idx="31">
                  <c:v>55.3</c:v>
                </c:pt>
                <c:pt idx="32">
                  <c:v>53.5</c:v>
                </c:pt>
                <c:pt idx="33" formatCode="General">
                  <c:v>51.7</c:v>
                </c:pt>
                <c:pt idx="34" formatCode="General">
                  <c:v>52.9</c:v>
                </c:pt>
                <c:pt idx="35" formatCode="General">
                  <c:v>53.3</c:v>
                </c:pt>
                <c:pt idx="36" formatCode="General">
                  <c:v>52.9</c:v>
                </c:pt>
                <c:pt idx="37">
                  <c:v>52.2</c:v>
                </c:pt>
                <c:pt idx="38">
                  <c:v>53.5</c:v>
                </c:pt>
                <c:pt idx="39">
                  <c:v>54.3</c:v>
                </c:pt>
                <c:pt idx="40" formatCode="General">
                  <c:v>54.8</c:v>
                </c:pt>
                <c:pt idx="41">
                  <c:v>53.5</c:v>
                </c:pt>
                <c:pt idx="42">
                  <c:v>55.3</c:v>
                </c:pt>
                <c:pt idx="43">
                  <c:v>55.3</c:v>
                </c:pt>
                <c:pt idx="77">
                  <c:v>52.9</c:v>
                </c:pt>
                <c:pt idx="7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1-4580-9F57-F9FA3E4B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632768"/>
        <c:axId val="415643136"/>
      </c:areaChart>
      <c:barChart>
        <c:barDir val="col"/>
        <c:grouping val="clustered"/>
        <c:varyColors val="0"/>
        <c:ser>
          <c:idx val="2"/>
          <c:order val="2"/>
          <c:tx>
            <c:strRef>
              <c:f>CA!$D$77</c:f>
              <c:strCache>
                <c:ptCount val="1"/>
                <c:pt idx="0">
                  <c:v>Canada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CA!$D$78:$D$276</c:f>
              <c:numCache>
                <c:formatCode>0.0%</c:formatCode>
                <c:ptCount val="199"/>
                <c:pt idx="2">
                  <c:v>-1E-3</c:v>
                </c:pt>
                <c:pt idx="5">
                  <c:v>1.4E-2</c:v>
                </c:pt>
                <c:pt idx="8">
                  <c:v>5.0000000000000001E-3</c:v>
                </c:pt>
                <c:pt idx="11">
                  <c:v>2E-3</c:v>
                </c:pt>
                <c:pt idx="14">
                  <c:v>4.0000000000000001E-3</c:v>
                </c:pt>
                <c:pt idx="17">
                  <c:v>2E-3</c:v>
                </c:pt>
                <c:pt idx="20">
                  <c:v>2E-3</c:v>
                </c:pt>
                <c:pt idx="23">
                  <c:v>8.9999999999999993E-3</c:v>
                </c:pt>
                <c:pt idx="26">
                  <c:v>5.0000000000000001E-3</c:v>
                </c:pt>
                <c:pt idx="29">
                  <c:v>7.0000000000000001E-3</c:v>
                </c:pt>
                <c:pt idx="32">
                  <c:v>7.0000000000000001E-3</c:v>
                </c:pt>
                <c:pt idx="35" formatCode="0.00%">
                  <c:v>3.0000000000000001E-3</c:v>
                </c:pt>
                <c:pt idx="38" formatCode="0.00%">
                  <c:v>8.0000000000000002E-3</c:v>
                </c:pt>
                <c:pt idx="41" formatCode="0.00%">
                  <c:v>6.9999999999999993E-3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1-4580-9F57-F9FA3E4B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5658752"/>
        <c:axId val="41564467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CA!$B$78:$B$276</c:f>
              <c:numCache>
                <c:formatCode>0.0</c:formatCode>
                <c:ptCount val="199"/>
                <c:pt idx="0">
                  <c:v>56.3</c:v>
                </c:pt>
                <c:pt idx="1">
                  <c:v>54.8</c:v>
                </c:pt>
                <c:pt idx="2">
                  <c:v>52.8</c:v>
                </c:pt>
                <c:pt idx="3">
                  <c:v>53.1</c:v>
                </c:pt>
                <c:pt idx="4">
                  <c:v>54.9</c:v>
                </c:pt>
                <c:pt idx="5">
                  <c:v>55</c:v>
                </c:pt>
                <c:pt idx="6">
                  <c:v>53.7</c:v>
                </c:pt>
                <c:pt idx="7">
                  <c:v>53.3</c:v>
                </c:pt>
                <c:pt idx="8">
                  <c:v>54</c:v>
                </c:pt>
                <c:pt idx="9">
                  <c:v>50.6</c:v>
                </c:pt>
                <c:pt idx="10">
                  <c:v>51.8</c:v>
                </c:pt>
                <c:pt idx="11">
                  <c:v>52.4</c:v>
                </c:pt>
                <c:pt idx="12">
                  <c:v>53.3</c:v>
                </c:pt>
                <c:pt idx="13">
                  <c:v>54.7</c:v>
                </c:pt>
                <c:pt idx="14">
                  <c:v>54.8</c:v>
                </c:pt>
                <c:pt idx="15">
                  <c:v>53</c:v>
                </c:pt>
                <c:pt idx="16">
                  <c:v>53</c:v>
                </c:pt>
                <c:pt idx="17">
                  <c:v>52.4</c:v>
                </c:pt>
                <c:pt idx="18">
                  <c:v>51.4</c:v>
                </c:pt>
                <c:pt idx="19">
                  <c:v>50.4</c:v>
                </c:pt>
                <c:pt idx="20">
                  <c:v>50.4</c:v>
                </c:pt>
                <c:pt idx="21">
                  <c:v>50.5</c:v>
                </c:pt>
                <c:pt idx="22">
                  <c:v>51.7</c:v>
                </c:pt>
                <c:pt idx="23">
                  <c:v>49.3</c:v>
                </c:pt>
                <c:pt idx="24">
                  <c:v>50.1</c:v>
                </c:pt>
                <c:pt idx="25">
                  <c:v>53.2</c:v>
                </c:pt>
                <c:pt idx="26">
                  <c:v>52.4</c:v>
                </c:pt>
                <c:pt idx="27">
                  <c:v>52</c:v>
                </c:pt>
                <c:pt idx="28">
                  <c:v>52.1</c:v>
                </c:pt>
                <c:pt idx="29">
                  <c:v>54.2</c:v>
                </c:pt>
                <c:pt idx="30">
                  <c:v>55.6</c:v>
                </c:pt>
                <c:pt idx="31">
                  <c:v>55.3</c:v>
                </c:pt>
                <c:pt idx="32">
                  <c:v>53.5</c:v>
                </c:pt>
                <c:pt idx="33" formatCode="General">
                  <c:v>51.7</c:v>
                </c:pt>
                <c:pt idx="34" formatCode="General">
                  <c:v>52.9</c:v>
                </c:pt>
                <c:pt idx="35" formatCode="General">
                  <c:v>53.3</c:v>
                </c:pt>
                <c:pt idx="36" formatCode="General">
                  <c:v>52.9</c:v>
                </c:pt>
                <c:pt idx="37">
                  <c:v>52.2</c:v>
                </c:pt>
                <c:pt idx="38">
                  <c:v>53.5</c:v>
                </c:pt>
                <c:pt idx="39">
                  <c:v>54.3</c:v>
                </c:pt>
                <c:pt idx="40" formatCode="General">
                  <c:v>54.8</c:v>
                </c:pt>
                <c:pt idx="41">
                  <c:v>53.5</c:v>
                </c:pt>
                <c:pt idx="42">
                  <c:v>55.3</c:v>
                </c:pt>
                <c:pt idx="43">
                  <c:v>55.3</c:v>
                </c:pt>
                <c:pt idx="77">
                  <c:v>52.9</c:v>
                </c:pt>
                <c:pt idx="78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71-4580-9F57-F9FA3E4B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632768"/>
        <c:axId val="415643136"/>
      </c:lineChart>
      <c:dateAx>
        <c:axId val="41563276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643136"/>
        <c:crossesAt val="50"/>
        <c:auto val="1"/>
        <c:lblOffset val="100"/>
        <c:baseTimeUnit val="months"/>
        <c:majorUnit val="1"/>
        <c:majorTimeUnit val="years"/>
      </c:dateAx>
      <c:valAx>
        <c:axId val="415643136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632768"/>
        <c:crosses val="autoZero"/>
        <c:crossBetween val="between"/>
        <c:majorUnit val="3"/>
      </c:valAx>
      <c:valAx>
        <c:axId val="415644672"/>
        <c:scaling>
          <c:orientation val="minMax"/>
          <c:max val="3.0000000000000006E-2"/>
          <c:min val="-2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solidFill>
                  <a:schemeClr val="bg1"/>
                </a:solidFill>
              </a:defRPr>
            </a:pPr>
            <a:endParaRPr lang="en-US"/>
          </a:p>
        </c:txPr>
        <c:crossAx val="415658752"/>
        <c:crosses val="max"/>
        <c:crossBetween val="between"/>
      </c:valAx>
      <c:catAx>
        <c:axId val="415658752"/>
        <c:scaling>
          <c:orientation val="minMax"/>
        </c:scaling>
        <c:delete val="1"/>
        <c:axPos val="b"/>
        <c:majorTickMark val="out"/>
        <c:minorTickMark val="none"/>
        <c:tickLblPos val="nextTo"/>
        <c:crossAx val="41564467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8555640112570356E-2"/>
          <c:y val="0.7453597512267488"/>
          <c:w val="0.18975701107257334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Canada Manufacturing PMI 2011-2014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CA!$B$77</c:f>
              <c:strCache>
                <c:ptCount val="1"/>
                <c:pt idx="0">
                  <c:v>Canada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CA!$A$78:$A$276</c:f>
              <c:numCache>
                <c:formatCode>mmm\-yy</c:formatCode>
                <c:ptCount val="199"/>
                <c:pt idx="0">
                  <c:v>40634</c:v>
                </c:pt>
                <c:pt idx="1">
                  <c:v>40664</c:v>
                </c:pt>
                <c:pt idx="2">
                  <c:v>40695</c:v>
                </c:pt>
                <c:pt idx="3">
                  <c:v>40725</c:v>
                </c:pt>
                <c:pt idx="4">
                  <c:v>40756</c:v>
                </c:pt>
                <c:pt idx="5">
                  <c:v>40787</c:v>
                </c:pt>
                <c:pt idx="6">
                  <c:v>40817</c:v>
                </c:pt>
                <c:pt idx="7">
                  <c:v>40848</c:v>
                </c:pt>
                <c:pt idx="8">
                  <c:v>40878</c:v>
                </c:pt>
                <c:pt idx="9">
                  <c:v>40909</c:v>
                </c:pt>
                <c:pt idx="10">
                  <c:v>40940</c:v>
                </c:pt>
                <c:pt idx="11">
                  <c:v>40969</c:v>
                </c:pt>
                <c:pt idx="12">
                  <c:v>41000</c:v>
                </c:pt>
                <c:pt idx="13">
                  <c:v>41030</c:v>
                </c:pt>
                <c:pt idx="14">
                  <c:v>41061</c:v>
                </c:pt>
                <c:pt idx="15">
                  <c:v>41091</c:v>
                </c:pt>
                <c:pt idx="16">
                  <c:v>41122</c:v>
                </c:pt>
                <c:pt idx="17">
                  <c:v>41153</c:v>
                </c:pt>
                <c:pt idx="18">
                  <c:v>41183</c:v>
                </c:pt>
                <c:pt idx="19">
                  <c:v>41214</c:v>
                </c:pt>
                <c:pt idx="20">
                  <c:v>41244</c:v>
                </c:pt>
                <c:pt idx="21">
                  <c:v>41275</c:v>
                </c:pt>
                <c:pt idx="22">
                  <c:v>41306</c:v>
                </c:pt>
                <c:pt idx="23">
                  <c:v>41334</c:v>
                </c:pt>
                <c:pt idx="24">
                  <c:v>41365</c:v>
                </c:pt>
                <c:pt idx="25">
                  <c:v>41395</c:v>
                </c:pt>
                <c:pt idx="26">
                  <c:v>41426</c:v>
                </c:pt>
                <c:pt idx="27">
                  <c:v>41456</c:v>
                </c:pt>
                <c:pt idx="28">
                  <c:v>41487</c:v>
                </c:pt>
                <c:pt idx="29">
                  <c:v>41518</c:v>
                </c:pt>
                <c:pt idx="30">
                  <c:v>41548</c:v>
                </c:pt>
                <c:pt idx="31">
                  <c:v>41579</c:v>
                </c:pt>
                <c:pt idx="32">
                  <c:v>41609</c:v>
                </c:pt>
                <c:pt idx="33">
                  <c:v>41640</c:v>
                </c:pt>
                <c:pt idx="34">
                  <c:v>41671</c:v>
                </c:pt>
                <c:pt idx="35">
                  <c:v>41699</c:v>
                </c:pt>
                <c:pt idx="36">
                  <c:v>41730</c:v>
                </c:pt>
                <c:pt idx="37">
                  <c:v>41760</c:v>
                </c:pt>
                <c:pt idx="38">
                  <c:v>41791</c:v>
                </c:pt>
                <c:pt idx="39">
                  <c:v>41821</c:v>
                </c:pt>
                <c:pt idx="40">
                  <c:v>41852</c:v>
                </c:pt>
                <c:pt idx="41">
                  <c:v>41883</c:v>
                </c:pt>
                <c:pt idx="42">
                  <c:v>41913</c:v>
                </c:pt>
                <c:pt idx="43">
                  <c:v>41944</c:v>
                </c:pt>
                <c:pt idx="44">
                  <c:v>41974</c:v>
                </c:pt>
                <c:pt idx="45">
                  <c:v>42005</c:v>
                </c:pt>
                <c:pt idx="46">
                  <c:v>42036</c:v>
                </c:pt>
                <c:pt idx="47">
                  <c:v>42064</c:v>
                </c:pt>
                <c:pt idx="48">
                  <c:v>42095</c:v>
                </c:pt>
                <c:pt idx="49">
                  <c:v>42125</c:v>
                </c:pt>
                <c:pt idx="50">
                  <c:v>42156</c:v>
                </c:pt>
                <c:pt idx="51">
                  <c:v>42186</c:v>
                </c:pt>
                <c:pt idx="52">
                  <c:v>42217</c:v>
                </c:pt>
                <c:pt idx="53">
                  <c:v>42248</c:v>
                </c:pt>
                <c:pt idx="54">
                  <c:v>42278</c:v>
                </c:pt>
                <c:pt idx="55">
                  <c:v>42309</c:v>
                </c:pt>
                <c:pt idx="56">
                  <c:v>42339</c:v>
                </c:pt>
                <c:pt idx="57">
                  <c:v>42370</c:v>
                </c:pt>
                <c:pt idx="58">
                  <c:v>42401</c:v>
                </c:pt>
                <c:pt idx="59">
                  <c:v>42430</c:v>
                </c:pt>
                <c:pt idx="60">
                  <c:v>42461</c:v>
                </c:pt>
                <c:pt idx="61">
                  <c:v>42491</c:v>
                </c:pt>
                <c:pt idx="62">
                  <c:v>42522</c:v>
                </c:pt>
                <c:pt idx="63">
                  <c:v>42552</c:v>
                </c:pt>
                <c:pt idx="64">
                  <c:v>42583</c:v>
                </c:pt>
                <c:pt idx="65">
                  <c:v>42614</c:v>
                </c:pt>
                <c:pt idx="66">
                  <c:v>42644</c:v>
                </c:pt>
                <c:pt idx="67">
                  <c:v>42675</c:v>
                </c:pt>
                <c:pt idx="68">
                  <c:v>42705</c:v>
                </c:pt>
                <c:pt idx="69">
                  <c:v>42736</c:v>
                </c:pt>
                <c:pt idx="70">
                  <c:v>42767</c:v>
                </c:pt>
                <c:pt idx="71">
                  <c:v>42795</c:v>
                </c:pt>
                <c:pt idx="72">
                  <c:v>42826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 formatCode="yyyy/mm/dd">
                  <c:v>46143</c:v>
                </c:pt>
                <c:pt idx="78" formatCode="yyyy/mm/dd">
                  <c:v>46174</c:v>
                </c:pt>
              </c:numCache>
            </c:numRef>
          </c:cat>
          <c:val>
            <c:numRef>
              <c:f>CA!$B$78:$B$276</c:f>
              <c:numCache>
                <c:formatCode>0.0</c:formatCode>
                <c:ptCount val="199"/>
                <c:pt idx="0">
                  <c:v>56.3</c:v>
                </c:pt>
                <c:pt idx="1">
                  <c:v>54.8</c:v>
                </c:pt>
                <c:pt idx="2">
                  <c:v>52.8</c:v>
                </c:pt>
                <c:pt idx="3">
                  <c:v>53.1</c:v>
                </c:pt>
                <c:pt idx="4">
                  <c:v>54.9</c:v>
                </c:pt>
                <c:pt idx="5">
                  <c:v>55</c:v>
                </c:pt>
                <c:pt idx="6">
                  <c:v>53.7</c:v>
                </c:pt>
                <c:pt idx="7">
                  <c:v>53.3</c:v>
                </c:pt>
                <c:pt idx="8">
                  <c:v>54</c:v>
                </c:pt>
                <c:pt idx="9">
                  <c:v>50.6</c:v>
                </c:pt>
                <c:pt idx="10">
                  <c:v>51.8</c:v>
                </c:pt>
                <c:pt idx="11">
                  <c:v>52.4</c:v>
                </c:pt>
                <c:pt idx="12">
                  <c:v>53.3</c:v>
                </c:pt>
                <c:pt idx="13">
                  <c:v>54.7</c:v>
                </c:pt>
                <c:pt idx="14">
                  <c:v>54.8</c:v>
                </c:pt>
                <c:pt idx="15">
                  <c:v>53</c:v>
                </c:pt>
                <c:pt idx="16">
                  <c:v>53</c:v>
                </c:pt>
                <c:pt idx="17">
                  <c:v>52.4</c:v>
                </c:pt>
                <c:pt idx="18">
                  <c:v>51.4</c:v>
                </c:pt>
                <c:pt idx="19">
                  <c:v>50.4</c:v>
                </c:pt>
                <c:pt idx="20">
                  <c:v>50.4</c:v>
                </c:pt>
                <c:pt idx="21">
                  <c:v>50.5</c:v>
                </c:pt>
                <c:pt idx="22">
                  <c:v>51.7</c:v>
                </c:pt>
                <c:pt idx="23">
                  <c:v>49.3</c:v>
                </c:pt>
                <c:pt idx="24">
                  <c:v>50.1</c:v>
                </c:pt>
                <c:pt idx="25">
                  <c:v>53.2</c:v>
                </c:pt>
                <c:pt idx="26">
                  <c:v>52.4</c:v>
                </c:pt>
                <c:pt idx="27">
                  <c:v>52</c:v>
                </c:pt>
                <c:pt idx="28">
                  <c:v>52.1</c:v>
                </c:pt>
                <c:pt idx="29">
                  <c:v>54.2</c:v>
                </c:pt>
                <c:pt idx="30">
                  <c:v>55.6</c:v>
                </c:pt>
                <c:pt idx="31">
                  <c:v>55.3</c:v>
                </c:pt>
                <c:pt idx="32">
                  <c:v>53.5</c:v>
                </c:pt>
                <c:pt idx="33" formatCode="General">
                  <c:v>51.7</c:v>
                </c:pt>
                <c:pt idx="34" formatCode="General">
                  <c:v>52.9</c:v>
                </c:pt>
                <c:pt idx="35" formatCode="General">
                  <c:v>53.3</c:v>
                </c:pt>
                <c:pt idx="36" formatCode="General">
                  <c:v>52.9</c:v>
                </c:pt>
                <c:pt idx="37">
                  <c:v>52.2</c:v>
                </c:pt>
                <c:pt idx="38">
                  <c:v>53.5</c:v>
                </c:pt>
                <c:pt idx="39">
                  <c:v>54.3</c:v>
                </c:pt>
                <c:pt idx="40" formatCode="General">
                  <c:v>54.8</c:v>
                </c:pt>
                <c:pt idx="41">
                  <c:v>53.5</c:v>
                </c:pt>
                <c:pt idx="42">
                  <c:v>55.3</c:v>
                </c:pt>
                <c:pt idx="43">
                  <c:v>55.3</c:v>
                </c:pt>
                <c:pt idx="77">
                  <c:v>52.9</c:v>
                </c:pt>
                <c:pt idx="7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7-4E66-BE76-E66CFDD6E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82944"/>
        <c:axId val="416105216"/>
      </c:area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CA!$B$78:$B$276</c:f>
              <c:numCache>
                <c:formatCode>0.0</c:formatCode>
                <c:ptCount val="199"/>
                <c:pt idx="0">
                  <c:v>56.3</c:v>
                </c:pt>
                <c:pt idx="1">
                  <c:v>54.8</c:v>
                </c:pt>
                <c:pt idx="2">
                  <c:v>52.8</c:v>
                </c:pt>
                <c:pt idx="3">
                  <c:v>53.1</c:v>
                </c:pt>
                <c:pt idx="4">
                  <c:v>54.9</c:v>
                </c:pt>
                <c:pt idx="5">
                  <c:v>55</c:v>
                </c:pt>
                <c:pt idx="6">
                  <c:v>53.7</c:v>
                </c:pt>
                <c:pt idx="7">
                  <c:v>53.3</c:v>
                </c:pt>
                <c:pt idx="8">
                  <c:v>54</c:v>
                </c:pt>
                <c:pt idx="9">
                  <c:v>50.6</c:v>
                </c:pt>
                <c:pt idx="10">
                  <c:v>51.8</c:v>
                </c:pt>
                <c:pt idx="11">
                  <c:v>52.4</c:v>
                </c:pt>
                <c:pt idx="12">
                  <c:v>53.3</c:v>
                </c:pt>
                <c:pt idx="13">
                  <c:v>54.7</c:v>
                </c:pt>
                <c:pt idx="14">
                  <c:v>54.8</c:v>
                </c:pt>
                <c:pt idx="15">
                  <c:v>53</c:v>
                </c:pt>
                <c:pt idx="16">
                  <c:v>53</c:v>
                </c:pt>
                <c:pt idx="17">
                  <c:v>52.4</c:v>
                </c:pt>
                <c:pt idx="18">
                  <c:v>51.4</c:v>
                </c:pt>
                <c:pt idx="19">
                  <c:v>50.4</c:v>
                </c:pt>
                <c:pt idx="20">
                  <c:v>50.4</c:v>
                </c:pt>
                <c:pt idx="21">
                  <c:v>50.5</c:v>
                </c:pt>
                <c:pt idx="22">
                  <c:v>51.7</c:v>
                </c:pt>
                <c:pt idx="23">
                  <c:v>49.3</c:v>
                </c:pt>
                <c:pt idx="24">
                  <c:v>50.1</c:v>
                </c:pt>
                <c:pt idx="25">
                  <c:v>53.2</c:v>
                </c:pt>
                <c:pt idx="26">
                  <c:v>52.4</c:v>
                </c:pt>
                <c:pt idx="27">
                  <c:v>52</c:v>
                </c:pt>
                <c:pt idx="28">
                  <c:v>52.1</c:v>
                </c:pt>
                <c:pt idx="29">
                  <c:v>54.2</c:v>
                </c:pt>
                <c:pt idx="30">
                  <c:v>55.6</c:v>
                </c:pt>
                <c:pt idx="31">
                  <c:v>55.3</c:v>
                </c:pt>
                <c:pt idx="32">
                  <c:v>53.5</c:v>
                </c:pt>
                <c:pt idx="33" formatCode="General">
                  <c:v>51.7</c:v>
                </c:pt>
                <c:pt idx="34" formatCode="General">
                  <c:v>52.9</c:v>
                </c:pt>
                <c:pt idx="35" formatCode="General">
                  <c:v>53.3</c:v>
                </c:pt>
                <c:pt idx="36" formatCode="General">
                  <c:v>52.9</c:v>
                </c:pt>
                <c:pt idx="37">
                  <c:v>52.2</c:v>
                </c:pt>
                <c:pt idx="38">
                  <c:v>53.5</c:v>
                </c:pt>
                <c:pt idx="39">
                  <c:v>54.3</c:v>
                </c:pt>
                <c:pt idx="40" formatCode="General">
                  <c:v>54.8</c:v>
                </c:pt>
                <c:pt idx="41">
                  <c:v>53.5</c:v>
                </c:pt>
                <c:pt idx="42">
                  <c:v>55.3</c:v>
                </c:pt>
                <c:pt idx="43">
                  <c:v>55.3</c:v>
                </c:pt>
                <c:pt idx="77">
                  <c:v>52.9</c:v>
                </c:pt>
                <c:pt idx="78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97-4E66-BE76-E66CFDD6E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82944"/>
        <c:axId val="416105216"/>
      </c:lineChart>
      <c:lineChart>
        <c:grouping val="standard"/>
        <c:varyColors val="0"/>
        <c:ser>
          <c:idx val="2"/>
          <c:order val="2"/>
          <c:tx>
            <c:strRef>
              <c:f>CA!$E$77</c:f>
              <c:strCache>
                <c:ptCount val="1"/>
                <c:pt idx="0">
                  <c:v>EWC ETF</c:v>
                </c:pt>
              </c:strCache>
            </c:strRef>
          </c:tx>
          <c:marker>
            <c:symbol val="none"/>
          </c:marker>
          <c:val>
            <c:numRef>
              <c:f>CA!$E$78:$E$117</c:f>
              <c:numCache>
                <c:formatCode>General</c:formatCode>
                <c:ptCount val="40"/>
                <c:pt idx="0">
                  <c:v>31.27</c:v>
                </c:pt>
                <c:pt idx="1">
                  <c:v>30.53</c:v>
                </c:pt>
                <c:pt idx="2">
                  <c:v>29.58</c:v>
                </c:pt>
                <c:pt idx="3">
                  <c:v>28.9</c:v>
                </c:pt>
                <c:pt idx="4">
                  <c:v>27.92</c:v>
                </c:pt>
                <c:pt idx="5">
                  <c:v>23.81</c:v>
                </c:pt>
                <c:pt idx="6">
                  <c:v>26.38</c:v>
                </c:pt>
                <c:pt idx="7">
                  <c:v>25.65</c:v>
                </c:pt>
                <c:pt idx="8">
                  <c:v>25.2</c:v>
                </c:pt>
                <c:pt idx="9">
                  <c:v>26.63</c:v>
                </c:pt>
                <c:pt idx="10">
                  <c:v>27.49</c:v>
                </c:pt>
                <c:pt idx="11">
                  <c:v>26.84</c:v>
                </c:pt>
                <c:pt idx="12">
                  <c:v>26.86</c:v>
                </c:pt>
                <c:pt idx="13">
                  <c:v>23.98</c:v>
                </c:pt>
                <c:pt idx="14">
                  <c:v>24.68</c:v>
                </c:pt>
                <c:pt idx="15">
                  <c:v>25.11</c:v>
                </c:pt>
                <c:pt idx="16">
                  <c:v>26.26</c:v>
                </c:pt>
                <c:pt idx="17">
                  <c:v>27.21</c:v>
                </c:pt>
                <c:pt idx="18">
                  <c:v>27.21</c:v>
                </c:pt>
                <c:pt idx="19">
                  <c:v>26.85</c:v>
                </c:pt>
                <c:pt idx="20">
                  <c:v>27.49</c:v>
                </c:pt>
                <c:pt idx="21">
                  <c:v>27.94</c:v>
                </c:pt>
                <c:pt idx="22">
                  <c:v>27.31</c:v>
                </c:pt>
                <c:pt idx="23">
                  <c:v>27.59</c:v>
                </c:pt>
                <c:pt idx="24">
                  <c:v>27.12</c:v>
                </c:pt>
                <c:pt idx="25">
                  <c:v>26.84</c:v>
                </c:pt>
                <c:pt idx="26">
                  <c:v>25.6</c:v>
                </c:pt>
                <c:pt idx="27">
                  <c:v>27.05</c:v>
                </c:pt>
                <c:pt idx="28">
                  <c:v>26.82</c:v>
                </c:pt>
                <c:pt idx="29">
                  <c:v>27.72</c:v>
                </c:pt>
                <c:pt idx="30">
                  <c:v>28.75</c:v>
                </c:pt>
                <c:pt idx="31">
                  <c:v>28.48</c:v>
                </c:pt>
                <c:pt idx="32">
                  <c:v>28.94</c:v>
                </c:pt>
                <c:pt idx="33">
                  <c:v>27.72</c:v>
                </c:pt>
                <c:pt idx="34">
                  <c:v>28.96</c:v>
                </c:pt>
                <c:pt idx="35">
                  <c:v>29.33</c:v>
                </c:pt>
                <c:pt idx="36">
                  <c:v>30.31</c:v>
                </c:pt>
                <c:pt idx="37">
                  <c:v>30.47</c:v>
                </c:pt>
                <c:pt idx="38">
                  <c:v>32.21</c:v>
                </c:pt>
                <c:pt idx="39">
                  <c:v>32.159999999999997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97-4E66-BE76-E66CFDD6E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260096"/>
        <c:axId val="416108928"/>
      </c:lineChart>
      <c:dateAx>
        <c:axId val="4160829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16105216"/>
        <c:crossesAt val="50"/>
        <c:auto val="1"/>
        <c:lblOffset val="100"/>
        <c:baseTimeUnit val="months"/>
        <c:majorUnit val="2"/>
        <c:majorTimeUnit val="months"/>
      </c:dateAx>
      <c:valAx>
        <c:axId val="416105216"/>
        <c:scaling>
          <c:orientation val="minMax"/>
          <c:max val="60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16082944"/>
        <c:crosses val="autoZero"/>
        <c:crossBetween val="between"/>
        <c:majorUnit val="2"/>
      </c:valAx>
      <c:valAx>
        <c:axId val="416108928"/>
        <c:scaling>
          <c:orientation val="minMax"/>
          <c:max val="35"/>
          <c:min val="18"/>
        </c:scaling>
        <c:delete val="0"/>
        <c:axPos val="r"/>
        <c:numFmt formatCode="General" sourceLinked="1"/>
        <c:majorTickMark val="out"/>
        <c:minorTickMark val="none"/>
        <c:tickLblPos val="nextTo"/>
        <c:crossAx val="416260096"/>
        <c:crosses val="max"/>
        <c:crossBetween val="between"/>
      </c:valAx>
      <c:catAx>
        <c:axId val="416260096"/>
        <c:scaling>
          <c:orientation val="minMax"/>
        </c:scaling>
        <c:delete val="1"/>
        <c:axPos val="b"/>
        <c:majorTickMark val="out"/>
        <c:minorTickMark val="none"/>
        <c:tickLblPos val="nextTo"/>
        <c:crossAx val="41610892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56E-2"/>
          <c:y val="0.7453597512267488"/>
          <c:w val="0.14974335296693497"/>
          <c:h val="0.10919633687093461"/>
        </c:manualLayout>
      </c:layout>
      <c:overlay val="0"/>
      <c:spPr>
        <a:solidFill>
          <a:sysClr val="windowText" lastClr="000000"/>
        </a:solidFill>
      </c:sp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chemeClr val="bg1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UK Manufacturing PMI and UK</a:t>
            </a:r>
            <a:r>
              <a:rPr lang="en-US" baseline="0"/>
              <a:t> ESI 2005-2014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UK!$B$1</c:f>
              <c:strCache>
                <c:ptCount val="1"/>
                <c:pt idx="0">
                  <c:v>UK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UK!$A$2:$A$200</c:f>
              <c:numCache>
                <c:formatCode>[$-409]mmm\-yy;@</c:formatCode>
                <c:ptCount val="199"/>
                <c:pt idx="0">
                  <c:v>38322</c:v>
                </c:pt>
                <c:pt idx="1">
                  <c:v>38353</c:v>
                </c:pt>
                <c:pt idx="2">
                  <c:v>38384</c:v>
                </c:pt>
                <c:pt idx="3">
                  <c:v>38412</c:v>
                </c:pt>
                <c:pt idx="4">
                  <c:v>38443</c:v>
                </c:pt>
                <c:pt idx="5">
                  <c:v>38473</c:v>
                </c:pt>
                <c:pt idx="6">
                  <c:v>38504</c:v>
                </c:pt>
                <c:pt idx="7">
                  <c:v>38534</c:v>
                </c:pt>
                <c:pt idx="8">
                  <c:v>38565</c:v>
                </c:pt>
                <c:pt idx="9">
                  <c:v>38596</c:v>
                </c:pt>
                <c:pt idx="10">
                  <c:v>38626</c:v>
                </c:pt>
                <c:pt idx="11">
                  <c:v>38657</c:v>
                </c:pt>
                <c:pt idx="12">
                  <c:v>38687</c:v>
                </c:pt>
                <c:pt idx="13">
                  <c:v>38718</c:v>
                </c:pt>
                <c:pt idx="14">
                  <c:v>38749</c:v>
                </c:pt>
                <c:pt idx="15">
                  <c:v>38777</c:v>
                </c:pt>
                <c:pt idx="16">
                  <c:v>38808</c:v>
                </c:pt>
                <c:pt idx="17" formatCode="mmm\-yy">
                  <c:v>38838</c:v>
                </c:pt>
                <c:pt idx="18" formatCode="mmm\-yy">
                  <c:v>38869</c:v>
                </c:pt>
                <c:pt idx="19" formatCode="mmm\-yy">
                  <c:v>38899</c:v>
                </c:pt>
                <c:pt idx="20" formatCode="mmm\-yy">
                  <c:v>38930</c:v>
                </c:pt>
                <c:pt idx="21" formatCode="mmm\-yy">
                  <c:v>38961</c:v>
                </c:pt>
                <c:pt idx="22" formatCode="mmm\-yy">
                  <c:v>38991</c:v>
                </c:pt>
                <c:pt idx="23" formatCode="mmm\-yy">
                  <c:v>39022</c:v>
                </c:pt>
                <c:pt idx="24" formatCode="mmm\-yy">
                  <c:v>39052</c:v>
                </c:pt>
                <c:pt idx="25" formatCode="mmm\-yy">
                  <c:v>39083</c:v>
                </c:pt>
                <c:pt idx="26" formatCode="mmm\-yy">
                  <c:v>39114</c:v>
                </c:pt>
                <c:pt idx="27" formatCode="mmm\-yy">
                  <c:v>39142</c:v>
                </c:pt>
                <c:pt idx="28" formatCode="mmm\-yy">
                  <c:v>39173</c:v>
                </c:pt>
                <c:pt idx="29" formatCode="mmm\-yy">
                  <c:v>39203</c:v>
                </c:pt>
                <c:pt idx="30" formatCode="mmm\-yy">
                  <c:v>39234</c:v>
                </c:pt>
                <c:pt idx="31" formatCode="mmm\-yy">
                  <c:v>39264</c:v>
                </c:pt>
                <c:pt idx="32" formatCode="mmm\-yy">
                  <c:v>39295</c:v>
                </c:pt>
                <c:pt idx="33" formatCode="mmm\-yy">
                  <c:v>39326</c:v>
                </c:pt>
                <c:pt idx="34" formatCode="mmm\-yy">
                  <c:v>39356</c:v>
                </c:pt>
                <c:pt idx="35" formatCode="mmm\-yy">
                  <c:v>39387</c:v>
                </c:pt>
                <c:pt idx="36" formatCode="mmm\-yy">
                  <c:v>39417</c:v>
                </c:pt>
                <c:pt idx="37" formatCode="mmm\-yy">
                  <c:v>39448</c:v>
                </c:pt>
                <c:pt idx="38" formatCode="mmm\-yy">
                  <c:v>39479</c:v>
                </c:pt>
                <c:pt idx="39" formatCode="mmm\-yy">
                  <c:v>39508</c:v>
                </c:pt>
                <c:pt idx="40" formatCode="mmm\-yy">
                  <c:v>39539</c:v>
                </c:pt>
                <c:pt idx="41" formatCode="mmm\-yy">
                  <c:v>39569</c:v>
                </c:pt>
                <c:pt idx="42" formatCode="mmm\-yy">
                  <c:v>39600</c:v>
                </c:pt>
                <c:pt idx="43" formatCode="mmm\-yy">
                  <c:v>39630</c:v>
                </c:pt>
                <c:pt idx="44" formatCode="mmm\-yy">
                  <c:v>39661</c:v>
                </c:pt>
                <c:pt idx="45" formatCode="mmm\-yy">
                  <c:v>39692</c:v>
                </c:pt>
                <c:pt idx="46" formatCode="mmm\-yy">
                  <c:v>39722</c:v>
                </c:pt>
                <c:pt idx="47" formatCode="mmm\-yy">
                  <c:v>39753</c:v>
                </c:pt>
                <c:pt idx="48" formatCode="mmm\-yy">
                  <c:v>39783</c:v>
                </c:pt>
                <c:pt idx="49" formatCode="mmm\-yy">
                  <c:v>39814</c:v>
                </c:pt>
                <c:pt idx="50" formatCode="mmm\-yy">
                  <c:v>39845</c:v>
                </c:pt>
                <c:pt idx="51" formatCode="mmm\-yy">
                  <c:v>39873</c:v>
                </c:pt>
                <c:pt idx="52" formatCode="mmm\-yy">
                  <c:v>39904</c:v>
                </c:pt>
                <c:pt idx="53" formatCode="mmm\-yy">
                  <c:v>39934</c:v>
                </c:pt>
                <c:pt idx="54" formatCode="mmm\-yy">
                  <c:v>39965</c:v>
                </c:pt>
                <c:pt idx="55" formatCode="mmm\-yy">
                  <c:v>39995</c:v>
                </c:pt>
                <c:pt idx="56" formatCode="mmm\-yy">
                  <c:v>40026</c:v>
                </c:pt>
                <c:pt idx="57" formatCode="mmm\-yy">
                  <c:v>40057</c:v>
                </c:pt>
                <c:pt idx="58" formatCode="mmm\-yy">
                  <c:v>40087</c:v>
                </c:pt>
                <c:pt idx="59" formatCode="mmm\-yy">
                  <c:v>40118</c:v>
                </c:pt>
                <c:pt idx="60" formatCode="mmm\-yy">
                  <c:v>40148</c:v>
                </c:pt>
                <c:pt idx="61" formatCode="mmm\-yy">
                  <c:v>40179</c:v>
                </c:pt>
                <c:pt idx="62" formatCode="mmm\-yy">
                  <c:v>40210</c:v>
                </c:pt>
                <c:pt idx="63" formatCode="mmm\-yy">
                  <c:v>40238</c:v>
                </c:pt>
                <c:pt idx="64" formatCode="mmm\-yy">
                  <c:v>40269</c:v>
                </c:pt>
                <c:pt idx="65" formatCode="mmm\-yy">
                  <c:v>40299</c:v>
                </c:pt>
                <c:pt idx="66" formatCode="mmm\-yy">
                  <c:v>40330</c:v>
                </c:pt>
                <c:pt idx="67" formatCode="mmm\-yy">
                  <c:v>40360</c:v>
                </c:pt>
                <c:pt idx="68" formatCode="mmm\-yy">
                  <c:v>40391</c:v>
                </c:pt>
                <c:pt idx="69" formatCode="mmm\-yy">
                  <c:v>40422</c:v>
                </c:pt>
                <c:pt idx="70" formatCode="mmm\-yy">
                  <c:v>40452</c:v>
                </c:pt>
                <c:pt idx="71" formatCode="mmm\-yy">
                  <c:v>40483</c:v>
                </c:pt>
                <c:pt idx="72" formatCode="mmm\-yy">
                  <c:v>40513</c:v>
                </c:pt>
                <c:pt idx="73" formatCode="mmm\-yy">
                  <c:v>40544</c:v>
                </c:pt>
                <c:pt idx="74" formatCode="mmm\-yy">
                  <c:v>40575</c:v>
                </c:pt>
                <c:pt idx="75" formatCode="mmm\-yy">
                  <c:v>40603</c:v>
                </c:pt>
                <c:pt idx="76" formatCode="mmm\-yy">
                  <c:v>40634</c:v>
                </c:pt>
                <c:pt idx="77" formatCode="mmm\-yy">
                  <c:v>40664</c:v>
                </c:pt>
                <c:pt idx="78" formatCode="mmm\-yy">
                  <c:v>40695</c:v>
                </c:pt>
                <c:pt idx="79" formatCode="mmm\-yy">
                  <c:v>40725</c:v>
                </c:pt>
                <c:pt idx="80" formatCode="mmm\-yy">
                  <c:v>40756</c:v>
                </c:pt>
                <c:pt idx="81" formatCode="mmm\-yy">
                  <c:v>40787</c:v>
                </c:pt>
                <c:pt idx="82" formatCode="mmm\-yy">
                  <c:v>40817</c:v>
                </c:pt>
                <c:pt idx="83" formatCode="mmm\-yy">
                  <c:v>40848</c:v>
                </c:pt>
                <c:pt idx="84" formatCode="mmm\-yy">
                  <c:v>40878</c:v>
                </c:pt>
                <c:pt idx="85" formatCode="mmm\-yy">
                  <c:v>40909</c:v>
                </c:pt>
                <c:pt idx="86" formatCode="mmm\-yy">
                  <c:v>40940</c:v>
                </c:pt>
                <c:pt idx="87" formatCode="mmm\-yy">
                  <c:v>40969</c:v>
                </c:pt>
                <c:pt idx="88" formatCode="mmm\-yy">
                  <c:v>41000</c:v>
                </c:pt>
                <c:pt idx="89" formatCode="mmm\-yy">
                  <c:v>41030</c:v>
                </c:pt>
                <c:pt idx="90" formatCode="mmm\-yy">
                  <c:v>41061</c:v>
                </c:pt>
                <c:pt idx="91" formatCode="mmm\-yy">
                  <c:v>41091</c:v>
                </c:pt>
                <c:pt idx="92" formatCode="mmm\-yy">
                  <c:v>41122</c:v>
                </c:pt>
                <c:pt idx="93" formatCode="mmm\-yy">
                  <c:v>41153</c:v>
                </c:pt>
                <c:pt idx="94" formatCode="mmm\-yy">
                  <c:v>41183</c:v>
                </c:pt>
                <c:pt idx="95" formatCode="mmm\-yy">
                  <c:v>41214</c:v>
                </c:pt>
                <c:pt idx="96" formatCode="mmm\-yy">
                  <c:v>41244</c:v>
                </c:pt>
                <c:pt idx="97" formatCode="mmm\-yy">
                  <c:v>41275</c:v>
                </c:pt>
                <c:pt idx="98" formatCode="mmm\-yy">
                  <c:v>41306</c:v>
                </c:pt>
                <c:pt idx="99" formatCode="mmm\-yy">
                  <c:v>41334</c:v>
                </c:pt>
                <c:pt idx="100" formatCode="mmm\-yy">
                  <c:v>41365</c:v>
                </c:pt>
                <c:pt idx="101" formatCode="mmm\-yy">
                  <c:v>41395</c:v>
                </c:pt>
                <c:pt idx="102" formatCode="mmm\-yy">
                  <c:v>41426</c:v>
                </c:pt>
                <c:pt idx="103" formatCode="mmm\-yy">
                  <c:v>41456</c:v>
                </c:pt>
                <c:pt idx="104" formatCode="mmm\-yy">
                  <c:v>41487</c:v>
                </c:pt>
                <c:pt idx="105" formatCode="mmm\-yy">
                  <c:v>41518</c:v>
                </c:pt>
                <c:pt idx="106" formatCode="mmm\-yy">
                  <c:v>41548</c:v>
                </c:pt>
                <c:pt idx="107" formatCode="mmm\-yy">
                  <c:v>41579</c:v>
                </c:pt>
                <c:pt idx="108" formatCode="mmm\-yy">
                  <c:v>41609</c:v>
                </c:pt>
                <c:pt idx="109" formatCode="mmm\-yy">
                  <c:v>41640</c:v>
                </c:pt>
                <c:pt idx="110" formatCode="mmm\-yy">
                  <c:v>41671</c:v>
                </c:pt>
                <c:pt idx="111" formatCode="mmm\-yy">
                  <c:v>41699</c:v>
                </c:pt>
                <c:pt idx="112" formatCode="mmm\-yy">
                  <c:v>41730</c:v>
                </c:pt>
                <c:pt idx="113" formatCode="mmm\-yy">
                  <c:v>41760</c:v>
                </c:pt>
                <c:pt idx="114" formatCode="mmm\-yy">
                  <c:v>41791</c:v>
                </c:pt>
                <c:pt idx="115" formatCode="mmm\-yy">
                  <c:v>41821</c:v>
                </c:pt>
                <c:pt idx="116" formatCode="mmm\-yy">
                  <c:v>41852</c:v>
                </c:pt>
                <c:pt idx="117" formatCode="mmm\-yy">
                  <c:v>41883</c:v>
                </c:pt>
                <c:pt idx="118" formatCode="mmm\-yy">
                  <c:v>41913</c:v>
                </c:pt>
                <c:pt idx="119" formatCode="mmm\-yy">
                  <c:v>41944</c:v>
                </c:pt>
                <c:pt idx="120" formatCode="mmm\-yy">
                  <c:v>41974</c:v>
                </c:pt>
                <c:pt idx="121" formatCode="mmm\-yy">
                  <c:v>42005</c:v>
                </c:pt>
                <c:pt idx="122" formatCode="mmm\-yy">
                  <c:v>42036</c:v>
                </c:pt>
                <c:pt idx="123" formatCode="mmm\-yy">
                  <c:v>42064</c:v>
                </c:pt>
                <c:pt idx="124" formatCode="mmm\-yy">
                  <c:v>42095</c:v>
                </c:pt>
                <c:pt idx="125" formatCode="mmm\-yy">
                  <c:v>42125</c:v>
                </c:pt>
                <c:pt idx="126" formatCode="mmm\-yy">
                  <c:v>42156</c:v>
                </c:pt>
                <c:pt idx="127" formatCode="mmm\-yy">
                  <c:v>42186</c:v>
                </c:pt>
                <c:pt idx="128" formatCode="mmm\-yy">
                  <c:v>42217</c:v>
                </c:pt>
                <c:pt idx="129" formatCode="mmm\-yy">
                  <c:v>42248</c:v>
                </c:pt>
                <c:pt idx="130" formatCode="mmm\-yy">
                  <c:v>42278</c:v>
                </c:pt>
                <c:pt idx="131" formatCode="mmm\-yy">
                  <c:v>42309</c:v>
                </c:pt>
                <c:pt idx="132" formatCode="mmm\-yy">
                  <c:v>42339</c:v>
                </c:pt>
                <c:pt idx="133" formatCode="mmm\-yy">
                  <c:v>42370</c:v>
                </c:pt>
                <c:pt idx="134" formatCode="mmm\-yy">
                  <c:v>42401</c:v>
                </c:pt>
                <c:pt idx="135" formatCode="mmm\-yy">
                  <c:v>42430</c:v>
                </c:pt>
                <c:pt idx="136" formatCode="mmm\-yy">
                  <c:v>42461</c:v>
                </c:pt>
                <c:pt idx="137" formatCode="mmm\-yy">
                  <c:v>42491</c:v>
                </c:pt>
                <c:pt idx="138" formatCode="mmm\-yy">
                  <c:v>42522</c:v>
                </c:pt>
                <c:pt idx="139" formatCode="mmm\-yy">
                  <c:v>42552</c:v>
                </c:pt>
                <c:pt idx="140" formatCode="mmm\-yy">
                  <c:v>42583</c:v>
                </c:pt>
                <c:pt idx="141" formatCode="mmm\-yy">
                  <c:v>42614</c:v>
                </c:pt>
                <c:pt idx="142" formatCode="mmm\-yy">
                  <c:v>42644</c:v>
                </c:pt>
                <c:pt idx="143" formatCode="mmm\-yy">
                  <c:v>42675</c:v>
                </c:pt>
                <c:pt idx="144" formatCode="mmm\-yy">
                  <c:v>42705</c:v>
                </c:pt>
                <c:pt idx="145" formatCode="mmm\-yy">
                  <c:v>42736</c:v>
                </c:pt>
                <c:pt idx="146" formatCode="mmm\-yy">
                  <c:v>42767</c:v>
                </c:pt>
                <c:pt idx="147" formatCode="mmm\-yy">
                  <c:v>42795</c:v>
                </c:pt>
                <c:pt idx="148" formatCode="mmm\-yy">
                  <c:v>42826</c:v>
                </c:pt>
                <c:pt idx="149" formatCode="mmm\-yy">
                  <c:v>42856</c:v>
                </c:pt>
                <c:pt idx="150" formatCode="mmm\-yy">
                  <c:v>42887</c:v>
                </c:pt>
                <c:pt idx="151" formatCode="mmm\-yy">
                  <c:v>42917</c:v>
                </c:pt>
                <c:pt idx="152" formatCode="mmm\-yy">
                  <c:v>42948</c:v>
                </c:pt>
                <c:pt idx="153" formatCode="yyyy/mm/dd">
                  <c:v>46143</c:v>
                </c:pt>
                <c:pt idx="154" formatCode="yyyy/mm/dd">
                  <c:v>46174</c:v>
                </c:pt>
              </c:numCache>
            </c:numRef>
          </c:cat>
          <c:val>
            <c:numRef>
              <c:f>UK!$B$2:$B$200</c:f>
              <c:numCache>
                <c:formatCode>0.0</c:formatCode>
                <c:ptCount val="199"/>
                <c:pt idx="0">
                  <c:v>53.7</c:v>
                </c:pt>
                <c:pt idx="1">
                  <c:v>51.8</c:v>
                </c:pt>
                <c:pt idx="2">
                  <c:v>51.8</c:v>
                </c:pt>
                <c:pt idx="3">
                  <c:v>52</c:v>
                </c:pt>
                <c:pt idx="4">
                  <c:v>49.5</c:v>
                </c:pt>
                <c:pt idx="5">
                  <c:v>47.3</c:v>
                </c:pt>
                <c:pt idx="6">
                  <c:v>49.6</c:v>
                </c:pt>
                <c:pt idx="7">
                  <c:v>49.2</c:v>
                </c:pt>
                <c:pt idx="8">
                  <c:v>50.1</c:v>
                </c:pt>
                <c:pt idx="9">
                  <c:v>51.5</c:v>
                </c:pt>
                <c:pt idx="10">
                  <c:v>51.7</c:v>
                </c:pt>
                <c:pt idx="11">
                  <c:v>51</c:v>
                </c:pt>
                <c:pt idx="12">
                  <c:v>51.1</c:v>
                </c:pt>
                <c:pt idx="13">
                  <c:v>51.7</c:v>
                </c:pt>
                <c:pt idx="14">
                  <c:v>51.7</c:v>
                </c:pt>
                <c:pt idx="15">
                  <c:v>50.8</c:v>
                </c:pt>
                <c:pt idx="16">
                  <c:v>54.1</c:v>
                </c:pt>
                <c:pt idx="17">
                  <c:v>53.2</c:v>
                </c:pt>
                <c:pt idx="18">
                  <c:v>55.1</c:v>
                </c:pt>
                <c:pt idx="19">
                  <c:v>53.8</c:v>
                </c:pt>
                <c:pt idx="20">
                  <c:v>53.1</c:v>
                </c:pt>
                <c:pt idx="21">
                  <c:v>54.4</c:v>
                </c:pt>
                <c:pt idx="22">
                  <c:v>53.7</c:v>
                </c:pt>
                <c:pt idx="23">
                  <c:v>53.6</c:v>
                </c:pt>
                <c:pt idx="24">
                  <c:v>51.9</c:v>
                </c:pt>
                <c:pt idx="25">
                  <c:v>52.8</c:v>
                </c:pt>
                <c:pt idx="26">
                  <c:v>55.4</c:v>
                </c:pt>
                <c:pt idx="27">
                  <c:v>54.4</c:v>
                </c:pt>
                <c:pt idx="28">
                  <c:v>53.9</c:v>
                </c:pt>
                <c:pt idx="29">
                  <c:v>54.9</c:v>
                </c:pt>
                <c:pt idx="30">
                  <c:v>54.3</c:v>
                </c:pt>
                <c:pt idx="31">
                  <c:v>55.7</c:v>
                </c:pt>
                <c:pt idx="32">
                  <c:v>56.3</c:v>
                </c:pt>
                <c:pt idx="33">
                  <c:v>55.1</c:v>
                </c:pt>
                <c:pt idx="34">
                  <c:v>52.9</c:v>
                </c:pt>
                <c:pt idx="35">
                  <c:v>54.4</c:v>
                </c:pt>
                <c:pt idx="36">
                  <c:v>52.9</c:v>
                </c:pt>
                <c:pt idx="37">
                  <c:v>50.6</c:v>
                </c:pt>
                <c:pt idx="38">
                  <c:v>51.3</c:v>
                </c:pt>
                <c:pt idx="39">
                  <c:v>51.3</c:v>
                </c:pt>
                <c:pt idx="40">
                  <c:v>51</c:v>
                </c:pt>
                <c:pt idx="41">
                  <c:v>50</c:v>
                </c:pt>
                <c:pt idx="42">
                  <c:v>45.8</c:v>
                </c:pt>
                <c:pt idx="43">
                  <c:v>44.3</c:v>
                </c:pt>
                <c:pt idx="44">
                  <c:v>45.9</c:v>
                </c:pt>
                <c:pt idx="45">
                  <c:v>41</c:v>
                </c:pt>
                <c:pt idx="46">
                  <c:v>41.5</c:v>
                </c:pt>
                <c:pt idx="47">
                  <c:v>34.4</c:v>
                </c:pt>
                <c:pt idx="48">
                  <c:v>34.9</c:v>
                </c:pt>
                <c:pt idx="49">
                  <c:v>35.799999999999997</c:v>
                </c:pt>
                <c:pt idx="50">
                  <c:v>34.700000000000003</c:v>
                </c:pt>
                <c:pt idx="51">
                  <c:v>39.1</c:v>
                </c:pt>
                <c:pt idx="52">
                  <c:v>42.9</c:v>
                </c:pt>
                <c:pt idx="53">
                  <c:v>45.4</c:v>
                </c:pt>
                <c:pt idx="54">
                  <c:v>47</c:v>
                </c:pt>
                <c:pt idx="55">
                  <c:v>50.8</c:v>
                </c:pt>
                <c:pt idx="56">
                  <c:v>49.7</c:v>
                </c:pt>
                <c:pt idx="57">
                  <c:v>49.5</c:v>
                </c:pt>
                <c:pt idx="58">
                  <c:v>53.7</c:v>
                </c:pt>
                <c:pt idx="59">
                  <c:v>51.8</c:v>
                </c:pt>
                <c:pt idx="60">
                  <c:v>54.1</c:v>
                </c:pt>
                <c:pt idx="61">
                  <c:v>56.7</c:v>
                </c:pt>
                <c:pt idx="62">
                  <c:v>56.6</c:v>
                </c:pt>
                <c:pt idx="63">
                  <c:v>57.2</c:v>
                </c:pt>
                <c:pt idx="64">
                  <c:v>58</c:v>
                </c:pt>
                <c:pt idx="65">
                  <c:v>58</c:v>
                </c:pt>
                <c:pt idx="66">
                  <c:v>57.5</c:v>
                </c:pt>
                <c:pt idx="67">
                  <c:v>57.3</c:v>
                </c:pt>
                <c:pt idx="68">
                  <c:v>54.3</c:v>
                </c:pt>
                <c:pt idx="69">
                  <c:v>53.4</c:v>
                </c:pt>
                <c:pt idx="70">
                  <c:v>54.9</c:v>
                </c:pt>
                <c:pt idx="71">
                  <c:v>58</c:v>
                </c:pt>
                <c:pt idx="72">
                  <c:v>58.3</c:v>
                </c:pt>
                <c:pt idx="73">
                  <c:v>62</c:v>
                </c:pt>
                <c:pt idx="74">
                  <c:v>64.5</c:v>
                </c:pt>
                <c:pt idx="75">
                  <c:v>57.1</c:v>
                </c:pt>
                <c:pt idx="76">
                  <c:v>54.6</c:v>
                </c:pt>
                <c:pt idx="77">
                  <c:v>52.1</c:v>
                </c:pt>
                <c:pt idx="78">
                  <c:v>51.3</c:v>
                </c:pt>
                <c:pt idx="79">
                  <c:v>49.1</c:v>
                </c:pt>
                <c:pt idx="80">
                  <c:v>49</c:v>
                </c:pt>
                <c:pt idx="81">
                  <c:v>51.1</c:v>
                </c:pt>
                <c:pt idx="82">
                  <c:v>47.4</c:v>
                </c:pt>
                <c:pt idx="83">
                  <c:v>47.6</c:v>
                </c:pt>
                <c:pt idx="84">
                  <c:v>49.6</c:v>
                </c:pt>
                <c:pt idx="85">
                  <c:v>50.8</c:v>
                </c:pt>
                <c:pt idx="86">
                  <c:v>51.1</c:v>
                </c:pt>
                <c:pt idx="87">
                  <c:v>52</c:v>
                </c:pt>
                <c:pt idx="88">
                  <c:v>50.2</c:v>
                </c:pt>
                <c:pt idx="89">
                  <c:v>46.8</c:v>
                </c:pt>
                <c:pt idx="90">
                  <c:v>48.8</c:v>
                </c:pt>
                <c:pt idx="91">
                  <c:v>45.5</c:v>
                </c:pt>
                <c:pt idx="92">
                  <c:v>49.1</c:v>
                </c:pt>
                <c:pt idx="93">
                  <c:v>48.2</c:v>
                </c:pt>
                <c:pt idx="94">
                  <c:v>48</c:v>
                </c:pt>
                <c:pt idx="95">
                  <c:v>48.4</c:v>
                </c:pt>
                <c:pt idx="96">
                  <c:v>50.7</c:v>
                </c:pt>
                <c:pt idx="97">
                  <c:v>50.9</c:v>
                </c:pt>
                <c:pt idx="98">
                  <c:v>48.2</c:v>
                </c:pt>
                <c:pt idx="99">
                  <c:v>49.3</c:v>
                </c:pt>
                <c:pt idx="100">
                  <c:v>50.6</c:v>
                </c:pt>
                <c:pt idx="101">
                  <c:v>52.1</c:v>
                </c:pt>
                <c:pt idx="102">
                  <c:v>53</c:v>
                </c:pt>
                <c:pt idx="103">
                  <c:v>54.7</c:v>
                </c:pt>
                <c:pt idx="104">
                  <c:v>57.3</c:v>
                </c:pt>
                <c:pt idx="105">
                  <c:v>56.7</c:v>
                </c:pt>
                <c:pt idx="106">
                  <c:v>56.5</c:v>
                </c:pt>
                <c:pt idx="107">
                  <c:v>58.1</c:v>
                </c:pt>
                <c:pt idx="108">
                  <c:v>57.3</c:v>
                </c:pt>
                <c:pt idx="109">
                  <c:v>56.7</c:v>
                </c:pt>
                <c:pt idx="110">
                  <c:v>56.9</c:v>
                </c:pt>
                <c:pt idx="111">
                  <c:v>55.3</c:v>
                </c:pt>
                <c:pt idx="112">
                  <c:v>57.3</c:v>
                </c:pt>
                <c:pt idx="113">
                  <c:v>57</c:v>
                </c:pt>
                <c:pt idx="114">
                  <c:v>57.5</c:v>
                </c:pt>
                <c:pt idx="115">
                  <c:v>55.4</c:v>
                </c:pt>
                <c:pt idx="116">
                  <c:v>52.5</c:v>
                </c:pt>
                <c:pt idx="117">
                  <c:v>51.6</c:v>
                </c:pt>
                <c:pt idx="118">
                  <c:v>53.2</c:v>
                </c:pt>
                <c:pt idx="119">
                  <c:v>53.5</c:v>
                </c:pt>
                <c:pt idx="153">
                  <c:v>53.9</c:v>
                </c:pt>
                <c:pt idx="154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7-4189-9C96-01D430F4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474688"/>
        <c:axId val="425477632"/>
      </c:area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UK!$B$2:$B$200</c:f>
              <c:numCache>
                <c:formatCode>0.0</c:formatCode>
                <c:ptCount val="199"/>
                <c:pt idx="0">
                  <c:v>53.7</c:v>
                </c:pt>
                <c:pt idx="1">
                  <c:v>51.8</c:v>
                </c:pt>
                <c:pt idx="2">
                  <c:v>51.8</c:v>
                </c:pt>
                <c:pt idx="3">
                  <c:v>52</c:v>
                </c:pt>
                <c:pt idx="4">
                  <c:v>49.5</c:v>
                </c:pt>
                <c:pt idx="5">
                  <c:v>47.3</c:v>
                </c:pt>
                <c:pt idx="6">
                  <c:v>49.6</c:v>
                </c:pt>
                <c:pt idx="7">
                  <c:v>49.2</c:v>
                </c:pt>
                <c:pt idx="8">
                  <c:v>50.1</c:v>
                </c:pt>
                <c:pt idx="9">
                  <c:v>51.5</c:v>
                </c:pt>
                <c:pt idx="10">
                  <c:v>51.7</c:v>
                </c:pt>
                <c:pt idx="11">
                  <c:v>51</c:v>
                </c:pt>
                <c:pt idx="12">
                  <c:v>51.1</c:v>
                </c:pt>
                <c:pt idx="13">
                  <c:v>51.7</c:v>
                </c:pt>
                <c:pt idx="14">
                  <c:v>51.7</c:v>
                </c:pt>
                <c:pt idx="15">
                  <c:v>50.8</c:v>
                </c:pt>
                <c:pt idx="16">
                  <c:v>54.1</c:v>
                </c:pt>
                <c:pt idx="17">
                  <c:v>53.2</c:v>
                </c:pt>
                <c:pt idx="18">
                  <c:v>55.1</c:v>
                </c:pt>
                <c:pt idx="19">
                  <c:v>53.8</c:v>
                </c:pt>
                <c:pt idx="20">
                  <c:v>53.1</c:v>
                </c:pt>
                <c:pt idx="21">
                  <c:v>54.4</c:v>
                </c:pt>
                <c:pt idx="22">
                  <c:v>53.7</c:v>
                </c:pt>
                <c:pt idx="23">
                  <c:v>53.6</c:v>
                </c:pt>
                <c:pt idx="24">
                  <c:v>51.9</c:v>
                </c:pt>
                <c:pt idx="25">
                  <c:v>52.8</c:v>
                </c:pt>
                <c:pt idx="26">
                  <c:v>55.4</c:v>
                </c:pt>
                <c:pt idx="27">
                  <c:v>54.4</c:v>
                </c:pt>
                <c:pt idx="28">
                  <c:v>53.9</c:v>
                </c:pt>
                <c:pt idx="29">
                  <c:v>54.9</c:v>
                </c:pt>
                <c:pt idx="30">
                  <c:v>54.3</c:v>
                </c:pt>
                <c:pt idx="31">
                  <c:v>55.7</c:v>
                </c:pt>
                <c:pt idx="32">
                  <c:v>56.3</c:v>
                </c:pt>
                <c:pt idx="33">
                  <c:v>55.1</c:v>
                </c:pt>
                <c:pt idx="34">
                  <c:v>52.9</c:v>
                </c:pt>
                <c:pt idx="35">
                  <c:v>54.4</c:v>
                </c:pt>
                <c:pt idx="36">
                  <c:v>52.9</c:v>
                </c:pt>
                <c:pt idx="37">
                  <c:v>50.6</c:v>
                </c:pt>
                <c:pt idx="38">
                  <c:v>51.3</c:v>
                </c:pt>
                <c:pt idx="39">
                  <c:v>51.3</c:v>
                </c:pt>
                <c:pt idx="40">
                  <c:v>51</c:v>
                </c:pt>
                <c:pt idx="41">
                  <c:v>50</c:v>
                </c:pt>
                <c:pt idx="42">
                  <c:v>45.8</c:v>
                </c:pt>
                <c:pt idx="43">
                  <c:v>44.3</c:v>
                </c:pt>
                <c:pt idx="44">
                  <c:v>45.9</c:v>
                </c:pt>
                <c:pt idx="45">
                  <c:v>41</c:v>
                </c:pt>
                <c:pt idx="46">
                  <c:v>41.5</c:v>
                </c:pt>
                <c:pt idx="47">
                  <c:v>34.4</c:v>
                </c:pt>
                <c:pt idx="48">
                  <c:v>34.9</c:v>
                </c:pt>
                <c:pt idx="49">
                  <c:v>35.799999999999997</c:v>
                </c:pt>
                <c:pt idx="50">
                  <c:v>34.700000000000003</c:v>
                </c:pt>
                <c:pt idx="51">
                  <c:v>39.1</c:v>
                </c:pt>
                <c:pt idx="52">
                  <c:v>42.9</c:v>
                </c:pt>
                <c:pt idx="53">
                  <c:v>45.4</c:v>
                </c:pt>
                <c:pt idx="54">
                  <c:v>47</c:v>
                </c:pt>
                <c:pt idx="55">
                  <c:v>50.8</c:v>
                </c:pt>
                <c:pt idx="56">
                  <c:v>49.7</c:v>
                </c:pt>
                <c:pt idx="57">
                  <c:v>49.5</c:v>
                </c:pt>
                <c:pt idx="58">
                  <c:v>53.7</c:v>
                </c:pt>
                <c:pt idx="59">
                  <c:v>51.8</c:v>
                </c:pt>
                <c:pt idx="60">
                  <c:v>54.1</c:v>
                </c:pt>
                <c:pt idx="61">
                  <c:v>56.7</c:v>
                </c:pt>
                <c:pt idx="62">
                  <c:v>56.6</c:v>
                </c:pt>
                <c:pt idx="63">
                  <c:v>57.2</c:v>
                </c:pt>
                <c:pt idx="64">
                  <c:v>58</c:v>
                </c:pt>
                <c:pt idx="65">
                  <c:v>58</c:v>
                </c:pt>
                <c:pt idx="66">
                  <c:v>57.5</c:v>
                </c:pt>
                <c:pt idx="67">
                  <c:v>57.3</c:v>
                </c:pt>
                <c:pt idx="68">
                  <c:v>54.3</c:v>
                </c:pt>
                <c:pt idx="69">
                  <c:v>53.4</c:v>
                </c:pt>
                <c:pt idx="70">
                  <c:v>54.9</c:v>
                </c:pt>
                <c:pt idx="71">
                  <c:v>58</c:v>
                </c:pt>
                <c:pt idx="72">
                  <c:v>58.3</c:v>
                </c:pt>
                <c:pt idx="73">
                  <c:v>62</c:v>
                </c:pt>
                <c:pt idx="74">
                  <c:v>64.5</c:v>
                </c:pt>
                <c:pt idx="75">
                  <c:v>57.1</c:v>
                </c:pt>
                <c:pt idx="76">
                  <c:v>54.6</c:v>
                </c:pt>
                <c:pt idx="77">
                  <c:v>52.1</c:v>
                </c:pt>
                <c:pt idx="78">
                  <c:v>51.3</c:v>
                </c:pt>
                <c:pt idx="79">
                  <c:v>49.1</c:v>
                </c:pt>
                <c:pt idx="80">
                  <c:v>49</c:v>
                </c:pt>
                <c:pt idx="81">
                  <c:v>51.1</c:v>
                </c:pt>
                <c:pt idx="82">
                  <c:v>47.4</c:v>
                </c:pt>
                <c:pt idx="83">
                  <c:v>47.6</c:v>
                </c:pt>
                <c:pt idx="84">
                  <c:v>49.6</c:v>
                </c:pt>
                <c:pt idx="85">
                  <c:v>50.8</c:v>
                </c:pt>
                <c:pt idx="86">
                  <c:v>51.1</c:v>
                </c:pt>
                <c:pt idx="87">
                  <c:v>52</c:v>
                </c:pt>
                <c:pt idx="88">
                  <c:v>50.2</c:v>
                </c:pt>
                <c:pt idx="89">
                  <c:v>46.8</c:v>
                </c:pt>
                <c:pt idx="90">
                  <c:v>48.8</c:v>
                </c:pt>
                <c:pt idx="91">
                  <c:v>45.5</c:v>
                </c:pt>
                <c:pt idx="92">
                  <c:v>49.1</c:v>
                </c:pt>
                <c:pt idx="93">
                  <c:v>48.2</c:v>
                </c:pt>
                <c:pt idx="94">
                  <c:v>48</c:v>
                </c:pt>
                <c:pt idx="95">
                  <c:v>48.4</c:v>
                </c:pt>
                <c:pt idx="96">
                  <c:v>50.7</c:v>
                </c:pt>
                <c:pt idx="97">
                  <c:v>50.9</c:v>
                </c:pt>
                <c:pt idx="98">
                  <c:v>48.2</c:v>
                </c:pt>
                <c:pt idx="99">
                  <c:v>49.3</c:v>
                </c:pt>
                <c:pt idx="100">
                  <c:v>50.6</c:v>
                </c:pt>
                <c:pt idx="101">
                  <c:v>52.1</c:v>
                </c:pt>
                <c:pt idx="102">
                  <c:v>53</c:v>
                </c:pt>
                <c:pt idx="103">
                  <c:v>54.7</c:v>
                </c:pt>
                <c:pt idx="104">
                  <c:v>57.3</c:v>
                </c:pt>
                <c:pt idx="105">
                  <c:v>56.7</c:v>
                </c:pt>
                <c:pt idx="106">
                  <c:v>56.5</c:v>
                </c:pt>
                <c:pt idx="107">
                  <c:v>58.1</c:v>
                </c:pt>
                <c:pt idx="108">
                  <c:v>57.3</c:v>
                </c:pt>
                <c:pt idx="109">
                  <c:v>56.7</c:v>
                </c:pt>
                <c:pt idx="110">
                  <c:v>56.9</c:v>
                </c:pt>
                <c:pt idx="111">
                  <c:v>55.3</c:v>
                </c:pt>
                <c:pt idx="112">
                  <c:v>57.3</c:v>
                </c:pt>
                <c:pt idx="113">
                  <c:v>57</c:v>
                </c:pt>
                <c:pt idx="114">
                  <c:v>57.5</c:v>
                </c:pt>
                <c:pt idx="115">
                  <c:v>55.4</c:v>
                </c:pt>
                <c:pt idx="116">
                  <c:v>52.5</c:v>
                </c:pt>
                <c:pt idx="117">
                  <c:v>51.6</c:v>
                </c:pt>
                <c:pt idx="118">
                  <c:v>53.2</c:v>
                </c:pt>
                <c:pt idx="119">
                  <c:v>53.5</c:v>
                </c:pt>
                <c:pt idx="153">
                  <c:v>53.9</c:v>
                </c:pt>
                <c:pt idx="154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7-4189-9C96-01D430F4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474688"/>
        <c:axId val="425477632"/>
      </c:lineChart>
      <c:lineChart>
        <c:grouping val="standard"/>
        <c:varyColors val="0"/>
        <c:ser>
          <c:idx val="2"/>
          <c:order val="2"/>
          <c:tx>
            <c:strRef>
              <c:f>UK!$E$1</c:f>
              <c:strCache>
                <c:ptCount val="1"/>
                <c:pt idx="0">
                  <c:v>UK ESI</c:v>
                </c:pt>
              </c:strCache>
            </c:strRef>
          </c:tx>
          <c:spPr>
            <a:ln w="38100">
              <a:solidFill>
                <a:srgbClr val="D9EC20"/>
              </a:solidFill>
            </a:ln>
          </c:spPr>
          <c:marker>
            <c:symbol val="none"/>
          </c:marker>
          <c:val>
            <c:numRef>
              <c:f>UK!$E$2:$E$150</c:f>
              <c:numCache>
                <c:formatCode>General</c:formatCode>
                <c:ptCount val="149"/>
                <c:pt idx="0">
                  <c:v>110.4</c:v>
                </c:pt>
                <c:pt idx="1">
                  <c:v>109.8</c:v>
                </c:pt>
                <c:pt idx="2">
                  <c:v>109.8</c:v>
                </c:pt>
                <c:pt idx="3">
                  <c:v>105.4</c:v>
                </c:pt>
                <c:pt idx="4">
                  <c:v>102.8</c:v>
                </c:pt>
                <c:pt idx="5">
                  <c:v>100.8</c:v>
                </c:pt>
                <c:pt idx="6">
                  <c:v>96.3</c:v>
                </c:pt>
                <c:pt idx="7">
                  <c:v>101.7</c:v>
                </c:pt>
                <c:pt idx="8">
                  <c:v>98</c:v>
                </c:pt>
                <c:pt idx="9">
                  <c:v>102</c:v>
                </c:pt>
                <c:pt idx="10">
                  <c:v>101.5</c:v>
                </c:pt>
                <c:pt idx="11">
                  <c:v>98.4</c:v>
                </c:pt>
                <c:pt idx="12">
                  <c:v>97.5</c:v>
                </c:pt>
                <c:pt idx="13">
                  <c:v>95.9</c:v>
                </c:pt>
                <c:pt idx="14">
                  <c:v>103.5</c:v>
                </c:pt>
                <c:pt idx="15">
                  <c:v>100.9</c:v>
                </c:pt>
                <c:pt idx="16">
                  <c:v>110.3</c:v>
                </c:pt>
                <c:pt idx="17">
                  <c:v>107.6</c:v>
                </c:pt>
                <c:pt idx="18">
                  <c:v>108.4</c:v>
                </c:pt>
                <c:pt idx="19">
                  <c:v>109.4</c:v>
                </c:pt>
                <c:pt idx="20">
                  <c:v>106.1</c:v>
                </c:pt>
                <c:pt idx="21">
                  <c:v>109.4</c:v>
                </c:pt>
                <c:pt idx="22">
                  <c:v>107.9</c:v>
                </c:pt>
                <c:pt idx="23">
                  <c:v>111.7</c:v>
                </c:pt>
                <c:pt idx="24">
                  <c:v>112.6</c:v>
                </c:pt>
                <c:pt idx="25">
                  <c:v>110.7</c:v>
                </c:pt>
                <c:pt idx="26">
                  <c:v>110.8</c:v>
                </c:pt>
                <c:pt idx="27">
                  <c:v>113.3</c:v>
                </c:pt>
                <c:pt idx="28">
                  <c:v>109.9</c:v>
                </c:pt>
                <c:pt idx="29">
                  <c:v>113.7</c:v>
                </c:pt>
                <c:pt idx="30">
                  <c:v>115</c:v>
                </c:pt>
                <c:pt idx="31">
                  <c:v>109.5</c:v>
                </c:pt>
                <c:pt idx="32">
                  <c:v>110</c:v>
                </c:pt>
                <c:pt idx="33">
                  <c:v>113.1</c:v>
                </c:pt>
                <c:pt idx="34">
                  <c:v>112.4</c:v>
                </c:pt>
                <c:pt idx="35">
                  <c:v>108.1</c:v>
                </c:pt>
                <c:pt idx="36">
                  <c:v>107.7</c:v>
                </c:pt>
                <c:pt idx="37">
                  <c:v>107.7</c:v>
                </c:pt>
                <c:pt idx="38">
                  <c:v>99.7</c:v>
                </c:pt>
                <c:pt idx="39">
                  <c:v>106.5</c:v>
                </c:pt>
                <c:pt idx="40">
                  <c:v>100</c:v>
                </c:pt>
                <c:pt idx="41">
                  <c:v>94.3</c:v>
                </c:pt>
                <c:pt idx="42">
                  <c:v>95.1</c:v>
                </c:pt>
                <c:pt idx="43">
                  <c:v>90.5</c:v>
                </c:pt>
                <c:pt idx="44">
                  <c:v>88</c:v>
                </c:pt>
                <c:pt idx="45">
                  <c:v>85.6</c:v>
                </c:pt>
                <c:pt idx="46">
                  <c:v>79</c:v>
                </c:pt>
                <c:pt idx="47">
                  <c:v>77.5</c:v>
                </c:pt>
                <c:pt idx="48">
                  <c:v>73.599999999999994</c:v>
                </c:pt>
                <c:pt idx="49">
                  <c:v>69.3</c:v>
                </c:pt>
                <c:pt idx="50">
                  <c:v>66.2</c:v>
                </c:pt>
                <c:pt idx="51">
                  <c:v>64.3</c:v>
                </c:pt>
                <c:pt idx="52">
                  <c:v>69.3</c:v>
                </c:pt>
                <c:pt idx="53">
                  <c:v>74.5</c:v>
                </c:pt>
                <c:pt idx="54">
                  <c:v>76.7</c:v>
                </c:pt>
                <c:pt idx="55">
                  <c:v>77.7</c:v>
                </c:pt>
                <c:pt idx="56">
                  <c:v>86.9</c:v>
                </c:pt>
                <c:pt idx="57">
                  <c:v>87.8</c:v>
                </c:pt>
                <c:pt idx="58">
                  <c:v>92.7</c:v>
                </c:pt>
                <c:pt idx="59">
                  <c:v>93.3</c:v>
                </c:pt>
                <c:pt idx="60">
                  <c:v>95.2</c:v>
                </c:pt>
                <c:pt idx="61">
                  <c:v>97.3</c:v>
                </c:pt>
                <c:pt idx="62">
                  <c:v>102</c:v>
                </c:pt>
                <c:pt idx="63">
                  <c:v>103</c:v>
                </c:pt>
                <c:pt idx="64">
                  <c:v>101.9</c:v>
                </c:pt>
                <c:pt idx="65">
                  <c:v>102.9</c:v>
                </c:pt>
                <c:pt idx="66">
                  <c:v>100.1</c:v>
                </c:pt>
                <c:pt idx="67">
                  <c:v>102.3</c:v>
                </c:pt>
                <c:pt idx="68">
                  <c:v>103.4</c:v>
                </c:pt>
                <c:pt idx="69">
                  <c:v>100.9</c:v>
                </c:pt>
                <c:pt idx="70">
                  <c:v>100.4</c:v>
                </c:pt>
                <c:pt idx="71">
                  <c:v>101.3</c:v>
                </c:pt>
                <c:pt idx="72">
                  <c:v>102.5</c:v>
                </c:pt>
                <c:pt idx="73">
                  <c:v>99.6</c:v>
                </c:pt>
                <c:pt idx="74">
                  <c:v>102.8</c:v>
                </c:pt>
                <c:pt idx="75">
                  <c:v>105.5</c:v>
                </c:pt>
                <c:pt idx="76">
                  <c:v>100.4</c:v>
                </c:pt>
                <c:pt idx="77">
                  <c:v>102.9</c:v>
                </c:pt>
                <c:pt idx="78">
                  <c:v>100.6</c:v>
                </c:pt>
                <c:pt idx="79">
                  <c:v>99.2</c:v>
                </c:pt>
                <c:pt idx="80">
                  <c:v>93.6</c:v>
                </c:pt>
                <c:pt idx="81">
                  <c:v>90.2</c:v>
                </c:pt>
                <c:pt idx="82">
                  <c:v>90.2</c:v>
                </c:pt>
                <c:pt idx="83">
                  <c:v>89.5</c:v>
                </c:pt>
                <c:pt idx="84">
                  <c:v>88.9</c:v>
                </c:pt>
                <c:pt idx="85">
                  <c:v>94</c:v>
                </c:pt>
                <c:pt idx="86">
                  <c:v>94.3</c:v>
                </c:pt>
                <c:pt idx="87">
                  <c:v>91.8</c:v>
                </c:pt>
                <c:pt idx="88">
                  <c:v>96.1</c:v>
                </c:pt>
                <c:pt idx="89">
                  <c:v>91.3</c:v>
                </c:pt>
                <c:pt idx="90">
                  <c:v>93.3</c:v>
                </c:pt>
                <c:pt idx="91">
                  <c:v>95</c:v>
                </c:pt>
                <c:pt idx="92">
                  <c:v>91.8</c:v>
                </c:pt>
                <c:pt idx="93">
                  <c:v>92.3</c:v>
                </c:pt>
                <c:pt idx="94">
                  <c:v>97.6</c:v>
                </c:pt>
                <c:pt idx="95">
                  <c:v>100.6</c:v>
                </c:pt>
                <c:pt idx="96">
                  <c:v>97.1</c:v>
                </c:pt>
                <c:pt idx="97">
                  <c:v>97.6</c:v>
                </c:pt>
                <c:pt idx="98">
                  <c:v>97.1</c:v>
                </c:pt>
                <c:pt idx="99">
                  <c:v>98.2</c:v>
                </c:pt>
                <c:pt idx="100">
                  <c:v>96.2</c:v>
                </c:pt>
                <c:pt idx="101">
                  <c:v>98</c:v>
                </c:pt>
                <c:pt idx="102">
                  <c:v>97.3</c:v>
                </c:pt>
                <c:pt idx="103">
                  <c:v>104.2</c:v>
                </c:pt>
                <c:pt idx="104">
                  <c:v>108.5</c:v>
                </c:pt>
                <c:pt idx="105">
                  <c:v>115.4</c:v>
                </c:pt>
                <c:pt idx="106">
                  <c:v>115.1</c:v>
                </c:pt>
                <c:pt idx="107">
                  <c:v>115.2</c:v>
                </c:pt>
                <c:pt idx="108">
                  <c:v>115.1</c:v>
                </c:pt>
                <c:pt idx="109">
                  <c:v>115.9</c:v>
                </c:pt>
                <c:pt idx="110">
                  <c:v>116.9</c:v>
                </c:pt>
                <c:pt idx="111">
                  <c:v>112.8</c:v>
                </c:pt>
                <c:pt idx="112">
                  <c:v>119.5</c:v>
                </c:pt>
                <c:pt idx="113">
                  <c:v>119.3</c:v>
                </c:pt>
                <c:pt idx="114">
                  <c:v>117.7</c:v>
                </c:pt>
                <c:pt idx="115">
                  <c:v>117.7</c:v>
                </c:pt>
                <c:pt idx="116">
                  <c:v>116.9</c:v>
                </c:pt>
                <c:pt idx="117">
                  <c:v>116</c:v>
                </c:pt>
                <c:pt idx="118">
                  <c:v>114.2</c:v>
                </c:pt>
                <c:pt idx="119">
                  <c:v>114.5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7-4189-9C96-01D430F4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483648"/>
        <c:axId val="425481344"/>
      </c:lineChart>
      <c:dateAx>
        <c:axId val="4254746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477632"/>
        <c:crossesAt val="50"/>
        <c:auto val="1"/>
        <c:lblOffset val="100"/>
        <c:baseTimeUnit val="months"/>
        <c:majorUnit val="3"/>
        <c:majorTimeUnit val="months"/>
      </c:dateAx>
      <c:valAx>
        <c:axId val="425477632"/>
        <c:scaling>
          <c:orientation val="minMax"/>
          <c:max val="70"/>
          <c:min val="30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474688"/>
        <c:crosses val="autoZero"/>
        <c:crossBetween val="between"/>
        <c:majorUnit val="4"/>
      </c:valAx>
      <c:valAx>
        <c:axId val="425481344"/>
        <c:scaling>
          <c:orientation val="minMax"/>
          <c:max val="140"/>
          <c:min val="6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425483648"/>
        <c:crosses val="max"/>
        <c:crossBetween val="between"/>
      </c:valAx>
      <c:catAx>
        <c:axId val="425483648"/>
        <c:scaling>
          <c:orientation val="minMax"/>
        </c:scaling>
        <c:delete val="1"/>
        <c:axPos val="b"/>
        <c:majorTickMark val="out"/>
        <c:minorTickMark val="none"/>
        <c:tickLblPos val="nextTo"/>
        <c:crossAx val="425481344"/>
        <c:crossesAt val="100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56E-2"/>
          <c:y val="0.76045636133995975"/>
          <c:w val="0.10547960186483539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UK Manufacturing PMI vs.</a:t>
            </a:r>
            <a:r>
              <a:rPr lang="en-US" baseline="0"/>
              <a:t> </a:t>
            </a:r>
            <a:r>
              <a:rPr lang="en-US"/>
              <a:t>GDP Growth q/q</a:t>
            </a:r>
            <a:r>
              <a:rPr lang="en-US" baseline="0"/>
              <a:t> 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UK!$B$1</c:f>
              <c:strCache>
                <c:ptCount val="1"/>
                <c:pt idx="0">
                  <c:v>UK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UK!$A$2:$A$200</c:f>
              <c:numCache>
                <c:formatCode>[$-409]mmm\-yy;@</c:formatCode>
                <c:ptCount val="199"/>
                <c:pt idx="0">
                  <c:v>38322</c:v>
                </c:pt>
                <c:pt idx="1">
                  <c:v>38353</c:v>
                </c:pt>
                <c:pt idx="2">
                  <c:v>38384</c:v>
                </c:pt>
                <c:pt idx="3">
                  <c:v>38412</c:v>
                </c:pt>
                <c:pt idx="4">
                  <c:v>38443</c:v>
                </c:pt>
                <c:pt idx="5">
                  <c:v>38473</c:v>
                </c:pt>
                <c:pt idx="6">
                  <c:v>38504</c:v>
                </c:pt>
                <c:pt idx="7">
                  <c:v>38534</c:v>
                </c:pt>
                <c:pt idx="8">
                  <c:v>38565</c:v>
                </c:pt>
                <c:pt idx="9">
                  <c:v>38596</c:v>
                </c:pt>
                <c:pt idx="10">
                  <c:v>38626</c:v>
                </c:pt>
                <c:pt idx="11">
                  <c:v>38657</c:v>
                </c:pt>
                <c:pt idx="12">
                  <c:v>38687</c:v>
                </c:pt>
                <c:pt idx="13">
                  <c:v>38718</c:v>
                </c:pt>
                <c:pt idx="14">
                  <c:v>38749</c:v>
                </c:pt>
                <c:pt idx="15">
                  <c:v>38777</c:v>
                </c:pt>
                <c:pt idx="16">
                  <c:v>38808</c:v>
                </c:pt>
                <c:pt idx="17" formatCode="mmm\-yy">
                  <c:v>38838</c:v>
                </c:pt>
                <c:pt idx="18" formatCode="mmm\-yy">
                  <c:v>38869</c:v>
                </c:pt>
                <c:pt idx="19" formatCode="mmm\-yy">
                  <c:v>38899</c:v>
                </c:pt>
                <c:pt idx="20" formatCode="mmm\-yy">
                  <c:v>38930</c:v>
                </c:pt>
                <c:pt idx="21" formatCode="mmm\-yy">
                  <c:v>38961</c:v>
                </c:pt>
                <c:pt idx="22" formatCode="mmm\-yy">
                  <c:v>38991</c:v>
                </c:pt>
                <c:pt idx="23" formatCode="mmm\-yy">
                  <c:v>39022</c:v>
                </c:pt>
                <c:pt idx="24" formatCode="mmm\-yy">
                  <c:v>39052</c:v>
                </c:pt>
                <c:pt idx="25" formatCode="mmm\-yy">
                  <c:v>39083</c:v>
                </c:pt>
                <c:pt idx="26" formatCode="mmm\-yy">
                  <c:v>39114</c:v>
                </c:pt>
                <c:pt idx="27" formatCode="mmm\-yy">
                  <c:v>39142</c:v>
                </c:pt>
                <c:pt idx="28" formatCode="mmm\-yy">
                  <c:v>39173</c:v>
                </c:pt>
                <c:pt idx="29" formatCode="mmm\-yy">
                  <c:v>39203</c:v>
                </c:pt>
                <c:pt idx="30" formatCode="mmm\-yy">
                  <c:v>39234</c:v>
                </c:pt>
                <c:pt idx="31" formatCode="mmm\-yy">
                  <c:v>39264</c:v>
                </c:pt>
                <c:pt idx="32" formatCode="mmm\-yy">
                  <c:v>39295</c:v>
                </c:pt>
                <c:pt idx="33" formatCode="mmm\-yy">
                  <c:v>39326</c:v>
                </c:pt>
                <c:pt idx="34" formatCode="mmm\-yy">
                  <c:v>39356</c:v>
                </c:pt>
                <c:pt idx="35" formatCode="mmm\-yy">
                  <c:v>39387</c:v>
                </c:pt>
                <c:pt idx="36" formatCode="mmm\-yy">
                  <c:v>39417</c:v>
                </c:pt>
                <c:pt idx="37" formatCode="mmm\-yy">
                  <c:v>39448</c:v>
                </c:pt>
                <c:pt idx="38" formatCode="mmm\-yy">
                  <c:v>39479</c:v>
                </c:pt>
                <c:pt idx="39" formatCode="mmm\-yy">
                  <c:v>39508</c:v>
                </c:pt>
                <c:pt idx="40" formatCode="mmm\-yy">
                  <c:v>39539</c:v>
                </c:pt>
                <c:pt idx="41" formatCode="mmm\-yy">
                  <c:v>39569</c:v>
                </c:pt>
                <c:pt idx="42" formatCode="mmm\-yy">
                  <c:v>39600</c:v>
                </c:pt>
                <c:pt idx="43" formatCode="mmm\-yy">
                  <c:v>39630</c:v>
                </c:pt>
                <c:pt idx="44" formatCode="mmm\-yy">
                  <c:v>39661</c:v>
                </c:pt>
                <c:pt idx="45" formatCode="mmm\-yy">
                  <c:v>39692</c:v>
                </c:pt>
                <c:pt idx="46" formatCode="mmm\-yy">
                  <c:v>39722</c:v>
                </c:pt>
                <c:pt idx="47" formatCode="mmm\-yy">
                  <c:v>39753</c:v>
                </c:pt>
                <c:pt idx="48" formatCode="mmm\-yy">
                  <c:v>39783</c:v>
                </c:pt>
                <c:pt idx="49" formatCode="mmm\-yy">
                  <c:v>39814</c:v>
                </c:pt>
                <c:pt idx="50" formatCode="mmm\-yy">
                  <c:v>39845</c:v>
                </c:pt>
                <c:pt idx="51" formatCode="mmm\-yy">
                  <c:v>39873</c:v>
                </c:pt>
                <c:pt idx="52" formatCode="mmm\-yy">
                  <c:v>39904</c:v>
                </c:pt>
                <c:pt idx="53" formatCode="mmm\-yy">
                  <c:v>39934</c:v>
                </c:pt>
                <c:pt idx="54" formatCode="mmm\-yy">
                  <c:v>39965</c:v>
                </c:pt>
                <c:pt idx="55" formatCode="mmm\-yy">
                  <c:v>39995</c:v>
                </c:pt>
                <c:pt idx="56" formatCode="mmm\-yy">
                  <c:v>40026</c:v>
                </c:pt>
                <c:pt idx="57" formatCode="mmm\-yy">
                  <c:v>40057</c:v>
                </c:pt>
                <c:pt idx="58" formatCode="mmm\-yy">
                  <c:v>40087</c:v>
                </c:pt>
                <c:pt idx="59" formatCode="mmm\-yy">
                  <c:v>40118</c:v>
                </c:pt>
                <c:pt idx="60" formatCode="mmm\-yy">
                  <c:v>40148</c:v>
                </c:pt>
                <c:pt idx="61" formatCode="mmm\-yy">
                  <c:v>40179</c:v>
                </c:pt>
                <c:pt idx="62" formatCode="mmm\-yy">
                  <c:v>40210</c:v>
                </c:pt>
                <c:pt idx="63" formatCode="mmm\-yy">
                  <c:v>40238</c:v>
                </c:pt>
                <c:pt idx="64" formatCode="mmm\-yy">
                  <c:v>40269</c:v>
                </c:pt>
                <c:pt idx="65" formatCode="mmm\-yy">
                  <c:v>40299</c:v>
                </c:pt>
                <c:pt idx="66" formatCode="mmm\-yy">
                  <c:v>40330</c:v>
                </c:pt>
                <c:pt idx="67" formatCode="mmm\-yy">
                  <c:v>40360</c:v>
                </c:pt>
                <c:pt idx="68" formatCode="mmm\-yy">
                  <c:v>40391</c:v>
                </c:pt>
                <c:pt idx="69" formatCode="mmm\-yy">
                  <c:v>40422</c:v>
                </c:pt>
                <c:pt idx="70" formatCode="mmm\-yy">
                  <c:v>40452</c:v>
                </c:pt>
                <c:pt idx="71" formatCode="mmm\-yy">
                  <c:v>40483</c:v>
                </c:pt>
                <c:pt idx="72" formatCode="mmm\-yy">
                  <c:v>40513</c:v>
                </c:pt>
                <c:pt idx="73" formatCode="mmm\-yy">
                  <c:v>40544</c:v>
                </c:pt>
                <c:pt idx="74" formatCode="mmm\-yy">
                  <c:v>40575</c:v>
                </c:pt>
                <c:pt idx="75" formatCode="mmm\-yy">
                  <c:v>40603</c:v>
                </c:pt>
                <c:pt idx="76" formatCode="mmm\-yy">
                  <c:v>40634</c:v>
                </c:pt>
                <c:pt idx="77" formatCode="mmm\-yy">
                  <c:v>40664</c:v>
                </c:pt>
                <c:pt idx="78" formatCode="mmm\-yy">
                  <c:v>40695</c:v>
                </c:pt>
                <c:pt idx="79" formatCode="mmm\-yy">
                  <c:v>40725</c:v>
                </c:pt>
                <c:pt idx="80" formatCode="mmm\-yy">
                  <c:v>40756</c:v>
                </c:pt>
                <c:pt idx="81" formatCode="mmm\-yy">
                  <c:v>40787</c:v>
                </c:pt>
                <c:pt idx="82" formatCode="mmm\-yy">
                  <c:v>40817</c:v>
                </c:pt>
                <c:pt idx="83" formatCode="mmm\-yy">
                  <c:v>40848</c:v>
                </c:pt>
                <c:pt idx="84" formatCode="mmm\-yy">
                  <c:v>40878</c:v>
                </c:pt>
                <c:pt idx="85" formatCode="mmm\-yy">
                  <c:v>40909</c:v>
                </c:pt>
                <c:pt idx="86" formatCode="mmm\-yy">
                  <c:v>40940</c:v>
                </c:pt>
                <c:pt idx="87" formatCode="mmm\-yy">
                  <c:v>40969</c:v>
                </c:pt>
                <c:pt idx="88" formatCode="mmm\-yy">
                  <c:v>41000</c:v>
                </c:pt>
                <c:pt idx="89" formatCode="mmm\-yy">
                  <c:v>41030</c:v>
                </c:pt>
                <c:pt idx="90" formatCode="mmm\-yy">
                  <c:v>41061</c:v>
                </c:pt>
                <c:pt idx="91" formatCode="mmm\-yy">
                  <c:v>41091</c:v>
                </c:pt>
                <c:pt idx="92" formatCode="mmm\-yy">
                  <c:v>41122</c:v>
                </c:pt>
                <c:pt idx="93" formatCode="mmm\-yy">
                  <c:v>41153</c:v>
                </c:pt>
                <c:pt idx="94" formatCode="mmm\-yy">
                  <c:v>41183</c:v>
                </c:pt>
                <c:pt idx="95" formatCode="mmm\-yy">
                  <c:v>41214</c:v>
                </c:pt>
                <c:pt idx="96" formatCode="mmm\-yy">
                  <c:v>41244</c:v>
                </c:pt>
                <c:pt idx="97" formatCode="mmm\-yy">
                  <c:v>41275</c:v>
                </c:pt>
                <c:pt idx="98" formatCode="mmm\-yy">
                  <c:v>41306</c:v>
                </c:pt>
                <c:pt idx="99" formatCode="mmm\-yy">
                  <c:v>41334</c:v>
                </c:pt>
                <c:pt idx="100" formatCode="mmm\-yy">
                  <c:v>41365</c:v>
                </c:pt>
                <c:pt idx="101" formatCode="mmm\-yy">
                  <c:v>41395</c:v>
                </c:pt>
                <c:pt idx="102" formatCode="mmm\-yy">
                  <c:v>41426</c:v>
                </c:pt>
                <c:pt idx="103" formatCode="mmm\-yy">
                  <c:v>41456</c:v>
                </c:pt>
                <c:pt idx="104" formatCode="mmm\-yy">
                  <c:v>41487</c:v>
                </c:pt>
                <c:pt idx="105" formatCode="mmm\-yy">
                  <c:v>41518</c:v>
                </c:pt>
                <c:pt idx="106" formatCode="mmm\-yy">
                  <c:v>41548</c:v>
                </c:pt>
                <c:pt idx="107" formatCode="mmm\-yy">
                  <c:v>41579</c:v>
                </c:pt>
                <c:pt idx="108" formatCode="mmm\-yy">
                  <c:v>41609</c:v>
                </c:pt>
                <c:pt idx="109" formatCode="mmm\-yy">
                  <c:v>41640</c:v>
                </c:pt>
                <c:pt idx="110" formatCode="mmm\-yy">
                  <c:v>41671</c:v>
                </c:pt>
                <c:pt idx="111" formatCode="mmm\-yy">
                  <c:v>41699</c:v>
                </c:pt>
                <c:pt idx="112" formatCode="mmm\-yy">
                  <c:v>41730</c:v>
                </c:pt>
                <c:pt idx="113" formatCode="mmm\-yy">
                  <c:v>41760</c:v>
                </c:pt>
                <c:pt idx="114" formatCode="mmm\-yy">
                  <c:v>41791</c:v>
                </c:pt>
                <c:pt idx="115" formatCode="mmm\-yy">
                  <c:v>41821</c:v>
                </c:pt>
                <c:pt idx="116" formatCode="mmm\-yy">
                  <c:v>41852</c:v>
                </c:pt>
                <c:pt idx="117" formatCode="mmm\-yy">
                  <c:v>41883</c:v>
                </c:pt>
                <c:pt idx="118" formatCode="mmm\-yy">
                  <c:v>41913</c:v>
                </c:pt>
                <c:pt idx="119" formatCode="mmm\-yy">
                  <c:v>41944</c:v>
                </c:pt>
                <c:pt idx="120" formatCode="mmm\-yy">
                  <c:v>41974</c:v>
                </c:pt>
                <c:pt idx="121" formatCode="mmm\-yy">
                  <c:v>42005</c:v>
                </c:pt>
                <c:pt idx="122" formatCode="mmm\-yy">
                  <c:v>42036</c:v>
                </c:pt>
                <c:pt idx="123" formatCode="mmm\-yy">
                  <c:v>42064</c:v>
                </c:pt>
                <c:pt idx="124" formatCode="mmm\-yy">
                  <c:v>42095</c:v>
                </c:pt>
                <c:pt idx="125" formatCode="mmm\-yy">
                  <c:v>42125</c:v>
                </c:pt>
                <c:pt idx="126" formatCode="mmm\-yy">
                  <c:v>42156</c:v>
                </c:pt>
                <c:pt idx="127" formatCode="mmm\-yy">
                  <c:v>42186</c:v>
                </c:pt>
                <c:pt idx="128" formatCode="mmm\-yy">
                  <c:v>42217</c:v>
                </c:pt>
                <c:pt idx="129" formatCode="mmm\-yy">
                  <c:v>42248</c:v>
                </c:pt>
                <c:pt idx="130" formatCode="mmm\-yy">
                  <c:v>42278</c:v>
                </c:pt>
                <c:pt idx="131" formatCode="mmm\-yy">
                  <c:v>42309</c:v>
                </c:pt>
                <c:pt idx="132" formatCode="mmm\-yy">
                  <c:v>42339</c:v>
                </c:pt>
                <c:pt idx="133" formatCode="mmm\-yy">
                  <c:v>42370</c:v>
                </c:pt>
                <c:pt idx="134" formatCode="mmm\-yy">
                  <c:v>42401</c:v>
                </c:pt>
                <c:pt idx="135" formatCode="mmm\-yy">
                  <c:v>42430</c:v>
                </c:pt>
                <c:pt idx="136" formatCode="mmm\-yy">
                  <c:v>42461</c:v>
                </c:pt>
                <c:pt idx="137" formatCode="mmm\-yy">
                  <c:v>42491</c:v>
                </c:pt>
                <c:pt idx="138" formatCode="mmm\-yy">
                  <c:v>42522</c:v>
                </c:pt>
                <c:pt idx="139" formatCode="mmm\-yy">
                  <c:v>42552</c:v>
                </c:pt>
                <c:pt idx="140" formatCode="mmm\-yy">
                  <c:v>42583</c:v>
                </c:pt>
                <c:pt idx="141" formatCode="mmm\-yy">
                  <c:v>42614</c:v>
                </c:pt>
                <c:pt idx="142" formatCode="mmm\-yy">
                  <c:v>42644</c:v>
                </c:pt>
                <c:pt idx="143" formatCode="mmm\-yy">
                  <c:v>42675</c:v>
                </c:pt>
                <c:pt idx="144" formatCode="mmm\-yy">
                  <c:v>42705</c:v>
                </c:pt>
                <c:pt idx="145" formatCode="mmm\-yy">
                  <c:v>42736</c:v>
                </c:pt>
                <c:pt idx="146" formatCode="mmm\-yy">
                  <c:v>42767</c:v>
                </c:pt>
                <c:pt idx="147" formatCode="mmm\-yy">
                  <c:v>42795</c:v>
                </c:pt>
                <c:pt idx="148" formatCode="mmm\-yy">
                  <c:v>42826</c:v>
                </c:pt>
                <c:pt idx="149" formatCode="mmm\-yy">
                  <c:v>42856</c:v>
                </c:pt>
                <c:pt idx="150" formatCode="mmm\-yy">
                  <c:v>42887</c:v>
                </c:pt>
                <c:pt idx="151" formatCode="mmm\-yy">
                  <c:v>42917</c:v>
                </c:pt>
                <c:pt idx="152" formatCode="mmm\-yy">
                  <c:v>42948</c:v>
                </c:pt>
                <c:pt idx="153" formatCode="yyyy/mm/dd">
                  <c:v>46143</c:v>
                </c:pt>
                <c:pt idx="154" formatCode="yyyy/mm/dd">
                  <c:v>46174</c:v>
                </c:pt>
              </c:numCache>
            </c:numRef>
          </c:cat>
          <c:val>
            <c:numRef>
              <c:f>UK!$B$2:$B$200</c:f>
              <c:numCache>
                <c:formatCode>0.0</c:formatCode>
                <c:ptCount val="199"/>
                <c:pt idx="0">
                  <c:v>53.7</c:v>
                </c:pt>
                <c:pt idx="1">
                  <c:v>51.8</c:v>
                </c:pt>
                <c:pt idx="2">
                  <c:v>51.8</c:v>
                </c:pt>
                <c:pt idx="3">
                  <c:v>52</c:v>
                </c:pt>
                <c:pt idx="4">
                  <c:v>49.5</c:v>
                </c:pt>
                <c:pt idx="5">
                  <c:v>47.3</c:v>
                </c:pt>
                <c:pt idx="6">
                  <c:v>49.6</c:v>
                </c:pt>
                <c:pt idx="7">
                  <c:v>49.2</c:v>
                </c:pt>
                <c:pt idx="8">
                  <c:v>50.1</c:v>
                </c:pt>
                <c:pt idx="9">
                  <c:v>51.5</c:v>
                </c:pt>
                <c:pt idx="10">
                  <c:v>51.7</c:v>
                </c:pt>
                <c:pt idx="11">
                  <c:v>51</c:v>
                </c:pt>
                <c:pt idx="12">
                  <c:v>51.1</c:v>
                </c:pt>
                <c:pt idx="13">
                  <c:v>51.7</c:v>
                </c:pt>
                <c:pt idx="14">
                  <c:v>51.7</c:v>
                </c:pt>
                <c:pt idx="15">
                  <c:v>50.8</c:v>
                </c:pt>
                <c:pt idx="16">
                  <c:v>54.1</c:v>
                </c:pt>
                <c:pt idx="17">
                  <c:v>53.2</c:v>
                </c:pt>
                <c:pt idx="18">
                  <c:v>55.1</c:v>
                </c:pt>
                <c:pt idx="19">
                  <c:v>53.8</c:v>
                </c:pt>
                <c:pt idx="20">
                  <c:v>53.1</c:v>
                </c:pt>
                <c:pt idx="21">
                  <c:v>54.4</c:v>
                </c:pt>
                <c:pt idx="22">
                  <c:v>53.7</c:v>
                </c:pt>
                <c:pt idx="23">
                  <c:v>53.6</c:v>
                </c:pt>
                <c:pt idx="24">
                  <c:v>51.9</c:v>
                </c:pt>
                <c:pt idx="25">
                  <c:v>52.8</c:v>
                </c:pt>
                <c:pt idx="26">
                  <c:v>55.4</c:v>
                </c:pt>
                <c:pt idx="27">
                  <c:v>54.4</c:v>
                </c:pt>
                <c:pt idx="28">
                  <c:v>53.9</c:v>
                </c:pt>
                <c:pt idx="29">
                  <c:v>54.9</c:v>
                </c:pt>
                <c:pt idx="30">
                  <c:v>54.3</c:v>
                </c:pt>
                <c:pt idx="31">
                  <c:v>55.7</c:v>
                </c:pt>
                <c:pt idx="32">
                  <c:v>56.3</c:v>
                </c:pt>
                <c:pt idx="33">
                  <c:v>55.1</c:v>
                </c:pt>
                <c:pt idx="34">
                  <c:v>52.9</c:v>
                </c:pt>
                <c:pt idx="35">
                  <c:v>54.4</c:v>
                </c:pt>
                <c:pt idx="36">
                  <c:v>52.9</c:v>
                </c:pt>
                <c:pt idx="37">
                  <c:v>50.6</c:v>
                </c:pt>
                <c:pt idx="38">
                  <c:v>51.3</c:v>
                </c:pt>
                <c:pt idx="39">
                  <c:v>51.3</c:v>
                </c:pt>
                <c:pt idx="40">
                  <c:v>51</c:v>
                </c:pt>
                <c:pt idx="41">
                  <c:v>50</c:v>
                </c:pt>
                <c:pt idx="42">
                  <c:v>45.8</c:v>
                </c:pt>
                <c:pt idx="43">
                  <c:v>44.3</c:v>
                </c:pt>
                <c:pt idx="44">
                  <c:v>45.9</c:v>
                </c:pt>
                <c:pt idx="45">
                  <c:v>41</c:v>
                </c:pt>
                <c:pt idx="46">
                  <c:v>41.5</c:v>
                </c:pt>
                <c:pt idx="47">
                  <c:v>34.4</c:v>
                </c:pt>
                <c:pt idx="48">
                  <c:v>34.9</c:v>
                </c:pt>
                <c:pt idx="49">
                  <c:v>35.799999999999997</c:v>
                </c:pt>
                <c:pt idx="50">
                  <c:v>34.700000000000003</c:v>
                </c:pt>
                <c:pt idx="51">
                  <c:v>39.1</c:v>
                </c:pt>
                <c:pt idx="52">
                  <c:v>42.9</c:v>
                </c:pt>
                <c:pt idx="53">
                  <c:v>45.4</c:v>
                </c:pt>
                <c:pt idx="54">
                  <c:v>47</c:v>
                </c:pt>
                <c:pt idx="55">
                  <c:v>50.8</c:v>
                </c:pt>
                <c:pt idx="56">
                  <c:v>49.7</c:v>
                </c:pt>
                <c:pt idx="57">
                  <c:v>49.5</c:v>
                </c:pt>
                <c:pt idx="58">
                  <c:v>53.7</c:v>
                </c:pt>
                <c:pt idx="59">
                  <c:v>51.8</c:v>
                </c:pt>
                <c:pt idx="60">
                  <c:v>54.1</c:v>
                </c:pt>
                <c:pt idx="61">
                  <c:v>56.7</c:v>
                </c:pt>
                <c:pt idx="62">
                  <c:v>56.6</c:v>
                </c:pt>
                <c:pt idx="63">
                  <c:v>57.2</c:v>
                </c:pt>
                <c:pt idx="64">
                  <c:v>58</c:v>
                </c:pt>
                <c:pt idx="65">
                  <c:v>58</c:v>
                </c:pt>
                <c:pt idx="66">
                  <c:v>57.5</c:v>
                </c:pt>
                <c:pt idx="67">
                  <c:v>57.3</c:v>
                </c:pt>
                <c:pt idx="68">
                  <c:v>54.3</c:v>
                </c:pt>
                <c:pt idx="69">
                  <c:v>53.4</c:v>
                </c:pt>
                <c:pt idx="70">
                  <c:v>54.9</c:v>
                </c:pt>
                <c:pt idx="71">
                  <c:v>58</c:v>
                </c:pt>
                <c:pt idx="72">
                  <c:v>58.3</c:v>
                </c:pt>
                <c:pt idx="73">
                  <c:v>62</c:v>
                </c:pt>
                <c:pt idx="74">
                  <c:v>64.5</c:v>
                </c:pt>
                <c:pt idx="75">
                  <c:v>57.1</c:v>
                </c:pt>
                <c:pt idx="76">
                  <c:v>54.6</c:v>
                </c:pt>
                <c:pt idx="77">
                  <c:v>52.1</c:v>
                </c:pt>
                <c:pt idx="78">
                  <c:v>51.3</c:v>
                </c:pt>
                <c:pt idx="79">
                  <c:v>49.1</c:v>
                </c:pt>
                <c:pt idx="80">
                  <c:v>49</c:v>
                </c:pt>
                <c:pt idx="81">
                  <c:v>51.1</c:v>
                </c:pt>
                <c:pt idx="82">
                  <c:v>47.4</c:v>
                </c:pt>
                <c:pt idx="83">
                  <c:v>47.6</c:v>
                </c:pt>
                <c:pt idx="84">
                  <c:v>49.6</c:v>
                </c:pt>
                <c:pt idx="85">
                  <c:v>50.8</c:v>
                </c:pt>
                <c:pt idx="86">
                  <c:v>51.1</c:v>
                </c:pt>
                <c:pt idx="87">
                  <c:v>52</c:v>
                </c:pt>
                <c:pt idx="88">
                  <c:v>50.2</c:v>
                </c:pt>
                <c:pt idx="89">
                  <c:v>46.8</c:v>
                </c:pt>
                <c:pt idx="90">
                  <c:v>48.8</c:v>
                </c:pt>
                <c:pt idx="91">
                  <c:v>45.5</c:v>
                </c:pt>
                <c:pt idx="92">
                  <c:v>49.1</c:v>
                </c:pt>
                <c:pt idx="93">
                  <c:v>48.2</c:v>
                </c:pt>
                <c:pt idx="94">
                  <c:v>48</c:v>
                </c:pt>
                <c:pt idx="95">
                  <c:v>48.4</c:v>
                </c:pt>
                <c:pt idx="96">
                  <c:v>50.7</c:v>
                </c:pt>
                <c:pt idx="97">
                  <c:v>50.9</c:v>
                </c:pt>
                <c:pt idx="98">
                  <c:v>48.2</c:v>
                </c:pt>
                <c:pt idx="99">
                  <c:v>49.3</c:v>
                </c:pt>
                <c:pt idx="100">
                  <c:v>50.6</c:v>
                </c:pt>
                <c:pt idx="101">
                  <c:v>52.1</c:v>
                </c:pt>
                <c:pt idx="102">
                  <c:v>53</c:v>
                </c:pt>
                <c:pt idx="103">
                  <c:v>54.7</c:v>
                </c:pt>
                <c:pt idx="104">
                  <c:v>57.3</c:v>
                </c:pt>
                <c:pt idx="105">
                  <c:v>56.7</c:v>
                </c:pt>
                <c:pt idx="106">
                  <c:v>56.5</c:v>
                </c:pt>
                <c:pt idx="107">
                  <c:v>58.1</c:v>
                </c:pt>
                <c:pt idx="108">
                  <c:v>57.3</c:v>
                </c:pt>
                <c:pt idx="109">
                  <c:v>56.7</c:v>
                </c:pt>
                <c:pt idx="110">
                  <c:v>56.9</c:v>
                </c:pt>
                <c:pt idx="111">
                  <c:v>55.3</c:v>
                </c:pt>
                <c:pt idx="112">
                  <c:v>57.3</c:v>
                </c:pt>
                <c:pt idx="113">
                  <c:v>57</c:v>
                </c:pt>
                <c:pt idx="114">
                  <c:v>57.5</c:v>
                </c:pt>
                <c:pt idx="115">
                  <c:v>55.4</c:v>
                </c:pt>
                <c:pt idx="116">
                  <c:v>52.5</c:v>
                </c:pt>
                <c:pt idx="117">
                  <c:v>51.6</c:v>
                </c:pt>
                <c:pt idx="118">
                  <c:v>53.2</c:v>
                </c:pt>
                <c:pt idx="119">
                  <c:v>53.5</c:v>
                </c:pt>
                <c:pt idx="153">
                  <c:v>53.9</c:v>
                </c:pt>
                <c:pt idx="154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B-4433-AF39-9EEDBE5B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1152"/>
        <c:axId val="425523456"/>
      </c:areaChart>
      <c:barChart>
        <c:barDir val="col"/>
        <c:grouping val="clustered"/>
        <c:varyColors val="0"/>
        <c:ser>
          <c:idx val="2"/>
          <c:order val="2"/>
          <c:tx>
            <c:strRef>
              <c:f>UK!$D$1</c:f>
              <c:strCache>
                <c:ptCount val="1"/>
                <c:pt idx="0">
                  <c:v>UK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34925"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UK!$D$2:$D$200</c:f>
              <c:numCache>
                <c:formatCode>General</c:formatCode>
                <c:ptCount val="199"/>
                <c:pt idx="0" formatCode="0.0%">
                  <c:v>6.9999999999999993E-3</c:v>
                </c:pt>
                <c:pt idx="3" formatCode="0.0%">
                  <c:v>8.0000000000000002E-3</c:v>
                </c:pt>
                <c:pt idx="6" formatCode="0.0%">
                  <c:v>1.3000000000000001E-2</c:v>
                </c:pt>
                <c:pt idx="9" formatCode="0.0%">
                  <c:v>0.01</c:v>
                </c:pt>
                <c:pt idx="12" formatCode="0.0%">
                  <c:v>1.3000000000000001E-2</c:v>
                </c:pt>
                <c:pt idx="15" formatCode="0.0%">
                  <c:v>4.0000000000000001E-3</c:v>
                </c:pt>
                <c:pt idx="18" formatCode="0.0%">
                  <c:v>3.0000000000000001E-3</c:v>
                </c:pt>
                <c:pt idx="21" formatCode="0.0%">
                  <c:v>2E-3</c:v>
                </c:pt>
                <c:pt idx="24" formatCode="0.0%">
                  <c:v>8.0000000000000002E-3</c:v>
                </c:pt>
                <c:pt idx="27" formatCode="0.0%">
                  <c:v>0.01</c:v>
                </c:pt>
                <c:pt idx="30" formatCode="0.0%">
                  <c:v>1.3000000000000001E-2</c:v>
                </c:pt>
                <c:pt idx="33" formatCode="0.0%">
                  <c:v>1.2E-2</c:v>
                </c:pt>
                <c:pt idx="36" formatCode="0.0%">
                  <c:v>1E-3</c:v>
                </c:pt>
                <c:pt idx="39" formatCode="0.0%">
                  <c:v>1E-3</c:v>
                </c:pt>
                <c:pt idx="42" formatCode="0.0%">
                  <c:v>-9.0000000000000011E-3</c:v>
                </c:pt>
                <c:pt idx="45" formatCode="0.0%">
                  <c:v>-1.3999999999999999E-2</c:v>
                </c:pt>
                <c:pt idx="48" formatCode="0.0%">
                  <c:v>-2.1000000000000001E-2</c:v>
                </c:pt>
                <c:pt idx="51" formatCode="0.0%">
                  <c:v>-2.5000000000000001E-2</c:v>
                </c:pt>
                <c:pt idx="54" formatCode="0.0%">
                  <c:v>-4.0000000000000001E-3</c:v>
                </c:pt>
                <c:pt idx="57" formatCode="0.0%">
                  <c:v>0</c:v>
                </c:pt>
                <c:pt idx="60" formatCode="0.0%">
                  <c:v>4.0000000000000001E-3</c:v>
                </c:pt>
                <c:pt idx="63" formatCode="0.0%">
                  <c:v>5.0000000000000001E-3</c:v>
                </c:pt>
                <c:pt idx="66" formatCode="0.0%">
                  <c:v>0.01</c:v>
                </c:pt>
                <c:pt idx="69" formatCode="0.0%">
                  <c:v>4.0000000000000001E-3</c:v>
                </c:pt>
                <c:pt idx="72" formatCode="0.0%">
                  <c:v>-2E-3</c:v>
                </c:pt>
                <c:pt idx="75" formatCode="0.0%">
                  <c:v>5.0000000000000001E-3</c:v>
                </c:pt>
                <c:pt idx="78" formatCode="0.0%">
                  <c:v>1E-3</c:v>
                </c:pt>
                <c:pt idx="81" formatCode="0.0%">
                  <c:v>6.0000000000000001E-3</c:v>
                </c:pt>
                <c:pt idx="84" formatCode="0.0%">
                  <c:v>-1E-3</c:v>
                </c:pt>
                <c:pt idx="87" formatCode="0.0%">
                  <c:v>0</c:v>
                </c:pt>
                <c:pt idx="90" formatCode="0.0%">
                  <c:v>-4.0000000000000001E-3</c:v>
                </c:pt>
                <c:pt idx="93" formatCode="0.0%">
                  <c:v>8.0000000000000002E-3</c:v>
                </c:pt>
                <c:pt idx="96" formatCode="0.0%">
                  <c:v>-1E-3</c:v>
                </c:pt>
                <c:pt idx="99" formatCode="0.0%">
                  <c:v>5.0000000000000001E-3</c:v>
                </c:pt>
                <c:pt idx="102" formatCode="0.0%">
                  <c:v>8.0000000000000002E-3</c:v>
                </c:pt>
                <c:pt idx="105" formatCode="0.0%">
                  <c:v>8.0000000000000002E-3</c:v>
                </c:pt>
                <c:pt idx="108" formatCode="0.0%">
                  <c:v>6.9999999999999993E-3</c:v>
                </c:pt>
                <c:pt idx="111" formatCode="0.00%">
                  <c:v>8.0000000000000002E-3</c:v>
                </c:pt>
                <c:pt idx="114" formatCode="0.00%">
                  <c:v>8.0000000000000002E-3</c:v>
                </c:pt>
                <c:pt idx="117" formatCode="0.00%">
                  <c:v>6.9999999999999993E-3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B-4433-AF39-9EEDBE5B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25609472"/>
        <c:axId val="42560755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UK!$B$2:$B$200</c:f>
              <c:numCache>
                <c:formatCode>0.0</c:formatCode>
                <c:ptCount val="199"/>
                <c:pt idx="0">
                  <c:v>53.7</c:v>
                </c:pt>
                <c:pt idx="1">
                  <c:v>51.8</c:v>
                </c:pt>
                <c:pt idx="2">
                  <c:v>51.8</c:v>
                </c:pt>
                <c:pt idx="3">
                  <c:v>52</c:v>
                </c:pt>
                <c:pt idx="4">
                  <c:v>49.5</c:v>
                </c:pt>
                <c:pt idx="5">
                  <c:v>47.3</c:v>
                </c:pt>
                <c:pt idx="6">
                  <c:v>49.6</c:v>
                </c:pt>
                <c:pt idx="7">
                  <c:v>49.2</c:v>
                </c:pt>
                <c:pt idx="8">
                  <c:v>50.1</c:v>
                </c:pt>
                <c:pt idx="9">
                  <c:v>51.5</c:v>
                </c:pt>
                <c:pt idx="10">
                  <c:v>51.7</c:v>
                </c:pt>
                <c:pt idx="11">
                  <c:v>51</c:v>
                </c:pt>
                <c:pt idx="12">
                  <c:v>51.1</c:v>
                </c:pt>
                <c:pt idx="13">
                  <c:v>51.7</c:v>
                </c:pt>
                <c:pt idx="14">
                  <c:v>51.7</c:v>
                </c:pt>
                <c:pt idx="15">
                  <c:v>50.8</c:v>
                </c:pt>
                <c:pt idx="16">
                  <c:v>54.1</c:v>
                </c:pt>
                <c:pt idx="17">
                  <c:v>53.2</c:v>
                </c:pt>
                <c:pt idx="18">
                  <c:v>55.1</c:v>
                </c:pt>
                <c:pt idx="19">
                  <c:v>53.8</c:v>
                </c:pt>
                <c:pt idx="20">
                  <c:v>53.1</c:v>
                </c:pt>
                <c:pt idx="21">
                  <c:v>54.4</c:v>
                </c:pt>
                <c:pt idx="22">
                  <c:v>53.7</c:v>
                </c:pt>
                <c:pt idx="23">
                  <c:v>53.6</c:v>
                </c:pt>
                <c:pt idx="24">
                  <c:v>51.9</c:v>
                </c:pt>
                <c:pt idx="25">
                  <c:v>52.8</c:v>
                </c:pt>
                <c:pt idx="26">
                  <c:v>55.4</c:v>
                </c:pt>
                <c:pt idx="27">
                  <c:v>54.4</c:v>
                </c:pt>
                <c:pt idx="28">
                  <c:v>53.9</c:v>
                </c:pt>
                <c:pt idx="29">
                  <c:v>54.9</c:v>
                </c:pt>
                <c:pt idx="30">
                  <c:v>54.3</c:v>
                </c:pt>
                <c:pt idx="31">
                  <c:v>55.7</c:v>
                </c:pt>
                <c:pt idx="32">
                  <c:v>56.3</c:v>
                </c:pt>
                <c:pt idx="33">
                  <c:v>55.1</c:v>
                </c:pt>
                <c:pt idx="34">
                  <c:v>52.9</c:v>
                </c:pt>
                <c:pt idx="35">
                  <c:v>54.4</c:v>
                </c:pt>
                <c:pt idx="36">
                  <c:v>52.9</c:v>
                </c:pt>
                <c:pt idx="37">
                  <c:v>50.6</c:v>
                </c:pt>
                <c:pt idx="38">
                  <c:v>51.3</c:v>
                </c:pt>
                <c:pt idx="39">
                  <c:v>51.3</c:v>
                </c:pt>
                <c:pt idx="40">
                  <c:v>51</c:v>
                </c:pt>
                <c:pt idx="41">
                  <c:v>50</c:v>
                </c:pt>
                <c:pt idx="42">
                  <c:v>45.8</c:v>
                </c:pt>
                <c:pt idx="43">
                  <c:v>44.3</c:v>
                </c:pt>
                <c:pt idx="44">
                  <c:v>45.9</c:v>
                </c:pt>
                <c:pt idx="45">
                  <c:v>41</c:v>
                </c:pt>
                <c:pt idx="46">
                  <c:v>41.5</c:v>
                </c:pt>
                <c:pt idx="47">
                  <c:v>34.4</c:v>
                </c:pt>
                <c:pt idx="48">
                  <c:v>34.9</c:v>
                </c:pt>
                <c:pt idx="49">
                  <c:v>35.799999999999997</c:v>
                </c:pt>
                <c:pt idx="50">
                  <c:v>34.700000000000003</c:v>
                </c:pt>
                <c:pt idx="51">
                  <c:v>39.1</c:v>
                </c:pt>
                <c:pt idx="52">
                  <c:v>42.9</c:v>
                </c:pt>
                <c:pt idx="53">
                  <c:v>45.4</c:v>
                </c:pt>
                <c:pt idx="54">
                  <c:v>47</c:v>
                </c:pt>
                <c:pt idx="55">
                  <c:v>50.8</c:v>
                </c:pt>
                <c:pt idx="56">
                  <c:v>49.7</c:v>
                </c:pt>
                <c:pt idx="57">
                  <c:v>49.5</c:v>
                </c:pt>
                <c:pt idx="58">
                  <c:v>53.7</c:v>
                </c:pt>
                <c:pt idx="59">
                  <c:v>51.8</c:v>
                </c:pt>
                <c:pt idx="60">
                  <c:v>54.1</c:v>
                </c:pt>
                <c:pt idx="61">
                  <c:v>56.7</c:v>
                </c:pt>
                <c:pt idx="62">
                  <c:v>56.6</c:v>
                </c:pt>
                <c:pt idx="63">
                  <c:v>57.2</c:v>
                </c:pt>
                <c:pt idx="64">
                  <c:v>58</c:v>
                </c:pt>
                <c:pt idx="65">
                  <c:v>58</c:v>
                </c:pt>
                <c:pt idx="66">
                  <c:v>57.5</c:v>
                </c:pt>
                <c:pt idx="67">
                  <c:v>57.3</c:v>
                </c:pt>
                <c:pt idx="68">
                  <c:v>54.3</c:v>
                </c:pt>
                <c:pt idx="69">
                  <c:v>53.4</c:v>
                </c:pt>
                <c:pt idx="70">
                  <c:v>54.9</c:v>
                </c:pt>
                <c:pt idx="71">
                  <c:v>58</c:v>
                </c:pt>
                <c:pt idx="72">
                  <c:v>58.3</c:v>
                </c:pt>
                <c:pt idx="73">
                  <c:v>62</c:v>
                </c:pt>
                <c:pt idx="74">
                  <c:v>64.5</c:v>
                </c:pt>
                <c:pt idx="75">
                  <c:v>57.1</c:v>
                </c:pt>
                <c:pt idx="76">
                  <c:v>54.6</c:v>
                </c:pt>
                <c:pt idx="77">
                  <c:v>52.1</c:v>
                </c:pt>
                <c:pt idx="78">
                  <c:v>51.3</c:v>
                </c:pt>
                <c:pt idx="79">
                  <c:v>49.1</c:v>
                </c:pt>
                <c:pt idx="80">
                  <c:v>49</c:v>
                </c:pt>
                <c:pt idx="81">
                  <c:v>51.1</c:v>
                </c:pt>
                <c:pt idx="82">
                  <c:v>47.4</c:v>
                </c:pt>
                <c:pt idx="83">
                  <c:v>47.6</c:v>
                </c:pt>
                <c:pt idx="84">
                  <c:v>49.6</c:v>
                </c:pt>
                <c:pt idx="85">
                  <c:v>50.8</c:v>
                </c:pt>
                <c:pt idx="86">
                  <c:v>51.1</c:v>
                </c:pt>
                <c:pt idx="87">
                  <c:v>52</c:v>
                </c:pt>
                <c:pt idx="88">
                  <c:v>50.2</c:v>
                </c:pt>
                <c:pt idx="89">
                  <c:v>46.8</c:v>
                </c:pt>
                <c:pt idx="90">
                  <c:v>48.8</c:v>
                </c:pt>
                <c:pt idx="91">
                  <c:v>45.5</c:v>
                </c:pt>
                <c:pt idx="92">
                  <c:v>49.1</c:v>
                </c:pt>
                <c:pt idx="93">
                  <c:v>48.2</c:v>
                </c:pt>
                <c:pt idx="94">
                  <c:v>48</c:v>
                </c:pt>
                <c:pt idx="95">
                  <c:v>48.4</c:v>
                </c:pt>
                <c:pt idx="96">
                  <c:v>50.7</c:v>
                </c:pt>
                <c:pt idx="97">
                  <c:v>50.9</c:v>
                </c:pt>
                <c:pt idx="98">
                  <c:v>48.2</c:v>
                </c:pt>
                <c:pt idx="99">
                  <c:v>49.3</c:v>
                </c:pt>
                <c:pt idx="100">
                  <c:v>50.6</c:v>
                </c:pt>
                <c:pt idx="101">
                  <c:v>52.1</c:v>
                </c:pt>
                <c:pt idx="102">
                  <c:v>53</c:v>
                </c:pt>
                <c:pt idx="103">
                  <c:v>54.7</c:v>
                </c:pt>
                <c:pt idx="104">
                  <c:v>57.3</c:v>
                </c:pt>
                <c:pt idx="105">
                  <c:v>56.7</c:v>
                </c:pt>
                <c:pt idx="106">
                  <c:v>56.5</c:v>
                </c:pt>
                <c:pt idx="107">
                  <c:v>58.1</c:v>
                </c:pt>
                <c:pt idx="108">
                  <c:v>57.3</c:v>
                </c:pt>
                <c:pt idx="109">
                  <c:v>56.7</c:v>
                </c:pt>
                <c:pt idx="110">
                  <c:v>56.9</c:v>
                </c:pt>
                <c:pt idx="111">
                  <c:v>55.3</c:v>
                </c:pt>
                <c:pt idx="112">
                  <c:v>57.3</c:v>
                </c:pt>
                <c:pt idx="113">
                  <c:v>57</c:v>
                </c:pt>
                <c:pt idx="114">
                  <c:v>57.5</c:v>
                </c:pt>
                <c:pt idx="115">
                  <c:v>55.4</c:v>
                </c:pt>
                <c:pt idx="116">
                  <c:v>52.5</c:v>
                </c:pt>
                <c:pt idx="117">
                  <c:v>51.6</c:v>
                </c:pt>
                <c:pt idx="118">
                  <c:v>53.2</c:v>
                </c:pt>
                <c:pt idx="119">
                  <c:v>53.5</c:v>
                </c:pt>
                <c:pt idx="153">
                  <c:v>53.9</c:v>
                </c:pt>
                <c:pt idx="154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AB-4433-AF39-9EEDBE5B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521152"/>
        <c:axId val="425523456"/>
      </c:lineChart>
      <c:dateAx>
        <c:axId val="425521152"/>
        <c:scaling>
          <c:orientation val="minMax"/>
          <c:min val="39083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523456"/>
        <c:crossesAt val="50"/>
        <c:auto val="1"/>
        <c:lblOffset val="100"/>
        <c:baseTimeUnit val="months"/>
        <c:majorUnit val="1"/>
        <c:majorTimeUnit val="years"/>
      </c:dateAx>
      <c:valAx>
        <c:axId val="425523456"/>
        <c:scaling>
          <c:orientation val="minMax"/>
          <c:max val="68"/>
          <c:min val="3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521152"/>
        <c:crosses val="autoZero"/>
        <c:crossBetween val="between"/>
        <c:majorUnit val="6"/>
      </c:valAx>
      <c:valAx>
        <c:axId val="425607552"/>
        <c:scaling>
          <c:orientation val="minMax"/>
          <c:max val="3.0000000000000006E-2"/>
          <c:min val="-3.0000000000000006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425609472"/>
        <c:crosses val="max"/>
        <c:crossBetween val="between"/>
      </c:valAx>
      <c:catAx>
        <c:axId val="425609472"/>
        <c:scaling>
          <c:orientation val="minMax"/>
        </c:scaling>
        <c:delete val="1"/>
        <c:axPos val="b"/>
        <c:majorTickMark val="out"/>
        <c:minorTickMark val="none"/>
        <c:tickLblPos val="nextTo"/>
        <c:crossAx val="42560755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8555640112570356E-2"/>
          <c:y val="0.76045636133995975"/>
          <c:w val="0.1572939512697899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UK Manufacturing PMI</a:t>
            </a:r>
            <a:r>
              <a:rPr lang="en-US" baseline="0"/>
              <a:t> 2005-2014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UK!$B$1</c:f>
              <c:strCache>
                <c:ptCount val="1"/>
                <c:pt idx="0">
                  <c:v>UK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UK!$A$2:$A$200</c:f>
              <c:numCache>
                <c:formatCode>[$-409]mmm\-yy;@</c:formatCode>
                <c:ptCount val="199"/>
                <c:pt idx="0">
                  <c:v>38322</c:v>
                </c:pt>
                <c:pt idx="1">
                  <c:v>38353</c:v>
                </c:pt>
                <c:pt idx="2">
                  <c:v>38384</c:v>
                </c:pt>
                <c:pt idx="3">
                  <c:v>38412</c:v>
                </c:pt>
                <c:pt idx="4">
                  <c:v>38443</c:v>
                </c:pt>
                <c:pt idx="5">
                  <c:v>38473</c:v>
                </c:pt>
                <c:pt idx="6">
                  <c:v>38504</c:v>
                </c:pt>
                <c:pt idx="7">
                  <c:v>38534</c:v>
                </c:pt>
                <c:pt idx="8">
                  <c:v>38565</c:v>
                </c:pt>
                <c:pt idx="9">
                  <c:v>38596</c:v>
                </c:pt>
                <c:pt idx="10">
                  <c:v>38626</c:v>
                </c:pt>
                <c:pt idx="11">
                  <c:v>38657</c:v>
                </c:pt>
                <c:pt idx="12">
                  <c:v>38687</c:v>
                </c:pt>
                <c:pt idx="13">
                  <c:v>38718</c:v>
                </c:pt>
                <c:pt idx="14">
                  <c:v>38749</c:v>
                </c:pt>
                <c:pt idx="15">
                  <c:v>38777</c:v>
                </c:pt>
                <c:pt idx="16">
                  <c:v>38808</c:v>
                </c:pt>
                <c:pt idx="17" formatCode="mmm\-yy">
                  <c:v>38838</c:v>
                </c:pt>
                <c:pt idx="18" formatCode="mmm\-yy">
                  <c:v>38869</c:v>
                </c:pt>
                <c:pt idx="19" formatCode="mmm\-yy">
                  <c:v>38899</c:v>
                </c:pt>
                <c:pt idx="20" formatCode="mmm\-yy">
                  <c:v>38930</c:v>
                </c:pt>
                <c:pt idx="21" formatCode="mmm\-yy">
                  <c:v>38961</c:v>
                </c:pt>
                <c:pt idx="22" formatCode="mmm\-yy">
                  <c:v>38991</c:v>
                </c:pt>
                <c:pt idx="23" formatCode="mmm\-yy">
                  <c:v>39022</c:v>
                </c:pt>
                <c:pt idx="24" formatCode="mmm\-yy">
                  <c:v>39052</c:v>
                </c:pt>
                <c:pt idx="25" formatCode="mmm\-yy">
                  <c:v>39083</c:v>
                </c:pt>
                <c:pt idx="26" formatCode="mmm\-yy">
                  <c:v>39114</c:v>
                </c:pt>
                <c:pt idx="27" formatCode="mmm\-yy">
                  <c:v>39142</c:v>
                </c:pt>
                <c:pt idx="28" formatCode="mmm\-yy">
                  <c:v>39173</c:v>
                </c:pt>
                <c:pt idx="29" formatCode="mmm\-yy">
                  <c:v>39203</c:v>
                </c:pt>
                <c:pt idx="30" formatCode="mmm\-yy">
                  <c:v>39234</c:v>
                </c:pt>
                <c:pt idx="31" formatCode="mmm\-yy">
                  <c:v>39264</c:v>
                </c:pt>
                <c:pt idx="32" formatCode="mmm\-yy">
                  <c:v>39295</c:v>
                </c:pt>
                <c:pt idx="33" formatCode="mmm\-yy">
                  <c:v>39326</c:v>
                </c:pt>
                <c:pt idx="34" formatCode="mmm\-yy">
                  <c:v>39356</c:v>
                </c:pt>
                <c:pt idx="35" formatCode="mmm\-yy">
                  <c:v>39387</c:v>
                </c:pt>
                <c:pt idx="36" formatCode="mmm\-yy">
                  <c:v>39417</c:v>
                </c:pt>
                <c:pt idx="37" formatCode="mmm\-yy">
                  <c:v>39448</c:v>
                </c:pt>
                <c:pt idx="38" formatCode="mmm\-yy">
                  <c:v>39479</c:v>
                </c:pt>
                <c:pt idx="39" formatCode="mmm\-yy">
                  <c:v>39508</c:v>
                </c:pt>
                <c:pt idx="40" formatCode="mmm\-yy">
                  <c:v>39539</c:v>
                </c:pt>
                <c:pt idx="41" formatCode="mmm\-yy">
                  <c:v>39569</c:v>
                </c:pt>
                <c:pt idx="42" formatCode="mmm\-yy">
                  <c:v>39600</c:v>
                </c:pt>
                <c:pt idx="43" formatCode="mmm\-yy">
                  <c:v>39630</c:v>
                </c:pt>
                <c:pt idx="44" formatCode="mmm\-yy">
                  <c:v>39661</c:v>
                </c:pt>
                <c:pt idx="45" formatCode="mmm\-yy">
                  <c:v>39692</c:v>
                </c:pt>
                <c:pt idx="46" formatCode="mmm\-yy">
                  <c:v>39722</c:v>
                </c:pt>
                <c:pt idx="47" formatCode="mmm\-yy">
                  <c:v>39753</c:v>
                </c:pt>
                <c:pt idx="48" formatCode="mmm\-yy">
                  <c:v>39783</c:v>
                </c:pt>
                <c:pt idx="49" formatCode="mmm\-yy">
                  <c:v>39814</c:v>
                </c:pt>
                <c:pt idx="50" formatCode="mmm\-yy">
                  <c:v>39845</c:v>
                </c:pt>
                <c:pt idx="51" formatCode="mmm\-yy">
                  <c:v>39873</c:v>
                </c:pt>
                <c:pt idx="52" formatCode="mmm\-yy">
                  <c:v>39904</c:v>
                </c:pt>
                <c:pt idx="53" formatCode="mmm\-yy">
                  <c:v>39934</c:v>
                </c:pt>
                <c:pt idx="54" formatCode="mmm\-yy">
                  <c:v>39965</c:v>
                </c:pt>
                <c:pt idx="55" formatCode="mmm\-yy">
                  <c:v>39995</c:v>
                </c:pt>
                <c:pt idx="56" formatCode="mmm\-yy">
                  <c:v>40026</c:v>
                </c:pt>
                <c:pt idx="57" formatCode="mmm\-yy">
                  <c:v>40057</c:v>
                </c:pt>
                <c:pt idx="58" formatCode="mmm\-yy">
                  <c:v>40087</c:v>
                </c:pt>
                <c:pt idx="59" formatCode="mmm\-yy">
                  <c:v>40118</c:v>
                </c:pt>
                <c:pt idx="60" formatCode="mmm\-yy">
                  <c:v>40148</c:v>
                </c:pt>
                <c:pt idx="61" formatCode="mmm\-yy">
                  <c:v>40179</c:v>
                </c:pt>
                <c:pt idx="62" formatCode="mmm\-yy">
                  <c:v>40210</c:v>
                </c:pt>
                <c:pt idx="63" formatCode="mmm\-yy">
                  <c:v>40238</c:v>
                </c:pt>
                <c:pt idx="64" formatCode="mmm\-yy">
                  <c:v>40269</c:v>
                </c:pt>
                <c:pt idx="65" formatCode="mmm\-yy">
                  <c:v>40299</c:v>
                </c:pt>
                <c:pt idx="66" formatCode="mmm\-yy">
                  <c:v>40330</c:v>
                </c:pt>
                <c:pt idx="67" formatCode="mmm\-yy">
                  <c:v>40360</c:v>
                </c:pt>
                <c:pt idx="68" formatCode="mmm\-yy">
                  <c:v>40391</c:v>
                </c:pt>
                <c:pt idx="69" formatCode="mmm\-yy">
                  <c:v>40422</c:v>
                </c:pt>
                <c:pt idx="70" formatCode="mmm\-yy">
                  <c:v>40452</c:v>
                </c:pt>
                <c:pt idx="71" formatCode="mmm\-yy">
                  <c:v>40483</c:v>
                </c:pt>
                <c:pt idx="72" formatCode="mmm\-yy">
                  <c:v>40513</c:v>
                </c:pt>
                <c:pt idx="73" formatCode="mmm\-yy">
                  <c:v>40544</c:v>
                </c:pt>
                <c:pt idx="74" formatCode="mmm\-yy">
                  <c:v>40575</c:v>
                </c:pt>
                <c:pt idx="75" formatCode="mmm\-yy">
                  <c:v>40603</c:v>
                </c:pt>
                <c:pt idx="76" formatCode="mmm\-yy">
                  <c:v>40634</c:v>
                </c:pt>
                <c:pt idx="77" formatCode="mmm\-yy">
                  <c:v>40664</c:v>
                </c:pt>
                <c:pt idx="78" formatCode="mmm\-yy">
                  <c:v>40695</c:v>
                </c:pt>
                <c:pt idx="79" formatCode="mmm\-yy">
                  <c:v>40725</c:v>
                </c:pt>
                <c:pt idx="80" formatCode="mmm\-yy">
                  <c:v>40756</c:v>
                </c:pt>
                <c:pt idx="81" formatCode="mmm\-yy">
                  <c:v>40787</c:v>
                </c:pt>
                <c:pt idx="82" formatCode="mmm\-yy">
                  <c:v>40817</c:v>
                </c:pt>
                <c:pt idx="83" formatCode="mmm\-yy">
                  <c:v>40848</c:v>
                </c:pt>
                <c:pt idx="84" formatCode="mmm\-yy">
                  <c:v>40878</c:v>
                </c:pt>
                <c:pt idx="85" formatCode="mmm\-yy">
                  <c:v>40909</c:v>
                </c:pt>
                <c:pt idx="86" formatCode="mmm\-yy">
                  <c:v>40940</c:v>
                </c:pt>
                <c:pt idx="87" formatCode="mmm\-yy">
                  <c:v>40969</c:v>
                </c:pt>
                <c:pt idx="88" formatCode="mmm\-yy">
                  <c:v>41000</c:v>
                </c:pt>
                <c:pt idx="89" formatCode="mmm\-yy">
                  <c:v>41030</c:v>
                </c:pt>
                <c:pt idx="90" formatCode="mmm\-yy">
                  <c:v>41061</c:v>
                </c:pt>
                <c:pt idx="91" formatCode="mmm\-yy">
                  <c:v>41091</c:v>
                </c:pt>
                <c:pt idx="92" formatCode="mmm\-yy">
                  <c:v>41122</c:v>
                </c:pt>
                <c:pt idx="93" formatCode="mmm\-yy">
                  <c:v>41153</c:v>
                </c:pt>
                <c:pt idx="94" formatCode="mmm\-yy">
                  <c:v>41183</c:v>
                </c:pt>
                <c:pt idx="95" formatCode="mmm\-yy">
                  <c:v>41214</c:v>
                </c:pt>
                <c:pt idx="96" formatCode="mmm\-yy">
                  <c:v>41244</c:v>
                </c:pt>
                <c:pt idx="97" formatCode="mmm\-yy">
                  <c:v>41275</c:v>
                </c:pt>
                <c:pt idx="98" formatCode="mmm\-yy">
                  <c:v>41306</c:v>
                </c:pt>
                <c:pt idx="99" formatCode="mmm\-yy">
                  <c:v>41334</c:v>
                </c:pt>
                <c:pt idx="100" formatCode="mmm\-yy">
                  <c:v>41365</c:v>
                </c:pt>
                <c:pt idx="101" formatCode="mmm\-yy">
                  <c:v>41395</c:v>
                </c:pt>
                <c:pt idx="102" formatCode="mmm\-yy">
                  <c:v>41426</c:v>
                </c:pt>
                <c:pt idx="103" formatCode="mmm\-yy">
                  <c:v>41456</c:v>
                </c:pt>
                <c:pt idx="104" formatCode="mmm\-yy">
                  <c:v>41487</c:v>
                </c:pt>
                <c:pt idx="105" formatCode="mmm\-yy">
                  <c:v>41518</c:v>
                </c:pt>
                <c:pt idx="106" formatCode="mmm\-yy">
                  <c:v>41548</c:v>
                </c:pt>
                <c:pt idx="107" formatCode="mmm\-yy">
                  <c:v>41579</c:v>
                </c:pt>
                <c:pt idx="108" formatCode="mmm\-yy">
                  <c:v>41609</c:v>
                </c:pt>
                <c:pt idx="109" formatCode="mmm\-yy">
                  <c:v>41640</c:v>
                </c:pt>
                <c:pt idx="110" formatCode="mmm\-yy">
                  <c:v>41671</c:v>
                </c:pt>
                <c:pt idx="111" formatCode="mmm\-yy">
                  <c:v>41699</c:v>
                </c:pt>
                <c:pt idx="112" formatCode="mmm\-yy">
                  <c:v>41730</c:v>
                </c:pt>
                <c:pt idx="113" formatCode="mmm\-yy">
                  <c:v>41760</c:v>
                </c:pt>
                <c:pt idx="114" formatCode="mmm\-yy">
                  <c:v>41791</c:v>
                </c:pt>
                <c:pt idx="115" formatCode="mmm\-yy">
                  <c:v>41821</c:v>
                </c:pt>
                <c:pt idx="116" formatCode="mmm\-yy">
                  <c:v>41852</c:v>
                </c:pt>
                <c:pt idx="117" formatCode="mmm\-yy">
                  <c:v>41883</c:v>
                </c:pt>
                <c:pt idx="118" formatCode="mmm\-yy">
                  <c:v>41913</c:v>
                </c:pt>
                <c:pt idx="119" formatCode="mmm\-yy">
                  <c:v>41944</c:v>
                </c:pt>
                <c:pt idx="120" formatCode="mmm\-yy">
                  <c:v>41974</c:v>
                </c:pt>
                <c:pt idx="121" formatCode="mmm\-yy">
                  <c:v>42005</c:v>
                </c:pt>
                <c:pt idx="122" formatCode="mmm\-yy">
                  <c:v>42036</c:v>
                </c:pt>
                <c:pt idx="123" formatCode="mmm\-yy">
                  <c:v>42064</c:v>
                </c:pt>
                <c:pt idx="124" formatCode="mmm\-yy">
                  <c:v>42095</c:v>
                </c:pt>
                <c:pt idx="125" formatCode="mmm\-yy">
                  <c:v>42125</c:v>
                </c:pt>
                <c:pt idx="126" formatCode="mmm\-yy">
                  <c:v>42156</c:v>
                </c:pt>
                <c:pt idx="127" formatCode="mmm\-yy">
                  <c:v>42186</c:v>
                </c:pt>
                <c:pt idx="128" formatCode="mmm\-yy">
                  <c:v>42217</c:v>
                </c:pt>
                <c:pt idx="129" formatCode="mmm\-yy">
                  <c:v>42248</c:v>
                </c:pt>
                <c:pt idx="130" formatCode="mmm\-yy">
                  <c:v>42278</c:v>
                </c:pt>
                <c:pt idx="131" formatCode="mmm\-yy">
                  <c:v>42309</c:v>
                </c:pt>
                <c:pt idx="132" formatCode="mmm\-yy">
                  <c:v>42339</c:v>
                </c:pt>
                <c:pt idx="133" formatCode="mmm\-yy">
                  <c:v>42370</c:v>
                </c:pt>
                <c:pt idx="134" formatCode="mmm\-yy">
                  <c:v>42401</c:v>
                </c:pt>
                <c:pt idx="135" formatCode="mmm\-yy">
                  <c:v>42430</c:v>
                </c:pt>
                <c:pt idx="136" formatCode="mmm\-yy">
                  <c:v>42461</c:v>
                </c:pt>
                <c:pt idx="137" formatCode="mmm\-yy">
                  <c:v>42491</c:v>
                </c:pt>
                <c:pt idx="138" formatCode="mmm\-yy">
                  <c:v>42522</c:v>
                </c:pt>
                <c:pt idx="139" formatCode="mmm\-yy">
                  <c:v>42552</c:v>
                </c:pt>
                <c:pt idx="140" formatCode="mmm\-yy">
                  <c:v>42583</c:v>
                </c:pt>
                <c:pt idx="141" formatCode="mmm\-yy">
                  <c:v>42614</c:v>
                </c:pt>
                <c:pt idx="142" formatCode="mmm\-yy">
                  <c:v>42644</c:v>
                </c:pt>
                <c:pt idx="143" formatCode="mmm\-yy">
                  <c:v>42675</c:v>
                </c:pt>
                <c:pt idx="144" formatCode="mmm\-yy">
                  <c:v>42705</c:v>
                </c:pt>
                <c:pt idx="145" formatCode="mmm\-yy">
                  <c:v>42736</c:v>
                </c:pt>
                <c:pt idx="146" formatCode="mmm\-yy">
                  <c:v>42767</c:v>
                </c:pt>
                <c:pt idx="147" formatCode="mmm\-yy">
                  <c:v>42795</c:v>
                </c:pt>
                <c:pt idx="148" formatCode="mmm\-yy">
                  <c:v>42826</c:v>
                </c:pt>
                <c:pt idx="149" formatCode="mmm\-yy">
                  <c:v>42856</c:v>
                </c:pt>
                <c:pt idx="150" formatCode="mmm\-yy">
                  <c:v>42887</c:v>
                </c:pt>
                <c:pt idx="151" formatCode="mmm\-yy">
                  <c:v>42917</c:v>
                </c:pt>
                <c:pt idx="152" formatCode="mmm\-yy">
                  <c:v>42948</c:v>
                </c:pt>
                <c:pt idx="153" formatCode="yyyy/mm/dd">
                  <c:v>46143</c:v>
                </c:pt>
                <c:pt idx="154" formatCode="yyyy/mm/dd">
                  <c:v>46174</c:v>
                </c:pt>
              </c:numCache>
            </c:numRef>
          </c:cat>
          <c:val>
            <c:numRef>
              <c:f>UK!$B$2:$B$200</c:f>
              <c:numCache>
                <c:formatCode>0.0</c:formatCode>
                <c:ptCount val="199"/>
                <c:pt idx="0">
                  <c:v>53.7</c:v>
                </c:pt>
                <c:pt idx="1">
                  <c:v>51.8</c:v>
                </c:pt>
                <c:pt idx="2">
                  <c:v>51.8</c:v>
                </c:pt>
                <c:pt idx="3">
                  <c:v>52</c:v>
                </c:pt>
                <c:pt idx="4">
                  <c:v>49.5</c:v>
                </c:pt>
                <c:pt idx="5">
                  <c:v>47.3</c:v>
                </c:pt>
                <c:pt idx="6">
                  <c:v>49.6</c:v>
                </c:pt>
                <c:pt idx="7">
                  <c:v>49.2</c:v>
                </c:pt>
                <c:pt idx="8">
                  <c:v>50.1</c:v>
                </c:pt>
                <c:pt idx="9">
                  <c:v>51.5</c:v>
                </c:pt>
                <c:pt idx="10">
                  <c:v>51.7</c:v>
                </c:pt>
                <c:pt idx="11">
                  <c:v>51</c:v>
                </c:pt>
                <c:pt idx="12">
                  <c:v>51.1</c:v>
                </c:pt>
                <c:pt idx="13">
                  <c:v>51.7</c:v>
                </c:pt>
                <c:pt idx="14">
                  <c:v>51.7</c:v>
                </c:pt>
                <c:pt idx="15">
                  <c:v>50.8</c:v>
                </c:pt>
                <c:pt idx="16">
                  <c:v>54.1</c:v>
                </c:pt>
                <c:pt idx="17">
                  <c:v>53.2</c:v>
                </c:pt>
                <c:pt idx="18">
                  <c:v>55.1</c:v>
                </c:pt>
                <c:pt idx="19">
                  <c:v>53.8</c:v>
                </c:pt>
                <c:pt idx="20">
                  <c:v>53.1</c:v>
                </c:pt>
                <c:pt idx="21">
                  <c:v>54.4</c:v>
                </c:pt>
                <c:pt idx="22">
                  <c:v>53.7</c:v>
                </c:pt>
                <c:pt idx="23">
                  <c:v>53.6</c:v>
                </c:pt>
                <c:pt idx="24">
                  <c:v>51.9</c:v>
                </c:pt>
                <c:pt idx="25">
                  <c:v>52.8</c:v>
                </c:pt>
                <c:pt idx="26">
                  <c:v>55.4</c:v>
                </c:pt>
                <c:pt idx="27">
                  <c:v>54.4</c:v>
                </c:pt>
                <c:pt idx="28">
                  <c:v>53.9</c:v>
                </c:pt>
                <c:pt idx="29">
                  <c:v>54.9</c:v>
                </c:pt>
                <c:pt idx="30">
                  <c:v>54.3</c:v>
                </c:pt>
                <c:pt idx="31">
                  <c:v>55.7</c:v>
                </c:pt>
                <c:pt idx="32">
                  <c:v>56.3</c:v>
                </c:pt>
                <c:pt idx="33">
                  <c:v>55.1</c:v>
                </c:pt>
                <c:pt idx="34">
                  <c:v>52.9</c:v>
                </c:pt>
                <c:pt idx="35">
                  <c:v>54.4</c:v>
                </c:pt>
                <c:pt idx="36">
                  <c:v>52.9</c:v>
                </c:pt>
                <c:pt idx="37">
                  <c:v>50.6</c:v>
                </c:pt>
                <c:pt idx="38">
                  <c:v>51.3</c:v>
                </c:pt>
                <c:pt idx="39">
                  <c:v>51.3</c:v>
                </c:pt>
                <c:pt idx="40">
                  <c:v>51</c:v>
                </c:pt>
                <c:pt idx="41">
                  <c:v>50</c:v>
                </c:pt>
                <c:pt idx="42">
                  <c:v>45.8</c:v>
                </c:pt>
                <c:pt idx="43">
                  <c:v>44.3</c:v>
                </c:pt>
                <c:pt idx="44">
                  <c:v>45.9</c:v>
                </c:pt>
                <c:pt idx="45">
                  <c:v>41</c:v>
                </c:pt>
                <c:pt idx="46">
                  <c:v>41.5</c:v>
                </c:pt>
                <c:pt idx="47">
                  <c:v>34.4</c:v>
                </c:pt>
                <c:pt idx="48">
                  <c:v>34.9</c:v>
                </c:pt>
                <c:pt idx="49">
                  <c:v>35.799999999999997</c:v>
                </c:pt>
                <c:pt idx="50">
                  <c:v>34.700000000000003</c:v>
                </c:pt>
                <c:pt idx="51">
                  <c:v>39.1</c:v>
                </c:pt>
                <c:pt idx="52">
                  <c:v>42.9</c:v>
                </c:pt>
                <c:pt idx="53">
                  <c:v>45.4</c:v>
                </c:pt>
                <c:pt idx="54">
                  <c:v>47</c:v>
                </c:pt>
                <c:pt idx="55">
                  <c:v>50.8</c:v>
                </c:pt>
                <c:pt idx="56">
                  <c:v>49.7</c:v>
                </c:pt>
                <c:pt idx="57">
                  <c:v>49.5</c:v>
                </c:pt>
                <c:pt idx="58">
                  <c:v>53.7</c:v>
                </c:pt>
                <c:pt idx="59">
                  <c:v>51.8</c:v>
                </c:pt>
                <c:pt idx="60">
                  <c:v>54.1</c:v>
                </c:pt>
                <c:pt idx="61">
                  <c:v>56.7</c:v>
                </c:pt>
                <c:pt idx="62">
                  <c:v>56.6</c:v>
                </c:pt>
                <c:pt idx="63">
                  <c:v>57.2</c:v>
                </c:pt>
                <c:pt idx="64">
                  <c:v>58</c:v>
                </c:pt>
                <c:pt idx="65">
                  <c:v>58</c:v>
                </c:pt>
                <c:pt idx="66">
                  <c:v>57.5</c:v>
                </c:pt>
                <c:pt idx="67">
                  <c:v>57.3</c:v>
                </c:pt>
                <c:pt idx="68">
                  <c:v>54.3</c:v>
                </c:pt>
                <c:pt idx="69">
                  <c:v>53.4</c:v>
                </c:pt>
                <c:pt idx="70">
                  <c:v>54.9</c:v>
                </c:pt>
                <c:pt idx="71">
                  <c:v>58</c:v>
                </c:pt>
                <c:pt idx="72">
                  <c:v>58.3</c:v>
                </c:pt>
                <c:pt idx="73">
                  <c:v>62</c:v>
                </c:pt>
                <c:pt idx="74">
                  <c:v>64.5</c:v>
                </c:pt>
                <c:pt idx="75">
                  <c:v>57.1</c:v>
                </c:pt>
                <c:pt idx="76">
                  <c:v>54.6</c:v>
                </c:pt>
                <c:pt idx="77">
                  <c:v>52.1</c:v>
                </c:pt>
                <c:pt idx="78">
                  <c:v>51.3</c:v>
                </c:pt>
                <c:pt idx="79">
                  <c:v>49.1</c:v>
                </c:pt>
                <c:pt idx="80">
                  <c:v>49</c:v>
                </c:pt>
                <c:pt idx="81">
                  <c:v>51.1</c:v>
                </c:pt>
                <c:pt idx="82">
                  <c:v>47.4</c:v>
                </c:pt>
                <c:pt idx="83">
                  <c:v>47.6</c:v>
                </c:pt>
                <c:pt idx="84">
                  <c:v>49.6</c:v>
                </c:pt>
                <c:pt idx="85">
                  <c:v>50.8</c:v>
                </c:pt>
                <c:pt idx="86">
                  <c:v>51.1</c:v>
                </c:pt>
                <c:pt idx="87">
                  <c:v>52</c:v>
                </c:pt>
                <c:pt idx="88">
                  <c:v>50.2</c:v>
                </c:pt>
                <c:pt idx="89">
                  <c:v>46.8</c:v>
                </c:pt>
                <c:pt idx="90">
                  <c:v>48.8</c:v>
                </c:pt>
                <c:pt idx="91">
                  <c:v>45.5</c:v>
                </c:pt>
                <c:pt idx="92">
                  <c:v>49.1</c:v>
                </c:pt>
                <c:pt idx="93">
                  <c:v>48.2</c:v>
                </c:pt>
                <c:pt idx="94">
                  <c:v>48</c:v>
                </c:pt>
                <c:pt idx="95">
                  <c:v>48.4</c:v>
                </c:pt>
                <c:pt idx="96">
                  <c:v>50.7</c:v>
                </c:pt>
                <c:pt idx="97">
                  <c:v>50.9</c:v>
                </c:pt>
                <c:pt idx="98">
                  <c:v>48.2</c:v>
                </c:pt>
                <c:pt idx="99">
                  <c:v>49.3</c:v>
                </c:pt>
                <c:pt idx="100">
                  <c:v>50.6</c:v>
                </c:pt>
                <c:pt idx="101">
                  <c:v>52.1</c:v>
                </c:pt>
                <c:pt idx="102">
                  <c:v>53</c:v>
                </c:pt>
                <c:pt idx="103">
                  <c:v>54.7</c:v>
                </c:pt>
                <c:pt idx="104">
                  <c:v>57.3</c:v>
                </c:pt>
                <c:pt idx="105">
                  <c:v>56.7</c:v>
                </c:pt>
                <c:pt idx="106">
                  <c:v>56.5</c:v>
                </c:pt>
                <c:pt idx="107">
                  <c:v>58.1</c:v>
                </c:pt>
                <c:pt idx="108">
                  <c:v>57.3</c:v>
                </c:pt>
                <c:pt idx="109">
                  <c:v>56.7</c:v>
                </c:pt>
                <c:pt idx="110">
                  <c:v>56.9</c:v>
                </c:pt>
                <c:pt idx="111">
                  <c:v>55.3</c:v>
                </c:pt>
                <c:pt idx="112">
                  <c:v>57.3</c:v>
                </c:pt>
                <c:pt idx="113">
                  <c:v>57</c:v>
                </c:pt>
                <c:pt idx="114">
                  <c:v>57.5</c:v>
                </c:pt>
                <c:pt idx="115">
                  <c:v>55.4</c:v>
                </c:pt>
                <c:pt idx="116">
                  <c:v>52.5</c:v>
                </c:pt>
                <c:pt idx="117">
                  <c:v>51.6</c:v>
                </c:pt>
                <c:pt idx="118">
                  <c:v>53.2</c:v>
                </c:pt>
                <c:pt idx="119">
                  <c:v>53.5</c:v>
                </c:pt>
                <c:pt idx="153">
                  <c:v>53.9</c:v>
                </c:pt>
                <c:pt idx="154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E-48E7-8BD0-E867C536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810176"/>
        <c:axId val="42581427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UK!$B$2:$B$200</c:f>
              <c:numCache>
                <c:formatCode>0.0</c:formatCode>
                <c:ptCount val="199"/>
                <c:pt idx="0">
                  <c:v>53.7</c:v>
                </c:pt>
                <c:pt idx="1">
                  <c:v>51.8</c:v>
                </c:pt>
                <c:pt idx="2">
                  <c:v>51.8</c:v>
                </c:pt>
                <c:pt idx="3">
                  <c:v>52</c:v>
                </c:pt>
                <c:pt idx="4">
                  <c:v>49.5</c:v>
                </c:pt>
                <c:pt idx="5">
                  <c:v>47.3</c:v>
                </c:pt>
                <c:pt idx="6">
                  <c:v>49.6</c:v>
                </c:pt>
                <c:pt idx="7">
                  <c:v>49.2</c:v>
                </c:pt>
                <c:pt idx="8">
                  <c:v>50.1</c:v>
                </c:pt>
                <c:pt idx="9">
                  <c:v>51.5</c:v>
                </c:pt>
                <c:pt idx="10">
                  <c:v>51.7</c:v>
                </c:pt>
                <c:pt idx="11">
                  <c:v>51</c:v>
                </c:pt>
                <c:pt idx="12">
                  <c:v>51.1</c:v>
                </c:pt>
                <c:pt idx="13">
                  <c:v>51.7</c:v>
                </c:pt>
                <c:pt idx="14">
                  <c:v>51.7</c:v>
                </c:pt>
                <c:pt idx="15">
                  <c:v>50.8</c:v>
                </c:pt>
                <c:pt idx="16">
                  <c:v>54.1</c:v>
                </c:pt>
                <c:pt idx="17">
                  <c:v>53.2</c:v>
                </c:pt>
                <c:pt idx="18">
                  <c:v>55.1</c:v>
                </c:pt>
                <c:pt idx="19">
                  <c:v>53.8</c:v>
                </c:pt>
                <c:pt idx="20">
                  <c:v>53.1</c:v>
                </c:pt>
                <c:pt idx="21">
                  <c:v>54.4</c:v>
                </c:pt>
                <c:pt idx="22">
                  <c:v>53.7</c:v>
                </c:pt>
                <c:pt idx="23">
                  <c:v>53.6</c:v>
                </c:pt>
                <c:pt idx="24">
                  <c:v>51.9</c:v>
                </c:pt>
                <c:pt idx="25">
                  <c:v>52.8</c:v>
                </c:pt>
                <c:pt idx="26">
                  <c:v>55.4</c:v>
                </c:pt>
                <c:pt idx="27">
                  <c:v>54.4</c:v>
                </c:pt>
                <c:pt idx="28">
                  <c:v>53.9</c:v>
                </c:pt>
                <c:pt idx="29">
                  <c:v>54.9</c:v>
                </c:pt>
                <c:pt idx="30">
                  <c:v>54.3</c:v>
                </c:pt>
                <c:pt idx="31">
                  <c:v>55.7</c:v>
                </c:pt>
                <c:pt idx="32">
                  <c:v>56.3</c:v>
                </c:pt>
                <c:pt idx="33">
                  <c:v>55.1</c:v>
                </c:pt>
                <c:pt idx="34">
                  <c:v>52.9</c:v>
                </c:pt>
                <c:pt idx="35">
                  <c:v>54.4</c:v>
                </c:pt>
                <c:pt idx="36">
                  <c:v>52.9</c:v>
                </c:pt>
                <c:pt idx="37">
                  <c:v>50.6</c:v>
                </c:pt>
                <c:pt idx="38">
                  <c:v>51.3</c:v>
                </c:pt>
                <c:pt idx="39">
                  <c:v>51.3</c:v>
                </c:pt>
                <c:pt idx="40">
                  <c:v>51</c:v>
                </c:pt>
                <c:pt idx="41">
                  <c:v>50</c:v>
                </c:pt>
                <c:pt idx="42">
                  <c:v>45.8</c:v>
                </c:pt>
                <c:pt idx="43">
                  <c:v>44.3</c:v>
                </c:pt>
                <c:pt idx="44">
                  <c:v>45.9</c:v>
                </c:pt>
                <c:pt idx="45">
                  <c:v>41</c:v>
                </c:pt>
                <c:pt idx="46">
                  <c:v>41.5</c:v>
                </c:pt>
                <c:pt idx="47">
                  <c:v>34.4</c:v>
                </c:pt>
                <c:pt idx="48">
                  <c:v>34.9</c:v>
                </c:pt>
                <c:pt idx="49">
                  <c:v>35.799999999999997</c:v>
                </c:pt>
                <c:pt idx="50">
                  <c:v>34.700000000000003</c:v>
                </c:pt>
                <c:pt idx="51">
                  <c:v>39.1</c:v>
                </c:pt>
                <c:pt idx="52">
                  <c:v>42.9</c:v>
                </c:pt>
                <c:pt idx="53">
                  <c:v>45.4</c:v>
                </c:pt>
                <c:pt idx="54">
                  <c:v>47</c:v>
                </c:pt>
                <c:pt idx="55">
                  <c:v>50.8</c:v>
                </c:pt>
                <c:pt idx="56">
                  <c:v>49.7</c:v>
                </c:pt>
                <c:pt idx="57">
                  <c:v>49.5</c:v>
                </c:pt>
                <c:pt idx="58">
                  <c:v>53.7</c:v>
                </c:pt>
                <c:pt idx="59">
                  <c:v>51.8</c:v>
                </c:pt>
                <c:pt idx="60">
                  <c:v>54.1</c:v>
                </c:pt>
                <c:pt idx="61">
                  <c:v>56.7</c:v>
                </c:pt>
                <c:pt idx="62">
                  <c:v>56.6</c:v>
                </c:pt>
                <c:pt idx="63">
                  <c:v>57.2</c:v>
                </c:pt>
                <c:pt idx="64">
                  <c:v>58</c:v>
                </c:pt>
                <c:pt idx="65">
                  <c:v>58</c:v>
                </c:pt>
                <c:pt idx="66">
                  <c:v>57.5</c:v>
                </c:pt>
                <c:pt idx="67">
                  <c:v>57.3</c:v>
                </c:pt>
                <c:pt idx="68">
                  <c:v>54.3</c:v>
                </c:pt>
                <c:pt idx="69">
                  <c:v>53.4</c:v>
                </c:pt>
                <c:pt idx="70">
                  <c:v>54.9</c:v>
                </c:pt>
                <c:pt idx="71">
                  <c:v>58</c:v>
                </c:pt>
                <c:pt idx="72">
                  <c:v>58.3</c:v>
                </c:pt>
                <c:pt idx="73">
                  <c:v>62</c:v>
                </c:pt>
                <c:pt idx="74">
                  <c:v>64.5</c:v>
                </c:pt>
                <c:pt idx="75">
                  <c:v>57.1</c:v>
                </c:pt>
                <c:pt idx="76">
                  <c:v>54.6</c:v>
                </c:pt>
                <c:pt idx="77">
                  <c:v>52.1</c:v>
                </c:pt>
                <c:pt idx="78">
                  <c:v>51.3</c:v>
                </c:pt>
                <c:pt idx="79">
                  <c:v>49.1</c:v>
                </c:pt>
                <c:pt idx="80">
                  <c:v>49</c:v>
                </c:pt>
                <c:pt idx="81">
                  <c:v>51.1</c:v>
                </c:pt>
                <c:pt idx="82">
                  <c:v>47.4</c:v>
                </c:pt>
                <c:pt idx="83">
                  <c:v>47.6</c:v>
                </c:pt>
                <c:pt idx="84">
                  <c:v>49.6</c:v>
                </c:pt>
                <c:pt idx="85">
                  <c:v>50.8</c:v>
                </c:pt>
                <c:pt idx="86">
                  <c:v>51.1</c:v>
                </c:pt>
                <c:pt idx="87">
                  <c:v>52</c:v>
                </c:pt>
                <c:pt idx="88">
                  <c:v>50.2</c:v>
                </c:pt>
                <c:pt idx="89">
                  <c:v>46.8</c:v>
                </c:pt>
                <c:pt idx="90">
                  <c:v>48.8</c:v>
                </c:pt>
                <c:pt idx="91">
                  <c:v>45.5</c:v>
                </c:pt>
                <c:pt idx="92">
                  <c:v>49.1</c:v>
                </c:pt>
                <c:pt idx="93">
                  <c:v>48.2</c:v>
                </c:pt>
                <c:pt idx="94">
                  <c:v>48</c:v>
                </c:pt>
                <c:pt idx="95">
                  <c:v>48.4</c:v>
                </c:pt>
                <c:pt idx="96">
                  <c:v>50.7</c:v>
                </c:pt>
                <c:pt idx="97">
                  <c:v>50.9</c:v>
                </c:pt>
                <c:pt idx="98">
                  <c:v>48.2</c:v>
                </c:pt>
                <c:pt idx="99">
                  <c:v>49.3</c:v>
                </c:pt>
                <c:pt idx="100">
                  <c:v>50.6</c:v>
                </c:pt>
                <c:pt idx="101">
                  <c:v>52.1</c:v>
                </c:pt>
                <c:pt idx="102">
                  <c:v>53</c:v>
                </c:pt>
                <c:pt idx="103">
                  <c:v>54.7</c:v>
                </c:pt>
                <c:pt idx="104">
                  <c:v>57.3</c:v>
                </c:pt>
                <c:pt idx="105">
                  <c:v>56.7</c:v>
                </c:pt>
                <c:pt idx="106">
                  <c:v>56.5</c:v>
                </c:pt>
                <c:pt idx="107">
                  <c:v>58.1</c:v>
                </c:pt>
                <c:pt idx="108">
                  <c:v>57.3</c:v>
                </c:pt>
                <c:pt idx="109">
                  <c:v>56.7</c:v>
                </c:pt>
                <c:pt idx="110">
                  <c:v>56.9</c:v>
                </c:pt>
                <c:pt idx="111">
                  <c:v>55.3</c:v>
                </c:pt>
                <c:pt idx="112">
                  <c:v>57.3</c:v>
                </c:pt>
                <c:pt idx="113">
                  <c:v>57</c:v>
                </c:pt>
                <c:pt idx="114">
                  <c:v>57.5</c:v>
                </c:pt>
                <c:pt idx="115">
                  <c:v>55.4</c:v>
                </c:pt>
                <c:pt idx="116">
                  <c:v>52.5</c:v>
                </c:pt>
                <c:pt idx="117">
                  <c:v>51.6</c:v>
                </c:pt>
                <c:pt idx="118">
                  <c:v>53.2</c:v>
                </c:pt>
                <c:pt idx="119">
                  <c:v>53.5</c:v>
                </c:pt>
                <c:pt idx="153">
                  <c:v>53.9</c:v>
                </c:pt>
                <c:pt idx="154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E-48E7-8BD0-E867C536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10176"/>
        <c:axId val="425814272"/>
      </c:lineChart>
      <c:dateAx>
        <c:axId val="425810176"/>
        <c:scaling>
          <c:orientation val="minMax"/>
          <c:min val="38353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814272"/>
        <c:crossesAt val="50"/>
        <c:auto val="1"/>
        <c:lblOffset val="100"/>
        <c:baseTimeUnit val="months"/>
        <c:majorUnit val="1"/>
        <c:majorTimeUnit val="years"/>
      </c:dateAx>
      <c:valAx>
        <c:axId val="425814272"/>
        <c:scaling>
          <c:orientation val="minMax"/>
          <c:max val="66"/>
          <c:min val="3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5810176"/>
        <c:crosses val="autoZero"/>
        <c:crossBetween val="between"/>
        <c:majorUnit val="8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56E-2"/>
          <c:y val="0.76045636133995975"/>
          <c:w val="7.7480105226572712E-2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Euro Area Manufacturing PMI</a:t>
            </a:r>
            <a:r>
              <a:rPr lang="en-US" baseline="0"/>
              <a:t> 2007-2014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EZ!$B$32</c:f>
              <c:strCache>
                <c:ptCount val="1"/>
                <c:pt idx="0">
                  <c:v>Euro Area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EZ!$A$33:$A$138</c:f>
              <c:numCache>
                <c:formatCode>[$-409]mmm\-yy;@</c:formatCode>
                <c:ptCount val="106"/>
                <c:pt idx="0">
                  <c:v>39264</c:v>
                </c:pt>
                <c:pt idx="1">
                  <c:v>39295</c:v>
                </c:pt>
                <c:pt idx="2">
                  <c:v>39326</c:v>
                </c:pt>
                <c:pt idx="3">
                  <c:v>39356</c:v>
                </c:pt>
                <c:pt idx="4">
                  <c:v>39387</c:v>
                </c:pt>
                <c:pt idx="5">
                  <c:v>39417</c:v>
                </c:pt>
                <c:pt idx="6">
                  <c:v>39448</c:v>
                </c:pt>
                <c:pt idx="7">
                  <c:v>39479</c:v>
                </c:pt>
                <c:pt idx="8">
                  <c:v>39508</c:v>
                </c:pt>
                <c:pt idx="9">
                  <c:v>39539</c:v>
                </c:pt>
                <c:pt idx="10">
                  <c:v>39569</c:v>
                </c:pt>
                <c:pt idx="11">
                  <c:v>39600</c:v>
                </c:pt>
                <c:pt idx="12">
                  <c:v>39630</c:v>
                </c:pt>
                <c:pt idx="13">
                  <c:v>39661</c:v>
                </c:pt>
                <c:pt idx="14">
                  <c:v>39692</c:v>
                </c:pt>
                <c:pt idx="15">
                  <c:v>39722</c:v>
                </c:pt>
                <c:pt idx="16">
                  <c:v>39753</c:v>
                </c:pt>
                <c:pt idx="17">
                  <c:v>39783</c:v>
                </c:pt>
                <c:pt idx="18">
                  <c:v>39814</c:v>
                </c:pt>
                <c:pt idx="19">
                  <c:v>39845</c:v>
                </c:pt>
                <c:pt idx="20">
                  <c:v>39873</c:v>
                </c:pt>
                <c:pt idx="21">
                  <c:v>39904</c:v>
                </c:pt>
                <c:pt idx="22">
                  <c:v>39934</c:v>
                </c:pt>
                <c:pt idx="23">
                  <c:v>39965</c:v>
                </c:pt>
                <c:pt idx="24">
                  <c:v>39995</c:v>
                </c:pt>
                <c:pt idx="25">
                  <c:v>40026</c:v>
                </c:pt>
                <c:pt idx="26">
                  <c:v>40057</c:v>
                </c:pt>
                <c:pt idx="27">
                  <c:v>40087</c:v>
                </c:pt>
                <c:pt idx="28">
                  <c:v>40118</c:v>
                </c:pt>
                <c:pt idx="29">
                  <c:v>40148</c:v>
                </c:pt>
                <c:pt idx="30">
                  <c:v>40179</c:v>
                </c:pt>
                <c:pt idx="31">
                  <c:v>40210</c:v>
                </c:pt>
                <c:pt idx="32">
                  <c:v>40238</c:v>
                </c:pt>
                <c:pt idx="33">
                  <c:v>40269</c:v>
                </c:pt>
                <c:pt idx="34">
                  <c:v>40299</c:v>
                </c:pt>
                <c:pt idx="35">
                  <c:v>40330</c:v>
                </c:pt>
                <c:pt idx="36">
                  <c:v>40360</c:v>
                </c:pt>
                <c:pt idx="37">
                  <c:v>40391</c:v>
                </c:pt>
                <c:pt idx="38">
                  <c:v>40422</c:v>
                </c:pt>
                <c:pt idx="39">
                  <c:v>40452</c:v>
                </c:pt>
                <c:pt idx="40">
                  <c:v>40483</c:v>
                </c:pt>
                <c:pt idx="41">
                  <c:v>40513</c:v>
                </c:pt>
                <c:pt idx="42">
                  <c:v>40544</c:v>
                </c:pt>
                <c:pt idx="43">
                  <c:v>40575</c:v>
                </c:pt>
                <c:pt idx="44">
                  <c:v>40603</c:v>
                </c:pt>
                <c:pt idx="45">
                  <c:v>40634</c:v>
                </c:pt>
                <c:pt idx="46">
                  <c:v>40664</c:v>
                </c:pt>
                <c:pt idx="47">
                  <c:v>40695</c:v>
                </c:pt>
                <c:pt idx="48">
                  <c:v>40725</c:v>
                </c:pt>
                <c:pt idx="49">
                  <c:v>40756</c:v>
                </c:pt>
                <c:pt idx="50">
                  <c:v>40787</c:v>
                </c:pt>
                <c:pt idx="51">
                  <c:v>40817</c:v>
                </c:pt>
                <c:pt idx="52">
                  <c:v>40848</c:v>
                </c:pt>
                <c:pt idx="53">
                  <c:v>40878</c:v>
                </c:pt>
                <c:pt idx="54">
                  <c:v>40909</c:v>
                </c:pt>
                <c:pt idx="55">
                  <c:v>40940</c:v>
                </c:pt>
                <c:pt idx="56">
                  <c:v>40969</c:v>
                </c:pt>
                <c:pt idx="57">
                  <c:v>41000</c:v>
                </c:pt>
                <c:pt idx="58">
                  <c:v>41030</c:v>
                </c:pt>
                <c:pt idx="59">
                  <c:v>41061</c:v>
                </c:pt>
                <c:pt idx="60">
                  <c:v>41091</c:v>
                </c:pt>
                <c:pt idx="61">
                  <c:v>41122</c:v>
                </c:pt>
                <c:pt idx="62">
                  <c:v>41153</c:v>
                </c:pt>
                <c:pt idx="63">
                  <c:v>41183</c:v>
                </c:pt>
                <c:pt idx="64">
                  <c:v>41214</c:v>
                </c:pt>
                <c:pt idx="65">
                  <c:v>41244</c:v>
                </c:pt>
                <c:pt idx="66">
                  <c:v>41275</c:v>
                </c:pt>
                <c:pt idx="67">
                  <c:v>41306</c:v>
                </c:pt>
                <c:pt idx="68">
                  <c:v>41334</c:v>
                </c:pt>
                <c:pt idx="69">
                  <c:v>41365</c:v>
                </c:pt>
                <c:pt idx="70">
                  <c:v>41395</c:v>
                </c:pt>
                <c:pt idx="71">
                  <c:v>41426</c:v>
                </c:pt>
                <c:pt idx="72">
                  <c:v>41456</c:v>
                </c:pt>
                <c:pt idx="73">
                  <c:v>41487</c:v>
                </c:pt>
                <c:pt idx="74">
                  <c:v>41518</c:v>
                </c:pt>
                <c:pt idx="75">
                  <c:v>41548</c:v>
                </c:pt>
                <c:pt idx="76">
                  <c:v>41579</c:v>
                </c:pt>
                <c:pt idx="77">
                  <c:v>41609</c:v>
                </c:pt>
                <c:pt idx="78">
                  <c:v>41640</c:v>
                </c:pt>
                <c:pt idx="79">
                  <c:v>41671</c:v>
                </c:pt>
                <c:pt idx="80">
                  <c:v>41699</c:v>
                </c:pt>
                <c:pt idx="81">
                  <c:v>41730</c:v>
                </c:pt>
                <c:pt idx="82">
                  <c:v>41760</c:v>
                </c:pt>
                <c:pt idx="83">
                  <c:v>41791</c:v>
                </c:pt>
                <c:pt idx="84">
                  <c:v>41821</c:v>
                </c:pt>
                <c:pt idx="85">
                  <c:v>41852</c:v>
                </c:pt>
                <c:pt idx="86">
                  <c:v>41883</c:v>
                </c:pt>
                <c:pt idx="87">
                  <c:v>41913</c:v>
                </c:pt>
                <c:pt idx="88">
                  <c:v>41944</c:v>
                </c:pt>
                <c:pt idx="89">
                  <c:v>41974</c:v>
                </c:pt>
                <c:pt idx="90">
                  <c:v>42005</c:v>
                </c:pt>
                <c:pt idx="91">
                  <c:v>42036</c:v>
                </c:pt>
                <c:pt idx="92">
                  <c:v>42064</c:v>
                </c:pt>
                <c:pt idx="93">
                  <c:v>42095</c:v>
                </c:pt>
                <c:pt idx="94">
                  <c:v>42125</c:v>
                </c:pt>
                <c:pt idx="95">
                  <c:v>42156</c:v>
                </c:pt>
                <c:pt idx="96">
                  <c:v>42186</c:v>
                </c:pt>
                <c:pt idx="97">
                  <c:v>42217</c:v>
                </c:pt>
                <c:pt idx="98">
                  <c:v>42248</c:v>
                </c:pt>
                <c:pt idx="99">
                  <c:v>42278</c:v>
                </c:pt>
                <c:pt idx="100">
                  <c:v>42309</c:v>
                </c:pt>
                <c:pt idx="101">
                  <c:v>42339</c:v>
                </c:pt>
                <c:pt idx="102">
                  <c:v>42370</c:v>
                </c:pt>
                <c:pt idx="103">
                  <c:v>42401</c:v>
                </c:pt>
                <c:pt idx="104">
                  <c:v>42430</c:v>
                </c:pt>
                <c:pt idx="105">
                  <c:v>42461</c:v>
                </c:pt>
              </c:numCache>
            </c:numRef>
          </c:cat>
          <c:val>
            <c:numRef>
              <c:f>EZ!$B$33:$B$138</c:f>
              <c:numCache>
                <c:formatCode>General</c:formatCode>
                <c:ptCount val="106"/>
                <c:pt idx="0">
                  <c:v>55.6</c:v>
                </c:pt>
                <c:pt idx="1">
                  <c:v>54.3</c:v>
                </c:pt>
                <c:pt idx="2">
                  <c:v>53.2</c:v>
                </c:pt>
                <c:pt idx="3">
                  <c:v>51.5</c:v>
                </c:pt>
                <c:pt idx="4">
                  <c:v>52.8</c:v>
                </c:pt>
                <c:pt idx="5">
                  <c:v>52.6</c:v>
                </c:pt>
                <c:pt idx="6">
                  <c:v>52.8</c:v>
                </c:pt>
                <c:pt idx="7" formatCode="0.0">
                  <c:v>52.3</c:v>
                </c:pt>
                <c:pt idx="8" formatCode="0.0">
                  <c:v>52</c:v>
                </c:pt>
                <c:pt idx="9" formatCode="0.0">
                  <c:v>50.7</c:v>
                </c:pt>
                <c:pt idx="10" formatCode="0.0">
                  <c:v>50.6</c:v>
                </c:pt>
                <c:pt idx="11" formatCode="0.0">
                  <c:v>49.2</c:v>
                </c:pt>
                <c:pt idx="12" formatCode="0.0">
                  <c:v>47.4</c:v>
                </c:pt>
                <c:pt idx="13" formatCode="0.0">
                  <c:v>47.6</c:v>
                </c:pt>
                <c:pt idx="14" formatCode="0.0">
                  <c:v>45</c:v>
                </c:pt>
                <c:pt idx="15" formatCode="0.0">
                  <c:v>38.9</c:v>
                </c:pt>
                <c:pt idx="16" formatCode="0.0">
                  <c:v>35.6</c:v>
                </c:pt>
                <c:pt idx="17" formatCode="0.0">
                  <c:v>33.9</c:v>
                </c:pt>
                <c:pt idx="18" formatCode="0.0">
                  <c:v>34.4</c:v>
                </c:pt>
                <c:pt idx="19" formatCode="0.0">
                  <c:v>33.5</c:v>
                </c:pt>
                <c:pt idx="20" formatCode="0.0">
                  <c:v>33.9</c:v>
                </c:pt>
                <c:pt idx="21" formatCode="0.0">
                  <c:v>36.799999999999997</c:v>
                </c:pt>
                <c:pt idx="22" formatCode="0.0">
                  <c:v>40.700000000000003</c:v>
                </c:pt>
                <c:pt idx="23" formatCode="0.0">
                  <c:v>42.6</c:v>
                </c:pt>
                <c:pt idx="24" formatCode="0.0">
                  <c:v>46.3</c:v>
                </c:pt>
                <c:pt idx="25" formatCode="0.0">
                  <c:v>48.2</c:v>
                </c:pt>
                <c:pt idx="26" formatCode="0.0">
                  <c:v>49.3</c:v>
                </c:pt>
                <c:pt idx="27" formatCode="0.0">
                  <c:v>50.7</c:v>
                </c:pt>
                <c:pt idx="28" formatCode="0.0">
                  <c:v>51.2</c:v>
                </c:pt>
                <c:pt idx="29" formatCode="0.0">
                  <c:v>51.6</c:v>
                </c:pt>
                <c:pt idx="30" formatCode="0.0">
                  <c:v>52.4</c:v>
                </c:pt>
                <c:pt idx="31" formatCode="0.0">
                  <c:v>54.2</c:v>
                </c:pt>
                <c:pt idx="32" formatCode="0.0">
                  <c:v>56.6</c:v>
                </c:pt>
                <c:pt idx="33" formatCode="0.0">
                  <c:v>57.6</c:v>
                </c:pt>
                <c:pt idx="34" formatCode="0.0">
                  <c:v>55.8</c:v>
                </c:pt>
                <c:pt idx="35" formatCode="0.0">
                  <c:v>55.6</c:v>
                </c:pt>
                <c:pt idx="36" formatCode="0.0">
                  <c:v>56.7</c:v>
                </c:pt>
                <c:pt idx="37" formatCode="0.0">
                  <c:v>55.1</c:v>
                </c:pt>
                <c:pt idx="38" formatCode="0.0">
                  <c:v>53.7</c:v>
                </c:pt>
                <c:pt idx="39" formatCode="0.0">
                  <c:v>54.6</c:v>
                </c:pt>
                <c:pt idx="40" formatCode="0.0">
                  <c:v>55.3</c:v>
                </c:pt>
                <c:pt idx="41" formatCode="0.0">
                  <c:v>57.1</c:v>
                </c:pt>
                <c:pt idx="42" formatCode="0.0">
                  <c:v>57.3</c:v>
                </c:pt>
                <c:pt idx="43" formatCode="0.0">
                  <c:v>59</c:v>
                </c:pt>
                <c:pt idx="44" formatCode="0.0">
                  <c:v>57.5</c:v>
                </c:pt>
                <c:pt idx="45" formatCode="0.0">
                  <c:v>58</c:v>
                </c:pt>
                <c:pt idx="46" formatCode="0.0">
                  <c:v>54.6</c:v>
                </c:pt>
                <c:pt idx="47" formatCode="0.0">
                  <c:v>52</c:v>
                </c:pt>
                <c:pt idx="48" formatCode="0.0">
                  <c:v>50.4</c:v>
                </c:pt>
                <c:pt idx="49" formatCode="0.0">
                  <c:v>49</c:v>
                </c:pt>
                <c:pt idx="50" formatCode="0.0">
                  <c:v>48.5</c:v>
                </c:pt>
                <c:pt idx="51" formatCode="0.0">
                  <c:v>47.1</c:v>
                </c:pt>
                <c:pt idx="52" formatCode="0.0">
                  <c:v>46.4</c:v>
                </c:pt>
                <c:pt idx="53" formatCode="0.0">
                  <c:v>46.9</c:v>
                </c:pt>
                <c:pt idx="54" formatCode="0.0">
                  <c:v>48.8</c:v>
                </c:pt>
                <c:pt idx="55" formatCode="0.0">
                  <c:v>49</c:v>
                </c:pt>
                <c:pt idx="56" formatCode="0.0">
                  <c:v>47.7</c:v>
                </c:pt>
                <c:pt idx="57" formatCode="0.0">
                  <c:v>45.9</c:v>
                </c:pt>
                <c:pt idx="58" formatCode="0.0">
                  <c:v>45.1</c:v>
                </c:pt>
                <c:pt idx="59" formatCode="0.0">
                  <c:v>45.1</c:v>
                </c:pt>
                <c:pt idx="60" formatCode="0.0">
                  <c:v>44</c:v>
                </c:pt>
                <c:pt idx="61" formatCode="0.0">
                  <c:v>45.1</c:v>
                </c:pt>
                <c:pt idx="62" formatCode="0.0">
                  <c:v>46.1</c:v>
                </c:pt>
                <c:pt idx="63" formatCode="0.0">
                  <c:v>45.4</c:v>
                </c:pt>
                <c:pt idx="64" formatCode="0.0">
                  <c:v>46.2</c:v>
                </c:pt>
                <c:pt idx="65" formatCode="0.0">
                  <c:v>46.1</c:v>
                </c:pt>
                <c:pt idx="66" formatCode="0.0">
                  <c:v>47.9</c:v>
                </c:pt>
                <c:pt idx="67" formatCode="0.0">
                  <c:v>47.9</c:v>
                </c:pt>
                <c:pt idx="68" formatCode="0.0">
                  <c:v>46.8</c:v>
                </c:pt>
                <c:pt idx="69" formatCode="0.0">
                  <c:v>46.7</c:v>
                </c:pt>
                <c:pt idx="70" formatCode="0.0">
                  <c:v>48.3</c:v>
                </c:pt>
                <c:pt idx="71" formatCode="0.0">
                  <c:v>48.8</c:v>
                </c:pt>
                <c:pt idx="72" formatCode="0.0">
                  <c:v>50.3</c:v>
                </c:pt>
                <c:pt idx="73" formatCode="0.0">
                  <c:v>51.4</c:v>
                </c:pt>
                <c:pt idx="74" formatCode="0.0">
                  <c:v>51.1</c:v>
                </c:pt>
                <c:pt idx="75" formatCode="0.0">
                  <c:v>51.3</c:v>
                </c:pt>
                <c:pt idx="76" formatCode="0.0">
                  <c:v>51.6</c:v>
                </c:pt>
                <c:pt idx="77" formatCode="0.0">
                  <c:v>52.7</c:v>
                </c:pt>
                <c:pt idx="78" formatCode="0.0">
                  <c:v>54</c:v>
                </c:pt>
                <c:pt idx="79" formatCode="0.0">
                  <c:v>53.2</c:v>
                </c:pt>
                <c:pt idx="80" formatCode="0.0">
                  <c:v>53</c:v>
                </c:pt>
                <c:pt idx="81" formatCode="0.0">
                  <c:v>54</c:v>
                </c:pt>
                <c:pt idx="82" formatCode="0.0">
                  <c:v>52.2</c:v>
                </c:pt>
                <c:pt idx="83" formatCode="0.0">
                  <c:v>51.8</c:v>
                </c:pt>
                <c:pt idx="84" formatCode="0.0">
                  <c:v>51.8</c:v>
                </c:pt>
                <c:pt idx="85" formatCode="0.0">
                  <c:v>50.7</c:v>
                </c:pt>
                <c:pt idx="86" formatCode="0.0">
                  <c:v>50.3</c:v>
                </c:pt>
                <c:pt idx="87" formatCode="0.0">
                  <c:v>50.6</c:v>
                </c:pt>
                <c:pt idx="88" formatCode="0.0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2-43F7-821F-D60336FB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877696"/>
        <c:axId val="534908928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EZ!$B$33:$B$138</c:f>
              <c:numCache>
                <c:formatCode>General</c:formatCode>
                <c:ptCount val="106"/>
                <c:pt idx="0">
                  <c:v>55.6</c:v>
                </c:pt>
                <c:pt idx="1">
                  <c:v>54.3</c:v>
                </c:pt>
                <c:pt idx="2">
                  <c:v>53.2</c:v>
                </c:pt>
                <c:pt idx="3">
                  <c:v>51.5</c:v>
                </c:pt>
                <c:pt idx="4">
                  <c:v>52.8</c:v>
                </c:pt>
                <c:pt idx="5">
                  <c:v>52.6</c:v>
                </c:pt>
                <c:pt idx="6">
                  <c:v>52.8</c:v>
                </c:pt>
                <c:pt idx="7" formatCode="0.0">
                  <c:v>52.3</c:v>
                </c:pt>
                <c:pt idx="8" formatCode="0.0">
                  <c:v>52</c:v>
                </c:pt>
                <c:pt idx="9" formatCode="0.0">
                  <c:v>50.7</c:v>
                </c:pt>
                <c:pt idx="10" formatCode="0.0">
                  <c:v>50.6</c:v>
                </c:pt>
                <c:pt idx="11" formatCode="0.0">
                  <c:v>49.2</c:v>
                </c:pt>
                <c:pt idx="12" formatCode="0.0">
                  <c:v>47.4</c:v>
                </c:pt>
                <c:pt idx="13" formatCode="0.0">
                  <c:v>47.6</c:v>
                </c:pt>
                <c:pt idx="14" formatCode="0.0">
                  <c:v>45</c:v>
                </c:pt>
                <c:pt idx="15" formatCode="0.0">
                  <c:v>38.9</c:v>
                </c:pt>
                <c:pt idx="16" formatCode="0.0">
                  <c:v>35.6</c:v>
                </c:pt>
                <c:pt idx="17" formatCode="0.0">
                  <c:v>33.9</c:v>
                </c:pt>
                <c:pt idx="18" formatCode="0.0">
                  <c:v>34.4</c:v>
                </c:pt>
                <c:pt idx="19" formatCode="0.0">
                  <c:v>33.5</c:v>
                </c:pt>
                <c:pt idx="20" formatCode="0.0">
                  <c:v>33.9</c:v>
                </c:pt>
                <c:pt idx="21" formatCode="0.0">
                  <c:v>36.799999999999997</c:v>
                </c:pt>
                <c:pt idx="22" formatCode="0.0">
                  <c:v>40.700000000000003</c:v>
                </c:pt>
                <c:pt idx="23" formatCode="0.0">
                  <c:v>42.6</c:v>
                </c:pt>
                <c:pt idx="24" formatCode="0.0">
                  <c:v>46.3</c:v>
                </c:pt>
                <c:pt idx="25" formatCode="0.0">
                  <c:v>48.2</c:v>
                </c:pt>
                <c:pt idx="26" formatCode="0.0">
                  <c:v>49.3</c:v>
                </c:pt>
                <c:pt idx="27" formatCode="0.0">
                  <c:v>50.7</c:v>
                </c:pt>
                <c:pt idx="28" formatCode="0.0">
                  <c:v>51.2</c:v>
                </c:pt>
                <c:pt idx="29" formatCode="0.0">
                  <c:v>51.6</c:v>
                </c:pt>
                <c:pt idx="30" formatCode="0.0">
                  <c:v>52.4</c:v>
                </c:pt>
                <c:pt idx="31" formatCode="0.0">
                  <c:v>54.2</c:v>
                </c:pt>
                <c:pt idx="32" formatCode="0.0">
                  <c:v>56.6</c:v>
                </c:pt>
                <c:pt idx="33" formatCode="0.0">
                  <c:v>57.6</c:v>
                </c:pt>
                <c:pt idx="34" formatCode="0.0">
                  <c:v>55.8</c:v>
                </c:pt>
                <c:pt idx="35" formatCode="0.0">
                  <c:v>55.6</c:v>
                </c:pt>
                <c:pt idx="36" formatCode="0.0">
                  <c:v>56.7</c:v>
                </c:pt>
                <c:pt idx="37" formatCode="0.0">
                  <c:v>55.1</c:v>
                </c:pt>
                <c:pt idx="38" formatCode="0.0">
                  <c:v>53.7</c:v>
                </c:pt>
                <c:pt idx="39" formatCode="0.0">
                  <c:v>54.6</c:v>
                </c:pt>
                <c:pt idx="40" formatCode="0.0">
                  <c:v>55.3</c:v>
                </c:pt>
                <c:pt idx="41" formatCode="0.0">
                  <c:v>57.1</c:v>
                </c:pt>
                <c:pt idx="42" formatCode="0.0">
                  <c:v>57.3</c:v>
                </c:pt>
                <c:pt idx="43" formatCode="0.0">
                  <c:v>59</c:v>
                </c:pt>
                <c:pt idx="44" formatCode="0.0">
                  <c:v>57.5</c:v>
                </c:pt>
                <c:pt idx="45" formatCode="0.0">
                  <c:v>58</c:v>
                </c:pt>
                <c:pt idx="46" formatCode="0.0">
                  <c:v>54.6</c:v>
                </c:pt>
                <c:pt idx="47" formatCode="0.0">
                  <c:v>52</c:v>
                </c:pt>
                <c:pt idx="48" formatCode="0.0">
                  <c:v>50.4</c:v>
                </c:pt>
                <c:pt idx="49" formatCode="0.0">
                  <c:v>49</c:v>
                </c:pt>
                <c:pt idx="50" formatCode="0.0">
                  <c:v>48.5</c:v>
                </c:pt>
                <c:pt idx="51" formatCode="0.0">
                  <c:v>47.1</c:v>
                </c:pt>
                <c:pt idx="52" formatCode="0.0">
                  <c:v>46.4</c:v>
                </c:pt>
                <c:pt idx="53" formatCode="0.0">
                  <c:v>46.9</c:v>
                </c:pt>
                <c:pt idx="54" formatCode="0.0">
                  <c:v>48.8</c:v>
                </c:pt>
                <c:pt idx="55" formatCode="0.0">
                  <c:v>49</c:v>
                </c:pt>
                <c:pt idx="56" formatCode="0.0">
                  <c:v>47.7</c:v>
                </c:pt>
                <c:pt idx="57" formatCode="0.0">
                  <c:v>45.9</c:v>
                </c:pt>
                <c:pt idx="58" formatCode="0.0">
                  <c:v>45.1</c:v>
                </c:pt>
                <c:pt idx="59" formatCode="0.0">
                  <c:v>45.1</c:v>
                </c:pt>
                <c:pt idx="60" formatCode="0.0">
                  <c:v>44</c:v>
                </c:pt>
                <c:pt idx="61" formatCode="0.0">
                  <c:v>45.1</c:v>
                </c:pt>
                <c:pt idx="62" formatCode="0.0">
                  <c:v>46.1</c:v>
                </c:pt>
                <c:pt idx="63" formatCode="0.0">
                  <c:v>45.4</c:v>
                </c:pt>
                <c:pt idx="64" formatCode="0.0">
                  <c:v>46.2</c:v>
                </c:pt>
                <c:pt idx="65" formatCode="0.0">
                  <c:v>46.1</c:v>
                </c:pt>
                <c:pt idx="66" formatCode="0.0">
                  <c:v>47.9</c:v>
                </c:pt>
                <c:pt idx="67" formatCode="0.0">
                  <c:v>47.9</c:v>
                </c:pt>
                <c:pt idx="68" formatCode="0.0">
                  <c:v>46.8</c:v>
                </c:pt>
                <c:pt idx="69" formatCode="0.0">
                  <c:v>46.7</c:v>
                </c:pt>
                <c:pt idx="70" formatCode="0.0">
                  <c:v>48.3</c:v>
                </c:pt>
                <c:pt idx="71" formatCode="0.0">
                  <c:v>48.8</c:v>
                </c:pt>
                <c:pt idx="72" formatCode="0.0">
                  <c:v>50.3</c:v>
                </c:pt>
                <c:pt idx="73" formatCode="0.0">
                  <c:v>51.4</c:v>
                </c:pt>
                <c:pt idx="74" formatCode="0.0">
                  <c:v>51.1</c:v>
                </c:pt>
                <c:pt idx="75" formatCode="0.0">
                  <c:v>51.3</c:v>
                </c:pt>
                <c:pt idx="76" formatCode="0.0">
                  <c:v>51.6</c:v>
                </c:pt>
                <c:pt idx="77" formatCode="0.0">
                  <c:v>52.7</c:v>
                </c:pt>
                <c:pt idx="78" formatCode="0.0">
                  <c:v>54</c:v>
                </c:pt>
                <c:pt idx="79" formatCode="0.0">
                  <c:v>53.2</c:v>
                </c:pt>
                <c:pt idx="80" formatCode="0.0">
                  <c:v>53</c:v>
                </c:pt>
                <c:pt idx="81" formatCode="0.0">
                  <c:v>54</c:v>
                </c:pt>
                <c:pt idx="82" formatCode="0.0">
                  <c:v>52.2</c:v>
                </c:pt>
                <c:pt idx="83" formatCode="0.0">
                  <c:v>51.8</c:v>
                </c:pt>
                <c:pt idx="84" formatCode="0.0">
                  <c:v>51.8</c:v>
                </c:pt>
                <c:pt idx="85" formatCode="0.0">
                  <c:v>50.7</c:v>
                </c:pt>
                <c:pt idx="86" formatCode="0.0">
                  <c:v>50.3</c:v>
                </c:pt>
                <c:pt idx="87" formatCode="0.0">
                  <c:v>50.6</c:v>
                </c:pt>
                <c:pt idx="88" formatCode="0.0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2-43F7-821F-D60336FB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877696"/>
        <c:axId val="534908928"/>
      </c:lineChart>
      <c:dateAx>
        <c:axId val="53487769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908928"/>
        <c:crossesAt val="50"/>
        <c:auto val="1"/>
        <c:lblOffset val="100"/>
        <c:baseTimeUnit val="months"/>
        <c:majorUnit val="1"/>
        <c:majorTimeUnit val="years"/>
      </c:dateAx>
      <c:valAx>
        <c:axId val="534908928"/>
        <c:scaling>
          <c:orientation val="minMax"/>
          <c:max val="65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#,##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877696"/>
        <c:crosses val="autoZero"/>
        <c:crossBetween val="between"/>
        <c:majorUnit val="7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53E-2"/>
          <c:y val="0.13663060292737222"/>
          <c:w val="0.17144935767426805"/>
          <c:h val="7.3404288822653735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Euro Area vs UK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EZ!$B$32</c:f>
              <c:strCache>
                <c:ptCount val="1"/>
                <c:pt idx="0">
                  <c:v>Euro Area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EZ!$A$40:$A$138</c:f>
              <c:numCache>
                <c:formatCode>[$-409]mmm\-yy;@</c:formatCode>
                <c:ptCount val="99"/>
                <c:pt idx="0">
                  <c:v>39479</c:v>
                </c:pt>
                <c:pt idx="1">
                  <c:v>39508</c:v>
                </c:pt>
                <c:pt idx="2">
                  <c:v>39539</c:v>
                </c:pt>
                <c:pt idx="3">
                  <c:v>39569</c:v>
                </c:pt>
                <c:pt idx="4">
                  <c:v>39600</c:v>
                </c:pt>
                <c:pt idx="5">
                  <c:v>39630</c:v>
                </c:pt>
                <c:pt idx="6">
                  <c:v>39661</c:v>
                </c:pt>
                <c:pt idx="7">
                  <c:v>39692</c:v>
                </c:pt>
                <c:pt idx="8">
                  <c:v>39722</c:v>
                </c:pt>
                <c:pt idx="9">
                  <c:v>39753</c:v>
                </c:pt>
                <c:pt idx="10">
                  <c:v>39783</c:v>
                </c:pt>
                <c:pt idx="11">
                  <c:v>39814</c:v>
                </c:pt>
                <c:pt idx="12">
                  <c:v>39845</c:v>
                </c:pt>
                <c:pt idx="13">
                  <c:v>39873</c:v>
                </c:pt>
                <c:pt idx="14">
                  <c:v>39904</c:v>
                </c:pt>
                <c:pt idx="15">
                  <c:v>39934</c:v>
                </c:pt>
                <c:pt idx="16">
                  <c:v>39965</c:v>
                </c:pt>
                <c:pt idx="17">
                  <c:v>39995</c:v>
                </c:pt>
                <c:pt idx="18">
                  <c:v>40026</c:v>
                </c:pt>
                <c:pt idx="19">
                  <c:v>40057</c:v>
                </c:pt>
                <c:pt idx="20">
                  <c:v>40087</c:v>
                </c:pt>
                <c:pt idx="21">
                  <c:v>40118</c:v>
                </c:pt>
                <c:pt idx="22">
                  <c:v>40148</c:v>
                </c:pt>
                <c:pt idx="23">
                  <c:v>40179</c:v>
                </c:pt>
                <c:pt idx="24">
                  <c:v>40210</c:v>
                </c:pt>
                <c:pt idx="25">
                  <c:v>40238</c:v>
                </c:pt>
                <c:pt idx="26">
                  <c:v>40269</c:v>
                </c:pt>
                <c:pt idx="27">
                  <c:v>40299</c:v>
                </c:pt>
                <c:pt idx="28">
                  <c:v>40330</c:v>
                </c:pt>
                <c:pt idx="29">
                  <c:v>40360</c:v>
                </c:pt>
                <c:pt idx="30">
                  <c:v>40391</c:v>
                </c:pt>
                <c:pt idx="31">
                  <c:v>40422</c:v>
                </c:pt>
                <c:pt idx="32">
                  <c:v>40452</c:v>
                </c:pt>
                <c:pt idx="33">
                  <c:v>40483</c:v>
                </c:pt>
                <c:pt idx="34">
                  <c:v>40513</c:v>
                </c:pt>
                <c:pt idx="35">
                  <c:v>40544</c:v>
                </c:pt>
                <c:pt idx="36">
                  <c:v>40575</c:v>
                </c:pt>
                <c:pt idx="37">
                  <c:v>40603</c:v>
                </c:pt>
                <c:pt idx="38">
                  <c:v>40634</c:v>
                </c:pt>
                <c:pt idx="39">
                  <c:v>40664</c:v>
                </c:pt>
                <c:pt idx="40">
                  <c:v>40695</c:v>
                </c:pt>
                <c:pt idx="41">
                  <c:v>40725</c:v>
                </c:pt>
                <c:pt idx="42">
                  <c:v>40756</c:v>
                </c:pt>
                <c:pt idx="43">
                  <c:v>40787</c:v>
                </c:pt>
                <c:pt idx="44">
                  <c:v>40817</c:v>
                </c:pt>
                <c:pt idx="45">
                  <c:v>40848</c:v>
                </c:pt>
                <c:pt idx="46">
                  <c:v>40878</c:v>
                </c:pt>
                <c:pt idx="47">
                  <c:v>40909</c:v>
                </c:pt>
                <c:pt idx="48">
                  <c:v>40940</c:v>
                </c:pt>
                <c:pt idx="49">
                  <c:v>40969</c:v>
                </c:pt>
                <c:pt idx="50">
                  <c:v>41000</c:v>
                </c:pt>
                <c:pt idx="51">
                  <c:v>41030</c:v>
                </c:pt>
                <c:pt idx="52">
                  <c:v>41061</c:v>
                </c:pt>
                <c:pt idx="53">
                  <c:v>41091</c:v>
                </c:pt>
                <c:pt idx="54">
                  <c:v>41122</c:v>
                </c:pt>
                <c:pt idx="55">
                  <c:v>41153</c:v>
                </c:pt>
                <c:pt idx="56">
                  <c:v>41183</c:v>
                </c:pt>
                <c:pt idx="57">
                  <c:v>41214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41487</c:v>
                </c:pt>
                <c:pt idx="67">
                  <c:v>41518</c:v>
                </c:pt>
                <c:pt idx="68">
                  <c:v>41548</c:v>
                </c:pt>
                <c:pt idx="69">
                  <c:v>41579</c:v>
                </c:pt>
                <c:pt idx="70">
                  <c:v>41609</c:v>
                </c:pt>
                <c:pt idx="71">
                  <c:v>41640</c:v>
                </c:pt>
                <c:pt idx="72">
                  <c:v>41671</c:v>
                </c:pt>
                <c:pt idx="73">
                  <c:v>41699</c:v>
                </c:pt>
                <c:pt idx="74">
                  <c:v>41730</c:v>
                </c:pt>
                <c:pt idx="75">
                  <c:v>41760</c:v>
                </c:pt>
                <c:pt idx="76">
                  <c:v>41791</c:v>
                </c:pt>
                <c:pt idx="77">
                  <c:v>41821</c:v>
                </c:pt>
                <c:pt idx="78">
                  <c:v>41852</c:v>
                </c:pt>
                <c:pt idx="79">
                  <c:v>41883</c:v>
                </c:pt>
                <c:pt idx="80">
                  <c:v>41913</c:v>
                </c:pt>
                <c:pt idx="81">
                  <c:v>41944</c:v>
                </c:pt>
                <c:pt idx="82">
                  <c:v>41974</c:v>
                </c:pt>
                <c:pt idx="83">
                  <c:v>42005</c:v>
                </c:pt>
                <c:pt idx="84">
                  <c:v>42036</c:v>
                </c:pt>
                <c:pt idx="85">
                  <c:v>42064</c:v>
                </c:pt>
                <c:pt idx="86">
                  <c:v>42095</c:v>
                </c:pt>
                <c:pt idx="87">
                  <c:v>42125</c:v>
                </c:pt>
                <c:pt idx="88">
                  <c:v>42156</c:v>
                </c:pt>
                <c:pt idx="89">
                  <c:v>42186</c:v>
                </c:pt>
                <c:pt idx="90">
                  <c:v>42217</c:v>
                </c:pt>
                <c:pt idx="91">
                  <c:v>42248</c:v>
                </c:pt>
                <c:pt idx="92">
                  <c:v>42278</c:v>
                </c:pt>
                <c:pt idx="93">
                  <c:v>42309</c:v>
                </c:pt>
                <c:pt idx="94">
                  <c:v>42339</c:v>
                </c:pt>
                <c:pt idx="95">
                  <c:v>42370</c:v>
                </c:pt>
                <c:pt idx="96">
                  <c:v>42401</c:v>
                </c:pt>
                <c:pt idx="97">
                  <c:v>42430</c:v>
                </c:pt>
                <c:pt idx="98">
                  <c:v>42461</c:v>
                </c:pt>
              </c:numCache>
            </c:numRef>
          </c:cat>
          <c:val>
            <c:numRef>
              <c:f>EZ!$B$40:$B$138</c:f>
              <c:numCache>
                <c:formatCode>0.0</c:formatCode>
                <c:ptCount val="99"/>
                <c:pt idx="0">
                  <c:v>52.3</c:v>
                </c:pt>
                <c:pt idx="1">
                  <c:v>52</c:v>
                </c:pt>
                <c:pt idx="2">
                  <c:v>50.7</c:v>
                </c:pt>
                <c:pt idx="3">
                  <c:v>50.6</c:v>
                </c:pt>
                <c:pt idx="4">
                  <c:v>49.2</c:v>
                </c:pt>
                <c:pt idx="5">
                  <c:v>47.4</c:v>
                </c:pt>
                <c:pt idx="6">
                  <c:v>47.6</c:v>
                </c:pt>
                <c:pt idx="7">
                  <c:v>45</c:v>
                </c:pt>
                <c:pt idx="8">
                  <c:v>38.9</c:v>
                </c:pt>
                <c:pt idx="9">
                  <c:v>35.6</c:v>
                </c:pt>
                <c:pt idx="10">
                  <c:v>33.9</c:v>
                </c:pt>
                <c:pt idx="11">
                  <c:v>34.4</c:v>
                </c:pt>
                <c:pt idx="12">
                  <c:v>33.5</c:v>
                </c:pt>
                <c:pt idx="13">
                  <c:v>33.9</c:v>
                </c:pt>
                <c:pt idx="14">
                  <c:v>36.799999999999997</c:v>
                </c:pt>
                <c:pt idx="15">
                  <c:v>40.700000000000003</c:v>
                </c:pt>
                <c:pt idx="16">
                  <c:v>42.6</c:v>
                </c:pt>
                <c:pt idx="17">
                  <c:v>46.3</c:v>
                </c:pt>
                <c:pt idx="18">
                  <c:v>48.2</c:v>
                </c:pt>
                <c:pt idx="19">
                  <c:v>49.3</c:v>
                </c:pt>
                <c:pt idx="20">
                  <c:v>50.7</c:v>
                </c:pt>
                <c:pt idx="21">
                  <c:v>51.2</c:v>
                </c:pt>
                <c:pt idx="22">
                  <c:v>51.6</c:v>
                </c:pt>
                <c:pt idx="23">
                  <c:v>52.4</c:v>
                </c:pt>
                <c:pt idx="24">
                  <c:v>54.2</c:v>
                </c:pt>
                <c:pt idx="25">
                  <c:v>56.6</c:v>
                </c:pt>
                <c:pt idx="26">
                  <c:v>57.6</c:v>
                </c:pt>
                <c:pt idx="27">
                  <c:v>55.8</c:v>
                </c:pt>
                <c:pt idx="28">
                  <c:v>55.6</c:v>
                </c:pt>
                <c:pt idx="29">
                  <c:v>56.7</c:v>
                </c:pt>
                <c:pt idx="30">
                  <c:v>55.1</c:v>
                </c:pt>
                <c:pt idx="31">
                  <c:v>53.7</c:v>
                </c:pt>
                <c:pt idx="32">
                  <c:v>54.6</c:v>
                </c:pt>
                <c:pt idx="33">
                  <c:v>55.3</c:v>
                </c:pt>
                <c:pt idx="34">
                  <c:v>57.1</c:v>
                </c:pt>
                <c:pt idx="35">
                  <c:v>57.3</c:v>
                </c:pt>
                <c:pt idx="36">
                  <c:v>59</c:v>
                </c:pt>
                <c:pt idx="37">
                  <c:v>57.5</c:v>
                </c:pt>
                <c:pt idx="38">
                  <c:v>58</c:v>
                </c:pt>
                <c:pt idx="39">
                  <c:v>54.6</c:v>
                </c:pt>
                <c:pt idx="40">
                  <c:v>52</c:v>
                </c:pt>
                <c:pt idx="41">
                  <c:v>50.4</c:v>
                </c:pt>
                <c:pt idx="42">
                  <c:v>49</c:v>
                </c:pt>
                <c:pt idx="43">
                  <c:v>48.5</c:v>
                </c:pt>
                <c:pt idx="44">
                  <c:v>47.1</c:v>
                </c:pt>
                <c:pt idx="45">
                  <c:v>46.4</c:v>
                </c:pt>
                <c:pt idx="46">
                  <c:v>46.9</c:v>
                </c:pt>
                <c:pt idx="47">
                  <c:v>48.8</c:v>
                </c:pt>
                <c:pt idx="48">
                  <c:v>49</c:v>
                </c:pt>
                <c:pt idx="49">
                  <c:v>47.7</c:v>
                </c:pt>
                <c:pt idx="50">
                  <c:v>45.9</c:v>
                </c:pt>
                <c:pt idx="51">
                  <c:v>45.1</c:v>
                </c:pt>
                <c:pt idx="52">
                  <c:v>45.1</c:v>
                </c:pt>
                <c:pt idx="53">
                  <c:v>44</c:v>
                </c:pt>
                <c:pt idx="54">
                  <c:v>45.1</c:v>
                </c:pt>
                <c:pt idx="55">
                  <c:v>46.1</c:v>
                </c:pt>
                <c:pt idx="56">
                  <c:v>45.4</c:v>
                </c:pt>
                <c:pt idx="57">
                  <c:v>46.2</c:v>
                </c:pt>
                <c:pt idx="58">
                  <c:v>46.1</c:v>
                </c:pt>
                <c:pt idx="59">
                  <c:v>47.9</c:v>
                </c:pt>
                <c:pt idx="60">
                  <c:v>47.9</c:v>
                </c:pt>
                <c:pt idx="61">
                  <c:v>46.8</c:v>
                </c:pt>
                <c:pt idx="62">
                  <c:v>46.7</c:v>
                </c:pt>
                <c:pt idx="63">
                  <c:v>48.3</c:v>
                </c:pt>
                <c:pt idx="64">
                  <c:v>48.8</c:v>
                </c:pt>
                <c:pt idx="65">
                  <c:v>50.3</c:v>
                </c:pt>
                <c:pt idx="66">
                  <c:v>51.4</c:v>
                </c:pt>
                <c:pt idx="67">
                  <c:v>51.1</c:v>
                </c:pt>
                <c:pt idx="68">
                  <c:v>51.3</c:v>
                </c:pt>
                <c:pt idx="69">
                  <c:v>51.6</c:v>
                </c:pt>
                <c:pt idx="70">
                  <c:v>52.7</c:v>
                </c:pt>
                <c:pt idx="71">
                  <c:v>54</c:v>
                </c:pt>
                <c:pt idx="72">
                  <c:v>53.2</c:v>
                </c:pt>
                <c:pt idx="73">
                  <c:v>53</c:v>
                </c:pt>
                <c:pt idx="74">
                  <c:v>54</c:v>
                </c:pt>
                <c:pt idx="75">
                  <c:v>52.2</c:v>
                </c:pt>
                <c:pt idx="76">
                  <c:v>51.8</c:v>
                </c:pt>
                <c:pt idx="77">
                  <c:v>51.8</c:v>
                </c:pt>
                <c:pt idx="78">
                  <c:v>50.7</c:v>
                </c:pt>
                <c:pt idx="79">
                  <c:v>50.3</c:v>
                </c:pt>
                <c:pt idx="80">
                  <c:v>50.6</c:v>
                </c:pt>
                <c:pt idx="81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E-426C-89C5-215740F9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017728"/>
        <c:axId val="535023616"/>
      </c:areaChart>
      <c:barChart>
        <c:barDir val="col"/>
        <c:grouping val="clustered"/>
        <c:varyColors val="0"/>
        <c:ser>
          <c:idx val="2"/>
          <c:order val="2"/>
          <c:tx>
            <c:strRef>
              <c:f>UK!$B$1</c:f>
              <c:strCache>
                <c:ptCount val="1"/>
                <c:pt idx="0">
                  <c:v>UK PMI</c:v>
                </c:pt>
              </c:strCache>
            </c:strRef>
          </c:tx>
          <c:spPr>
            <a:solidFill>
              <a:srgbClr val="FF0000"/>
            </a:solidFill>
            <a:ln w="19050">
              <a:noFill/>
            </a:ln>
          </c:spPr>
          <c:invertIfNegative val="0"/>
          <c:val>
            <c:numRef>
              <c:f>UK!$B$40:$B$200</c:f>
              <c:numCache>
                <c:formatCode>0.0</c:formatCode>
                <c:ptCount val="161"/>
                <c:pt idx="0">
                  <c:v>51.3</c:v>
                </c:pt>
                <c:pt idx="1">
                  <c:v>51.3</c:v>
                </c:pt>
                <c:pt idx="2">
                  <c:v>51</c:v>
                </c:pt>
                <c:pt idx="3">
                  <c:v>50</c:v>
                </c:pt>
                <c:pt idx="4">
                  <c:v>45.8</c:v>
                </c:pt>
                <c:pt idx="5">
                  <c:v>44.3</c:v>
                </c:pt>
                <c:pt idx="6">
                  <c:v>45.9</c:v>
                </c:pt>
                <c:pt idx="7">
                  <c:v>41</c:v>
                </c:pt>
                <c:pt idx="8">
                  <c:v>41.5</c:v>
                </c:pt>
                <c:pt idx="9">
                  <c:v>34.4</c:v>
                </c:pt>
                <c:pt idx="10">
                  <c:v>34.9</c:v>
                </c:pt>
                <c:pt idx="11">
                  <c:v>35.799999999999997</c:v>
                </c:pt>
                <c:pt idx="12">
                  <c:v>34.700000000000003</c:v>
                </c:pt>
                <c:pt idx="13">
                  <c:v>39.1</c:v>
                </c:pt>
                <c:pt idx="14">
                  <c:v>42.9</c:v>
                </c:pt>
                <c:pt idx="15">
                  <c:v>45.4</c:v>
                </c:pt>
                <c:pt idx="16">
                  <c:v>47</c:v>
                </c:pt>
                <c:pt idx="17">
                  <c:v>50.8</c:v>
                </c:pt>
                <c:pt idx="18">
                  <c:v>49.7</c:v>
                </c:pt>
                <c:pt idx="19">
                  <c:v>49.5</c:v>
                </c:pt>
                <c:pt idx="20">
                  <c:v>53.7</c:v>
                </c:pt>
                <c:pt idx="21">
                  <c:v>51.8</c:v>
                </c:pt>
                <c:pt idx="22">
                  <c:v>54.1</c:v>
                </c:pt>
                <c:pt idx="23">
                  <c:v>56.7</c:v>
                </c:pt>
                <c:pt idx="24">
                  <c:v>56.6</c:v>
                </c:pt>
                <c:pt idx="25">
                  <c:v>57.2</c:v>
                </c:pt>
                <c:pt idx="26">
                  <c:v>58</c:v>
                </c:pt>
                <c:pt idx="27">
                  <c:v>58</c:v>
                </c:pt>
                <c:pt idx="28">
                  <c:v>57.5</c:v>
                </c:pt>
                <c:pt idx="29">
                  <c:v>57.3</c:v>
                </c:pt>
                <c:pt idx="30">
                  <c:v>54.3</c:v>
                </c:pt>
                <c:pt idx="31">
                  <c:v>53.4</c:v>
                </c:pt>
                <c:pt idx="32">
                  <c:v>54.9</c:v>
                </c:pt>
                <c:pt idx="33">
                  <c:v>58</c:v>
                </c:pt>
                <c:pt idx="34">
                  <c:v>58.3</c:v>
                </c:pt>
                <c:pt idx="35">
                  <c:v>62</c:v>
                </c:pt>
                <c:pt idx="36">
                  <c:v>64.5</c:v>
                </c:pt>
                <c:pt idx="37">
                  <c:v>57.1</c:v>
                </c:pt>
                <c:pt idx="38">
                  <c:v>54.6</c:v>
                </c:pt>
                <c:pt idx="39">
                  <c:v>52.1</c:v>
                </c:pt>
                <c:pt idx="40">
                  <c:v>51.3</c:v>
                </c:pt>
                <c:pt idx="41">
                  <c:v>49.1</c:v>
                </c:pt>
                <c:pt idx="42">
                  <c:v>49</c:v>
                </c:pt>
                <c:pt idx="43">
                  <c:v>51.1</c:v>
                </c:pt>
                <c:pt idx="44">
                  <c:v>47.4</c:v>
                </c:pt>
                <c:pt idx="45">
                  <c:v>47.6</c:v>
                </c:pt>
                <c:pt idx="46">
                  <c:v>49.6</c:v>
                </c:pt>
                <c:pt idx="47">
                  <c:v>50.8</c:v>
                </c:pt>
                <c:pt idx="48">
                  <c:v>51.1</c:v>
                </c:pt>
                <c:pt idx="49">
                  <c:v>52</c:v>
                </c:pt>
                <c:pt idx="50">
                  <c:v>50.2</c:v>
                </c:pt>
                <c:pt idx="51">
                  <c:v>46.8</c:v>
                </c:pt>
                <c:pt idx="52">
                  <c:v>48.8</c:v>
                </c:pt>
                <c:pt idx="53">
                  <c:v>45.5</c:v>
                </c:pt>
                <c:pt idx="54">
                  <c:v>49.1</c:v>
                </c:pt>
                <c:pt idx="55">
                  <c:v>48.2</c:v>
                </c:pt>
                <c:pt idx="56">
                  <c:v>48</c:v>
                </c:pt>
                <c:pt idx="57">
                  <c:v>48.4</c:v>
                </c:pt>
                <c:pt idx="58">
                  <c:v>50.7</c:v>
                </c:pt>
                <c:pt idx="59">
                  <c:v>50.9</c:v>
                </c:pt>
                <c:pt idx="60">
                  <c:v>48.2</c:v>
                </c:pt>
                <c:pt idx="61">
                  <c:v>49.3</c:v>
                </c:pt>
                <c:pt idx="62">
                  <c:v>50.6</c:v>
                </c:pt>
                <c:pt idx="63">
                  <c:v>52.1</c:v>
                </c:pt>
                <c:pt idx="64">
                  <c:v>53</c:v>
                </c:pt>
                <c:pt idx="65">
                  <c:v>54.7</c:v>
                </c:pt>
                <c:pt idx="66">
                  <c:v>57.3</c:v>
                </c:pt>
                <c:pt idx="67">
                  <c:v>56.7</c:v>
                </c:pt>
                <c:pt idx="68">
                  <c:v>56.5</c:v>
                </c:pt>
                <c:pt idx="69">
                  <c:v>58.1</c:v>
                </c:pt>
                <c:pt idx="70">
                  <c:v>57.3</c:v>
                </c:pt>
                <c:pt idx="71">
                  <c:v>56.7</c:v>
                </c:pt>
                <c:pt idx="72">
                  <c:v>56.9</c:v>
                </c:pt>
                <c:pt idx="73">
                  <c:v>55.3</c:v>
                </c:pt>
                <c:pt idx="74">
                  <c:v>57.3</c:v>
                </c:pt>
                <c:pt idx="75">
                  <c:v>57</c:v>
                </c:pt>
                <c:pt idx="76">
                  <c:v>57.5</c:v>
                </c:pt>
                <c:pt idx="77">
                  <c:v>55.4</c:v>
                </c:pt>
                <c:pt idx="78">
                  <c:v>52.5</c:v>
                </c:pt>
                <c:pt idx="79">
                  <c:v>51.6</c:v>
                </c:pt>
                <c:pt idx="80">
                  <c:v>53.2</c:v>
                </c:pt>
                <c:pt idx="81">
                  <c:v>53.5</c:v>
                </c:pt>
                <c:pt idx="115">
                  <c:v>53.9</c:v>
                </c:pt>
                <c:pt idx="116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E-426C-89C5-215740F9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35017728"/>
        <c:axId val="535023616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EZ!$B$40:$B$138</c:f>
              <c:numCache>
                <c:formatCode>0.0</c:formatCode>
                <c:ptCount val="99"/>
                <c:pt idx="0">
                  <c:v>52.3</c:v>
                </c:pt>
                <c:pt idx="1">
                  <c:v>52</c:v>
                </c:pt>
                <c:pt idx="2">
                  <c:v>50.7</c:v>
                </c:pt>
                <c:pt idx="3">
                  <c:v>50.6</c:v>
                </c:pt>
                <c:pt idx="4">
                  <c:v>49.2</c:v>
                </c:pt>
                <c:pt idx="5">
                  <c:v>47.4</c:v>
                </c:pt>
                <c:pt idx="6">
                  <c:v>47.6</c:v>
                </c:pt>
                <c:pt idx="7">
                  <c:v>45</c:v>
                </c:pt>
                <c:pt idx="8">
                  <c:v>38.9</c:v>
                </c:pt>
                <c:pt idx="9">
                  <c:v>35.6</c:v>
                </c:pt>
                <c:pt idx="10">
                  <c:v>33.9</c:v>
                </c:pt>
                <c:pt idx="11">
                  <c:v>34.4</c:v>
                </c:pt>
                <c:pt idx="12">
                  <c:v>33.5</c:v>
                </c:pt>
                <c:pt idx="13">
                  <c:v>33.9</c:v>
                </c:pt>
                <c:pt idx="14">
                  <c:v>36.799999999999997</c:v>
                </c:pt>
                <c:pt idx="15">
                  <c:v>40.700000000000003</c:v>
                </c:pt>
                <c:pt idx="16">
                  <c:v>42.6</c:v>
                </c:pt>
                <c:pt idx="17">
                  <c:v>46.3</c:v>
                </c:pt>
                <c:pt idx="18">
                  <c:v>48.2</c:v>
                </c:pt>
                <c:pt idx="19">
                  <c:v>49.3</c:v>
                </c:pt>
                <c:pt idx="20">
                  <c:v>50.7</c:v>
                </c:pt>
                <c:pt idx="21">
                  <c:v>51.2</c:v>
                </c:pt>
                <c:pt idx="22">
                  <c:v>51.6</c:v>
                </c:pt>
                <c:pt idx="23">
                  <c:v>52.4</c:v>
                </c:pt>
                <c:pt idx="24">
                  <c:v>54.2</c:v>
                </c:pt>
                <c:pt idx="25">
                  <c:v>56.6</c:v>
                </c:pt>
                <c:pt idx="26">
                  <c:v>57.6</c:v>
                </c:pt>
                <c:pt idx="27">
                  <c:v>55.8</c:v>
                </c:pt>
                <c:pt idx="28">
                  <c:v>55.6</c:v>
                </c:pt>
                <c:pt idx="29">
                  <c:v>56.7</c:v>
                </c:pt>
                <c:pt idx="30">
                  <c:v>55.1</c:v>
                </c:pt>
                <c:pt idx="31">
                  <c:v>53.7</c:v>
                </c:pt>
                <c:pt idx="32">
                  <c:v>54.6</c:v>
                </c:pt>
                <c:pt idx="33">
                  <c:v>55.3</c:v>
                </c:pt>
                <c:pt idx="34">
                  <c:v>57.1</c:v>
                </c:pt>
                <c:pt idx="35">
                  <c:v>57.3</c:v>
                </c:pt>
                <c:pt idx="36">
                  <c:v>59</c:v>
                </c:pt>
                <c:pt idx="37">
                  <c:v>57.5</c:v>
                </c:pt>
                <c:pt idx="38">
                  <c:v>58</c:v>
                </c:pt>
                <c:pt idx="39">
                  <c:v>54.6</c:v>
                </c:pt>
                <c:pt idx="40">
                  <c:v>52</c:v>
                </c:pt>
                <c:pt idx="41">
                  <c:v>50.4</c:v>
                </c:pt>
                <c:pt idx="42">
                  <c:v>49</c:v>
                </c:pt>
                <c:pt idx="43">
                  <c:v>48.5</c:v>
                </c:pt>
                <c:pt idx="44">
                  <c:v>47.1</c:v>
                </c:pt>
                <c:pt idx="45">
                  <c:v>46.4</c:v>
                </c:pt>
                <c:pt idx="46">
                  <c:v>46.9</c:v>
                </c:pt>
                <c:pt idx="47">
                  <c:v>48.8</c:v>
                </c:pt>
                <c:pt idx="48">
                  <c:v>49</c:v>
                </c:pt>
                <c:pt idx="49">
                  <c:v>47.7</c:v>
                </c:pt>
                <c:pt idx="50">
                  <c:v>45.9</c:v>
                </c:pt>
                <c:pt idx="51">
                  <c:v>45.1</c:v>
                </c:pt>
                <c:pt idx="52">
                  <c:v>45.1</c:v>
                </c:pt>
                <c:pt idx="53">
                  <c:v>44</c:v>
                </c:pt>
                <c:pt idx="54">
                  <c:v>45.1</c:v>
                </c:pt>
                <c:pt idx="55">
                  <c:v>46.1</c:v>
                </c:pt>
                <c:pt idx="56">
                  <c:v>45.4</c:v>
                </c:pt>
                <c:pt idx="57">
                  <c:v>46.2</c:v>
                </c:pt>
                <c:pt idx="58">
                  <c:v>46.1</c:v>
                </c:pt>
                <c:pt idx="59">
                  <c:v>47.9</c:v>
                </c:pt>
                <c:pt idx="60">
                  <c:v>47.9</c:v>
                </c:pt>
                <c:pt idx="61">
                  <c:v>46.8</c:v>
                </c:pt>
                <c:pt idx="62">
                  <c:v>46.7</c:v>
                </c:pt>
                <c:pt idx="63">
                  <c:v>48.3</c:v>
                </c:pt>
                <c:pt idx="64">
                  <c:v>48.8</c:v>
                </c:pt>
                <c:pt idx="65">
                  <c:v>50.3</c:v>
                </c:pt>
                <c:pt idx="66">
                  <c:v>51.4</c:v>
                </c:pt>
                <c:pt idx="67">
                  <c:v>51.1</c:v>
                </c:pt>
                <c:pt idx="68">
                  <c:v>51.3</c:v>
                </c:pt>
                <c:pt idx="69">
                  <c:v>51.6</c:v>
                </c:pt>
                <c:pt idx="70">
                  <c:v>52.7</c:v>
                </c:pt>
                <c:pt idx="71">
                  <c:v>54</c:v>
                </c:pt>
                <c:pt idx="72">
                  <c:v>53.2</c:v>
                </c:pt>
                <c:pt idx="73">
                  <c:v>53</c:v>
                </c:pt>
                <c:pt idx="74">
                  <c:v>54</c:v>
                </c:pt>
                <c:pt idx="75">
                  <c:v>52.2</c:v>
                </c:pt>
                <c:pt idx="76">
                  <c:v>51.8</c:v>
                </c:pt>
                <c:pt idx="77">
                  <c:v>51.8</c:v>
                </c:pt>
                <c:pt idx="78">
                  <c:v>50.7</c:v>
                </c:pt>
                <c:pt idx="79">
                  <c:v>50.3</c:v>
                </c:pt>
                <c:pt idx="80">
                  <c:v>50.6</c:v>
                </c:pt>
                <c:pt idx="81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FE-426C-89C5-215740F9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017728"/>
        <c:axId val="535023616"/>
      </c:lineChart>
      <c:dateAx>
        <c:axId val="53501772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5023616"/>
        <c:crossesAt val="50"/>
        <c:auto val="1"/>
        <c:lblOffset val="100"/>
        <c:baseTimeUnit val="months"/>
        <c:majorUnit val="3"/>
        <c:majorTimeUnit val="months"/>
      </c:dateAx>
      <c:valAx>
        <c:axId val="535023616"/>
        <c:scaling>
          <c:orientation val="minMax"/>
          <c:max val="66"/>
          <c:min val="30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5017728"/>
        <c:crosses val="autoZero"/>
        <c:crossBetween val="between"/>
        <c:majorUnit val="2"/>
      </c:val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234374812737448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Euro Area vs Italy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EZ!$B$32</c:f>
              <c:strCache>
                <c:ptCount val="1"/>
                <c:pt idx="0">
                  <c:v>Euro Area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EZ!$A$40:$A$138</c:f>
              <c:numCache>
                <c:formatCode>[$-409]mmm\-yy;@</c:formatCode>
                <c:ptCount val="99"/>
                <c:pt idx="0">
                  <c:v>39479</c:v>
                </c:pt>
                <c:pt idx="1">
                  <c:v>39508</c:v>
                </c:pt>
                <c:pt idx="2">
                  <c:v>39539</c:v>
                </c:pt>
                <c:pt idx="3">
                  <c:v>39569</c:v>
                </c:pt>
                <c:pt idx="4">
                  <c:v>39600</c:v>
                </c:pt>
                <c:pt idx="5">
                  <c:v>39630</c:v>
                </c:pt>
                <c:pt idx="6">
                  <c:v>39661</c:v>
                </c:pt>
                <c:pt idx="7">
                  <c:v>39692</c:v>
                </c:pt>
                <c:pt idx="8">
                  <c:v>39722</c:v>
                </c:pt>
                <c:pt idx="9">
                  <c:v>39753</c:v>
                </c:pt>
                <c:pt idx="10">
                  <c:v>39783</c:v>
                </c:pt>
                <c:pt idx="11">
                  <c:v>39814</c:v>
                </c:pt>
                <c:pt idx="12">
                  <c:v>39845</c:v>
                </c:pt>
                <c:pt idx="13">
                  <c:v>39873</c:v>
                </c:pt>
                <c:pt idx="14">
                  <c:v>39904</c:v>
                </c:pt>
                <c:pt idx="15">
                  <c:v>39934</c:v>
                </c:pt>
                <c:pt idx="16">
                  <c:v>39965</c:v>
                </c:pt>
                <c:pt idx="17">
                  <c:v>39995</c:v>
                </c:pt>
                <c:pt idx="18">
                  <c:v>40026</c:v>
                </c:pt>
                <c:pt idx="19">
                  <c:v>40057</c:v>
                </c:pt>
                <c:pt idx="20">
                  <c:v>40087</c:v>
                </c:pt>
                <c:pt idx="21">
                  <c:v>40118</c:v>
                </c:pt>
                <c:pt idx="22">
                  <c:v>40148</c:v>
                </c:pt>
                <c:pt idx="23">
                  <c:v>40179</c:v>
                </c:pt>
                <c:pt idx="24">
                  <c:v>40210</c:v>
                </c:pt>
                <c:pt idx="25">
                  <c:v>40238</c:v>
                </c:pt>
                <c:pt idx="26">
                  <c:v>40269</c:v>
                </c:pt>
                <c:pt idx="27">
                  <c:v>40299</c:v>
                </c:pt>
                <c:pt idx="28">
                  <c:v>40330</c:v>
                </c:pt>
                <c:pt idx="29">
                  <c:v>40360</c:v>
                </c:pt>
                <c:pt idx="30">
                  <c:v>40391</c:v>
                </c:pt>
                <c:pt idx="31">
                  <c:v>40422</c:v>
                </c:pt>
                <c:pt idx="32">
                  <c:v>40452</c:v>
                </c:pt>
                <c:pt idx="33">
                  <c:v>40483</c:v>
                </c:pt>
                <c:pt idx="34">
                  <c:v>40513</c:v>
                </c:pt>
                <c:pt idx="35">
                  <c:v>40544</c:v>
                </c:pt>
                <c:pt idx="36">
                  <c:v>40575</c:v>
                </c:pt>
                <c:pt idx="37">
                  <c:v>40603</c:v>
                </c:pt>
                <c:pt idx="38">
                  <c:v>40634</c:v>
                </c:pt>
                <c:pt idx="39">
                  <c:v>40664</c:v>
                </c:pt>
                <c:pt idx="40">
                  <c:v>40695</c:v>
                </c:pt>
                <c:pt idx="41">
                  <c:v>40725</c:v>
                </c:pt>
                <c:pt idx="42">
                  <c:v>40756</c:v>
                </c:pt>
                <c:pt idx="43">
                  <c:v>40787</c:v>
                </c:pt>
                <c:pt idx="44">
                  <c:v>40817</c:v>
                </c:pt>
                <c:pt idx="45">
                  <c:v>40848</c:v>
                </c:pt>
                <c:pt idx="46">
                  <c:v>40878</c:v>
                </c:pt>
                <c:pt idx="47">
                  <c:v>40909</c:v>
                </c:pt>
                <c:pt idx="48">
                  <c:v>40940</c:v>
                </c:pt>
                <c:pt idx="49">
                  <c:v>40969</c:v>
                </c:pt>
                <c:pt idx="50">
                  <c:v>41000</c:v>
                </c:pt>
                <c:pt idx="51">
                  <c:v>41030</c:v>
                </c:pt>
                <c:pt idx="52">
                  <c:v>41061</c:v>
                </c:pt>
                <c:pt idx="53">
                  <c:v>41091</c:v>
                </c:pt>
                <c:pt idx="54">
                  <c:v>41122</c:v>
                </c:pt>
                <c:pt idx="55">
                  <c:v>41153</c:v>
                </c:pt>
                <c:pt idx="56">
                  <c:v>41183</c:v>
                </c:pt>
                <c:pt idx="57">
                  <c:v>41214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41487</c:v>
                </c:pt>
                <c:pt idx="67">
                  <c:v>41518</c:v>
                </c:pt>
                <c:pt idx="68">
                  <c:v>41548</c:v>
                </c:pt>
                <c:pt idx="69">
                  <c:v>41579</c:v>
                </c:pt>
                <c:pt idx="70">
                  <c:v>41609</c:v>
                </c:pt>
                <c:pt idx="71">
                  <c:v>41640</c:v>
                </c:pt>
                <c:pt idx="72">
                  <c:v>41671</c:v>
                </c:pt>
                <c:pt idx="73">
                  <c:v>41699</c:v>
                </c:pt>
                <c:pt idx="74">
                  <c:v>41730</c:v>
                </c:pt>
                <c:pt idx="75">
                  <c:v>41760</c:v>
                </c:pt>
                <c:pt idx="76">
                  <c:v>41791</c:v>
                </c:pt>
                <c:pt idx="77">
                  <c:v>41821</c:v>
                </c:pt>
                <c:pt idx="78">
                  <c:v>41852</c:v>
                </c:pt>
                <c:pt idx="79">
                  <c:v>41883</c:v>
                </c:pt>
                <c:pt idx="80">
                  <c:v>41913</c:v>
                </c:pt>
                <c:pt idx="81">
                  <c:v>41944</c:v>
                </c:pt>
                <c:pt idx="82">
                  <c:v>41974</c:v>
                </c:pt>
                <c:pt idx="83">
                  <c:v>42005</c:v>
                </c:pt>
                <c:pt idx="84">
                  <c:v>42036</c:v>
                </c:pt>
                <c:pt idx="85">
                  <c:v>42064</c:v>
                </c:pt>
                <c:pt idx="86">
                  <c:v>42095</c:v>
                </c:pt>
                <c:pt idx="87">
                  <c:v>42125</c:v>
                </c:pt>
                <c:pt idx="88">
                  <c:v>42156</c:v>
                </c:pt>
                <c:pt idx="89">
                  <c:v>42186</c:v>
                </c:pt>
                <c:pt idx="90">
                  <c:v>42217</c:v>
                </c:pt>
                <c:pt idx="91">
                  <c:v>42248</c:v>
                </c:pt>
                <c:pt idx="92">
                  <c:v>42278</c:v>
                </c:pt>
                <c:pt idx="93">
                  <c:v>42309</c:v>
                </c:pt>
                <c:pt idx="94">
                  <c:v>42339</c:v>
                </c:pt>
                <c:pt idx="95">
                  <c:v>42370</c:v>
                </c:pt>
                <c:pt idx="96">
                  <c:v>42401</c:v>
                </c:pt>
                <c:pt idx="97">
                  <c:v>42430</c:v>
                </c:pt>
                <c:pt idx="98">
                  <c:v>42461</c:v>
                </c:pt>
              </c:numCache>
            </c:numRef>
          </c:cat>
          <c:val>
            <c:numRef>
              <c:f>EZ!$B$40:$B$138</c:f>
              <c:numCache>
                <c:formatCode>0.0</c:formatCode>
                <c:ptCount val="99"/>
                <c:pt idx="0">
                  <c:v>52.3</c:v>
                </c:pt>
                <c:pt idx="1">
                  <c:v>52</c:v>
                </c:pt>
                <c:pt idx="2">
                  <c:v>50.7</c:v>
                </c:pt>
                <c:pt idx="3">
                  <c:v>50.6</c:v>
                </c:pt>
                <c:pt idx="4">
                  <c:v>49.2</c:v>
                </c:pt>
                <c:pt idx="5">
                  <c:v>47.4</c:v>
                </c:pt>
                <c:pt idx="6">
                  <c:v>47.6</c:v>
                </c:pt>
                <c:pt idx="7">
                  <c:v>45</c:v>
                </c:pt>
                <c:pt idx="8">
                  <c:v>38.9</c:v>
                </c:pt>
                <c:pt idx="9">
                  <c:v>35.6</c:v>
                </c:pt>
                <c:pt idx="10">
                  <c:v>33.9</c:v>
                </c:pt>
                <c:pt idx="11">
                  <c:v>34.4</c:v>
                </c:pt>
                <c:pt idx="12">
                  <c:v>33.5</c:v>
                </c:pt>
                <c:pt idx="13">
                  <c:v>33.9</c:v>
                </c:pt>
                <c:pt idx="14">
                  <c:v>36.799999999999997</c:v>
                </c:pt>
                <c:pt idx="15">
                  <c:v>40.700000000000003</c:v>
                </c:pt>
                <c:pt idx="16">
                  <c:v>42.6</c:v>
                </c:pt>
                <c:pt idx="17">
                  <c:v>46.3</c:v>
                </c:pt>
                <c:pt idx="18">
                  <c:v>48.2</c:v>
                </c:pt>
                <c:pt idx="19">
                  <c:v>49.3</c:v>
                </c:pt>
                <c:pt idx="20">
                  <c:v>50.7</c:v>
                </c:pt>
                <c:pt idx="21">
                  <c:v>51.2</c:v>
                </c:pt>
                <c:pt idx="22">
                  <c:v>51.6</c:v>
                </c:pt>
                <c:pt idx="23">
                  <c:v>52.4</c:v>
                </c:pt>
                <c:pt idx="24">
                  <c:v>54.2</c:v>
                </c:pt>
                <c:pt idx="25">
                  <c:v>56.6</c:v>
                </c:pt>
                <c:pt idx="26">
                  <c:v>57.6</c:v>
                </c:pt>
                <c:pt idx="27">
                  <c:v>55.8</c:v>
                </c:pt>
                <c:pt idx="28">
                  <c:v>55.6</c:v>
                </c:pt>
                <c:pt idx="29">
                  <c:v>56.7</c:v>
                </c:pt>
                <c:pt idx="30">
                  <c:v>55.1</c:v>
                </c:pt>
                <c:pt idx="31">
                  <c:v>53.7</c:v>
                </c:pt>
                <c:pt idx="32">
                  <c:v>54.6</c:v>
                </c:pt>
                <c:pt idx="33">
                  <c:v>55.3</c:v>
                </c:pt>
                <c:pt idx="34">
                  <c:v>57.1</c:v>
                </c:pt>
                <c:pt idx="35">
                  <c:v>57.3</c:v>
                </c:pt>
                <c:pt idx="36">
                  <c:v>59</c:v>
                </c:pt>
                <c:pt idx="37">
                  <c:v>57.5</c:v>
                </c:pt>
                <c:pt idx="38">
                  <c:v>58</c:v>
                </c:pt>
                <c:pt idx="39">
                  <c:v>54.6</c:v>
                </c:pt>
                <c:pt idx="40">
                  <c:v>52</c:v>
                </c:pt>
                <c:pt idx="41">
                  <c:v>50.4</c:v>
                </c:pt>
                <c:pt idx="42">
                  <c:v>49</c:v>
                </c:pt>
                <c:pt idx="43">
                  <c:v>48.5</c:v>
                </c:pt>
                <c:pt idx="44">
                  <c:v>47.1</c:v>
                </c:pt>
                <c:pt idx="45">
                  <c:v>46.4</c:v>
                </c:pt>
                <c:pt idx="46">
                  <c:v>46.9</c:v>
                </c:pt>
                <c:pt idx="47">
                  <c:v>48.8</c:v>
                </c:pt>
                <c:pt idx="48">
                  <c:v>49</c:v>
                </c:pt>
                <c:pt idx="49">
                  <c:v>47.7</c:v>
                </c:pt>
                <c:pt idx="50">
                  <c:v>45.9</c:v>
                </c:pt>
                <c:pt idx="51">
                  <c:v>45.1</c:v>
                </c:pt>
                <c:pt idx="52">
                  <c:v>45.1</c:v>
                </c:pt>
                <c:pt idx="53">
                  <c:v>44</c:v>
                </c:pt>
                <c:pt idx="54">
                  <c:v>45.1</c:v>
                </c:pt>
                <c:pt idx="55">
                  <c:v>46.1</c:v>
                </c:pt>
                <c:pt idx="56">
                  <c:v>45.4</c:v>
                </c:pt>
                <c:pt idx="57">
                  <c:v>46.2</c:v>
                </c:pt>
                <c:pt idx="58">
                  <c:v>46.1</c:v>
                </c:pt>
                <c:pt idx="59">
                  <c:v>47.9</c:v>
                </c:pt>
                <c:pt idx="60">
                  <c:v>47.9</c:v>
                </c:pt>
                <c:pt idx="61">
                  <c:v>46.8</c:v>
                </c:pt>
                <c:pt idx="62">
                  <c:v>46.7</c:v>
                </c:pt>
                <c:pt idx="63">
                  <c:v>48.3</c:v>
                </c:pt>
                <c:pt idx="64">
                  <c:v>48.8</c:v>
                </c:pt>
                <c:pt idx="65">
                  <c:v>50.3</c:v>
                </c:pt>
                <c:pt idx="66">
                  <c:v>51.4</c:v>
                </c:pt>
                <c:pt idx="67">
                  <c:v>51.1</c:v>
                </c:pt>
                <c:pt idx="68">
                  <c:v>51.3</c:v>
                </c:pt>
                <c:pt idx="69">
                  <c:v>51.6</c:v>
                </c:pt>
                <c:pt idx="70">
                  <c:v>52.7</c:v>
                </c:pt>
                <c:pt idx="71">
                  <c:v>54</c:v>
                </c:pt>
                <c:pt idx="72">
                  <c:v>53.2</c:v>
                </c:pt>
                <c:pt idx="73">
                  <c:v>53</c:v>
                </c:pt>
                <c:pt idx="74">
                  <c:v>54</c:v>
                </c:pt>
                <c:pt idx="75">
                  <c:v>52.2</c:v>
                </c:pt>
                <c:pt idx="76">
                  <c:v>51.8</c:v>
                </c:pt>
                <c:pt idx="77">
                  <c:v>51.8</c:v>
                </c:pt>
                <c:pt idx="78">
                  <c:v>50.7</c:v>
                </c:pt>
                <c:pt idx="79">
                  <c:v>50.3</c:v>
                </c:pt>
                <c:pt idx="80">
                  <c:v>50.6</c:v>
                </c:pt>
                <c:pt idx="81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D-412D-9D6D-57769728F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304640"/>
        <c:axId val="536331392"/>
      </c:areaChart>
      <c:barChart>
        <c:barDir val="col"/>
        <c:grouping val="clustered"/>
        <c:varyColors val="0"/>
        <c:ser>
          <c:idx val="2"/>
          <c:order val="2"/>
          <c:tx>
            <c:strRef>
              <c:f>IT!$B$25</c:f>
              <c:strCache>
                <c:ptCount val="1"/>
                <c:pt idx="0">
                  <c:v>Italy PMI</c:v>
                </c:pt>
              </c:strCache>
            </c:strRef>
          </c:tx>
          <c:spPr>
            <a:solidFill>
              <a:srgbClr val="FF0000"/>
            </a:solidFill>
            <a:ln w="19050">
              <a:noFill/>
            </a:ln>
          </c:spPr>
          <c:invertIfNegative val="0"/>
          <c:val>
            <c:numRef>
              <c:f>IT!$B$40:$B$124</c:f>
              <c:numCache>
                <c:formatCode>0.0</c:formatCode>
                <c:ptCount val="85"/>
                <c:pt idx="0">
                  <c:v>50.6</c:v>
                </c:pt>
                <c:pt idx="1">
                  <c:v>49.4</c:v>
                </c:pt>
                <c:pt idx="2">
                  <c:v>48.2</c:v>
                </c:pt>
                <c:pt idx="3">
                  <c:v>48</c:v>
                </c:pt>
                <c:pt idx="4">
                  <c:v>46.9</c:v>
                </c:pt>
                <c:pt idx="5">
                  <c:v>45.3</c:v>
                </c:pt>
                <c:pt idx="6">
                  <c:v>47.1</c:v>
                </c:pt>
                <c:pt idx="7">
                  <c:v>44.4</c:v>
                </c:pt>
                <c:pt idx="8">
                  <c:v>39.700000000000003</c:v>
                </c:pt>
                <c:pt idx="9">
                  <c:v>34.9</c:v>
                </c:pt>
                <c:pt idx="10">
                  <c:v>35.5</c:v>
                </c:pt>
                <c:pt idx="11">
                  <c:v>36.1</c:v>
                </c:pt>
                <c:pt idx="12">
                  <c:v>35</c:v>
                </c:pt>
                <c:pt idx="13">
                  <c:v>34.6</c:v>
                </c:pt>
                <c:pt idx="14">
                  <c:v>37.200000000000003</c:v>
                </c:pt>
                <c:pt idx="15">
                  <c:v>41.1</c:v>
                </c:pt>
                <c:pt idx="16">
                  <c:v>42.7</c:v>
                </c:pt>
                <c:pt idx="17">
                  <c:v>45.4</c:v>
                </c:pt>
                <c:pt idx="18">
                  <c:v>44.2</c:v>
                </c:pt>
                <c:pt idx="19">
                  <c:v>47.6</c:v>
                </c:pt>
                <c:pt idx="20">
                  <c:v>49.2</c:v>
                </c:pt>
                <c:pt idx="21">
                  <c:v>50.1</c:v>
                </c:pt>
                <c:pt idx="22">
                  <c:v>50.8</c:v>
                </c:pt>
                <c:pt idx="23">
                  <c:v>51.7</c:v>
                </c:pt>
                <c:pt idx="24">
                  <c:v>51.6</c:v>
                </c:pt>
                <c:pt idx="25">
                  <c:v>53.7</c:v>
                </c:pt>
                <c:pt idx="26">
                  <c:v>54.3</c:v>
                </c:pt>
                <c:pt idx="27">
                  <c:v>54</c:v>
                </c:pt>
                <c:pt idx="28">
                  <c:v>54.3</c:v>
                </c:pt>
                <c:pt idx="29">
                  <c:v>54.4</c:v>
                </c:pt>
                <c:pt idx="30">
                  <c:v>52.8</c:v>
                </c:pt>
                <c:pt idx="31">
                  <c:v>52.6</c:v>
                </c:pt>
                <c:pt idx="32">
                  <c:v>53</c:v>
                </c:pt>
                <c:pt idx="33">
                  <c:v>52</c:v>
                </c:pt>
                <c:pt idx="34">
                  <c:v>54.7</c:v>
                </c:pt>
                <c:pt idx="35">
                  <c:v>56.6</c:v>
                </c:pt>
                <c:pt idx="36">
                  <c:v>59</c:v>
                </c:pt>
                <c:pt idx="37">
                  <c:v>56.2</c:v>
                </c:pt>
                <c:pt idx="38">
                  <c:v>55.5</c:v>
                </c:pt>
                <c:pt idx="39">
                  <c:v>52.8</c:v>
                </c:pt>
                <c:pt idx="40">
                  <c:v>49.9</c:v>
                </c:pt>
                <c:pt idx="41">
                  <c:v>50.1</c:v>
                </c:pt>
                <c:pt idx="42">
                  <c:v>47</c:v>
                </c:pt>
                <c:pt idx="43">
                  <c:v>48.3</c:v>
                </c:pt>
                <c:pt idx="44">
                  <c:v>43.3</c:v>
                </c:pt>
                <c:pt idx="45">
                  <c:v>44</c:v>
                </c:pt>
                <c:pt idx="46">
                  <c:v>44.3</c:v>
                </c:pt>
                <c:pt idx="47">
                  <c:v>46.8</c:v>
                </c:pt>
                <c:pt idx="48">
                  <c:v>47.8</c:v>
                </c:pt>
                <c:pt idx="49">
                  <c:v>47.9</c:v>
                </c:pt>
                <c:pt idx="50">
                  <c:v>43.8</c:v>
                </c:pt>
                <c:pt idx="51">
                  <c:v>44.8</c:v>
                </c:pt>
                <c:pt idx="52">
                  <c:v>44.6</c:v>
                </c:pt>
                <c:pt idx="53">
                  <c:v>44.3</c:v>
                </c:pt>
                <c:pt idx="54">
                  <c:v>43.6</c:v>
                </c:pt>
                <c:pt idx="55">
                  <c:v>45.7</c:v>
                </c:pt>
                <c:pt idx="56">
                  <c:v>45.5</c:v>
                </c:pt>
                <c:pt idx="57">
                  <c:v>45.1</c:v>
                </c:pt>
                <c:pt idx="58">
                  <c:v>46.7</c:v>
                </c:pt>
                <c:pt idx="59">
                  <c:v>47.8</c:v>
                </c:pt>
                <c:pt idx="60">
                  <c:v>45.8</c:v>
                </c:pt>
                <c:pt idx="61">
                  <c:v>44.5</c:v>
                </c:pt>
                <c:pt idx="62">
                  <c:v>45.5</c:v>
                </c:pt>
                <c:pt idx="63">
                  <c:v>47.3</c:v>
                </c:pt>
                <c:pt idx="64">
                  <c:v>49.1</c:v>
                </c:pt>
                <c:pt idx="65">
                  <c:v>50.4</c:v>
                </c:pt>
                <c:pt idx="66">
                  <c:v>51.3</c:v>
                </c:pt>
                <c:pt idx="67">
                  <c:v>50.8</c:v>
                </c:pt>
                <c:pt idx="68">
                  <c:v>50.7</c:v>
                </c:pt>
                <c:pt idx="69">
                  <c:v>51.4</c:v>
                </c:pt>
                <c:pt idx="70">
                  <c:v>53.3</c:v>
                </c:pt>
                <c:pt idx="71">
                  <c:v>53.1</c:v>
                </c:pt>
                <c:pt idx="72">
                  <c:v>52.3</c:v>
                </c:pt>
                <c:pt idx="73">
                  <c:v>52.4</c:v>
                </c:pt>
                <c:pt idx="74">
                  <c:v>54</c:v>
                </c:pt>
                <c:pt idx="75">
                  <c:v>53.2</c:v>
                </c:pt>
                <c:pt idx="76">
                  <c:v>52.6</c:v>
                </c:pt>
                <c:pt idx="77">
                  <c:v>51.9</c:v>
                </c:pt>
                <c:pt idx="78">
                  <c:v>49.8</c:v>
                </c:pt>
                <c:pt idx="79">
                  <c:v>50.7</c:v>
                </c:pt>
                <c:pt idx="80">
                  <c:v>49</c:v>
                </c:pt>
                <c:pt idx="8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D-412D-9D6D-57769728F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36304640"/>
        <c:axId val="536331392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EZ!$B$40:$B$138</c:f>
              <c:numCache>
                <c:formatCode>0.0</c:formatCode>
                <c:ptCount val="99"/>
                <c:pt idx="0">
                  <c:v>52.3</c:v>
                </c:pt>
                <c:pt idx="1">
                  <c:v>52</c:v>
                </c:pt>
                <c:pt idx="2">
                  <c:v>50.7</c:v>
                </c:pt>
                <c:pt idx="3">
                  <c:v>50.6</c:v>
                </c:pt>
                <c:pt idx="4">
                  <c:v>49.2</c:v>
                </c:pt>
                <c:pt idx="5">
                  <c:v>47.4</c:v>
                </c:pt>
                <c:pt idx="6">
                  <c:v>47.6</c:v>
                </c:pt>
                <c:pt idx="7">
                  <c:v>45</c:v>
                </c:pt>
                <c:pt idx="8">
                  <c:v>38.9</c:v>
                </c:pt>
                <c:pt idx="9">
                  <c:v>35.6</c:v>
                </c:pt>
                <c:pt idx="10">
                  <c:v>33.9</c:v>
                </c:pt>
                <c:pt idx="11">
                  <c:v>34.4</c:v>
                </c:pt>
                <c:pt idx="12">
                  <c:v>33.5</c:v>
                </c:pt>
                <c:pt idx="13">
                  <c:v>33.9</c:v>
                </c:pt>
                <c:pt idx="14">
                  <c:v>36.799999999999997</c:v>
                </c:pt>
                <c:pt idx="15">
                  <c:v>40.700000000000003</c:v>
                </c:pt>
                <c:pt idx="16">
                  <c:v>42.6</c:v>
                </c:pt>
                <c:pt idx="17">
                  <c:v>46.3</c:v>
                </c:pt>
                <c:pt idx="18">
                  <c:v>48.2</c:v>
                </c:pt>
                <c:pt idx="19">
                  <c:v>49.3</c:v>
                </c:pt>
                <c:pt idx="20">
                  <c:v>50.7</c:v>
                </c:pt>
                <c:pt idx="21">
                  <c:v>51.2</c:v>
                </c:pt>
                <c:pt idx="22">
                  <c:v>51.6</c:v>
                </c:pt>
                <c:pt idx="23">
                  <c:v>52.4</c:v>
                </c:pt>
                <c:pt idx="24">
                  <c:v>54.2</c:v>
                </c:pt>
                <c:pt idx="25">
                  <c:v>56.6</c:v>
                </c:pt>
                <c:pt idx="26">
                  <c:v>57.6</c:v>
                </c:pt>
                <c:pt idx="27">
                  <c:v>55.8</c:v>
                </c:pt>
                <c:pt idx="28">
                  <c:v>55.6</c:v>
                </c:pt>
                <c:pt idx="29">
                  <c:v>56.7</c:v>
                </c:pt>
                <c:pt idx="30">
                  <c:v>55.1</c:v>
                </c:pt>
                <c:pt idx="31">
                  <c:v>53.7</c:v>
                </c:pt>
                <c:pt idx="32">
                  <c:v>54.6</c:v>
                </c:pt>
                <c:pt idx="33">
                  <c:v>55.3</c:v>
                </c:pt>
                <c:pt idx="34">
                  <c:v>57.1</c:v>
                </c:pt>
                <c:pt idx="35">
                  <c:v>57.3</c:v>
                </c:pt>
                <c:pt idx="36">
                  <c:v>59</c:v>
                </c:pt>
                <c:pt idx="37">
                  <c:v>57.5</c:v>
                </c:pt>
                <c:pt idx="38">
                  <c:v>58</c:v>
                </c:pt>
                <c:pt idx="39">
                  <c:v>54.6</c:v>
                </c:pt>
                <c:pt idx="40">
                  <c:v>52</c:v>
                </c:pt>
                <c:pt idx="41">
                  <c:v>50.4</c:v>
                </c:pt>
                <c:pt idx="42">
                  <c:v>49</c:v>
                </c:pt>
                <c:pt idx="43">
                  <c:v>48.5</c:v>
                </c:pt>
                <c:pt idx="44">
                  <c:v>47.1</c:v>
                </c:pt>
                <c:pt idx="45">
                  <c:v>46.4</c:v>
                </c:pt>
                <c:pt idx="46">
                  <c:v>46.9</c:v>
                </c:pt>
                <c:pt idx="47">
                  <c:v>48.8</c:v>
                </c:pt>
                <c:pt idx="48">
                  <c:v>49</c:v>
                </c:pt>
                <c:pt idx="49">
                  <c:v>47.7</c:v>
                </c:pt>
                <c:pt idx="50">
                  <c:v>45.9</c:v>
                </c:pt>
                <c:pt idx="51">
                  <c:v>45.1</c:v>
                </c:pt>
                <c:pt idx="52">
                  <c:v>45.1</c:v>
                </c:pt>
                <c:pt idx="53">
                  <c:v>44</c:v>
                </c:pt>
                <c:pt idx="54">
                  <c:v>45.1</c:v>
                </c:pt>
                <c:pt idx="55">
                  <c:v>46.1</c:v>
                </c:pt>
                <c:pt idx="56">
                  <c:v>45.4</c:v>
                </c:pt>
                <c:pt idx="57">
                  <c:v>46.2</c:v>
                </c:pt>
                <c:pt idx="58">
                  <c:v>46.1</c:v>
                </c:pt>
                <c:pt idx="59">
                  <c:v>47.9</c:v>
                </c:pt>
                <c:pt idx="60">
                  <c:v>47.9</c:v>
                </c:pt>
                <c:pt idx="61">
                  <c:v>46.8</c:v>
                </c:pt>
                <c:pt idx="62">
                  <c:v>46.7</c:v>
                </c:pt>
                <c:pt idx="63">
                  <c:v>48.3</c:v>
                </c:pt>
                <c:pt idx="64">
                  <c:v>48.8</c:v>
                </c:pt>
                <c:pt idx="65">
                  <c:v>50.3</c:v>
                </c:pt>
                <c:pt idx="66">
                  <c:v>51.4</c:v>
                </c:pt>
                <c:pt idx="67">
                  <c:v>51.1</c:v>
                </c:pt>
                <c:pt idx="68">
                  <c:v>51.3</c:v>
                </c:pt>
                <c:pt idx="69">
                  <c:v>51.6</c:v>
                </c:pt>
                <c:pt idx="70">
                  <c:v>52.7</c:v>
                </c:pt>
                <c:pt idx="71">
                  <c:v>54</c:v>
                </c:pt>
                <c:pt idx="72">
                  <c:v>53.2</c:v>
                </c:pt>
                <c:pt idx="73">
                  <c:v>53</c:v>
                </c:pt>
                <c:pt idx="74">
                  <c:v>54</c:v>
                </c:pt>
                <c:pt idx="75">
                  <c:v>52.2</c:v>
                </c:pt>
                <c:pt idx="76">
                  <c:v>51.8</c:v>
                </c:pt>
                <c:pt idx="77">
                  <c:v>51.8</c:v>
                </c:pt>
                <c:pt idx="78">
                  <c:v>50.7</c:v>
                </c:pt>
                <c:pt idx="79">
                  <c:v>50.3</c:v>
                </c:pt>
                <c:pt idx="80">
                  <c:v>50.6</c:v>
                </c:pt>
                <c:pt idx="81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D-412D-9D6D-57769728F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304640"/>
        <c:axId val="536331392"/>
      </c:lineChart>
      <c:dateAx>
        <c:axId val="5363046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6331392"/>
        <c:crossesAt val="50"/>
        <c:auto val="1"/>
        <c:lblOffset val="100"/>
        <c:baseTimeUnit val="months"/>
        <c:majorUnit val="3"/>
        <c:majorTimeUnit val="months"/>
      </c:dateAx>
      <c:valAx>
        <c:axId val="536331392"/>
        <c:scaling>
          <c:orientation val="minMax"/>
          <c:max val="62"/>
          <c:min val="30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6304640"/>
        <c:crosses val="autoZero"/>
        <c:crossBetween val="between"/>
        <c:majorUnit val="2"/>
      </c:val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234374812737448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Euro Area Manufacturing PMI</a:t>
            </a:r>
            <a:r>
              <a:rPr lang="en-US" baseline="0"/>
              <a:t> vs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EZ!$B$32</c:f>
              <c:strCache>
                <c:ptCount val="1"/>
                <c:pt idx="0">
                  <c:v>Euro Area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EZ!$A$40:$A$138</c:f>
              <c:numCache>
                <c:formatCode>[$-409]mmm\-yy;@</c:formatCode>
                <c:ptCount val="99"/>
                <c:pt idx="0">
                  <c:v>39479</c:v>
                </c:pt>
                <c:pt idx="1">
                  <c:v>39508</c:v>
                </c:pt>
                <c:pt idx="2">
                  <c:v>39539</c:v>
                </c:pt>
                <c:pt idx="3">
                  <c:v>39569</c:v>
                </c:pt>
                <c:pt idx="4">
                  <c:v>39600</c:v>
                </c:pt>
                <c:pt idx="5">
                  <c:v>39630</c:v>
                </c:pt>
                <c:pt idx="6">
                  <c:v>39661</c:v>
                </c:pt>
                <c:pt idx="7">
                  <c:v>39692</c:v>
                </c:pt>
                <c:pt idx="8">
                  <c:v>39722</c:v>
                </c:pt>
                <c:pt idx="9">
                  <c:v>39753</c:v>
                </c:pt>
                <c:pt idx="10">
                  <c:v>39783</c:v>
                </c:pt>
                <c:pt idx="11">
                  <c:v>39814</c:v>
                </c:pt>
                <c:pt idx="12">
                  <c:v>39845</c:v>
                </c:pt>
                <c:pt idx="13">
                  <c:v>39873</c:v>
                </c:pt>
                <c:pt idx="14">
                  <c:v>39904</c:v>
                </c:pt>
                <c:pt idx="15">
                  <c:v>39934</c:v>
                </c:pt>
                <c:pt idx="16">
                  <c:v>39965</c:v>
                </c:pt>
                <c:pt idx="17">
                  <c:v>39995</c:v>
                </c:pt>
                <c:pt idx="18">
                  <c:v>40026</c:v>
                </c:pt>
                <c:pt idx="19">
                  <c:v>40057</c:v>
                </c:pt>
                <c:pt idx="20">
                  <c:v>40087</c:v>
                </c:pt>
                <c:pt idx="21">
                  <c:v>40118</c:v>
                </c:pt>
                <c:pt idx="22">
                  <c:v>40148</c:v>
                </c:pt>
                <c:pt idx="23">
                  <c:v>40179</c:v>
                </c:pt>
                <c:pt idx="24">
                  <c:v>40210</c:v>
                </c:pt>
                <c:pt idx="25">
                  <c:v>40238</c:v>
                </c:pt>
                <c:pt idx="26">
                  <c:v>40269</c:v>
                </c:pt>
                <c:pt idx="27">
                  <c:v>40299</c:v>
                </c:pt>
                <c:pt idx="28">
                  <c:v>40330</c:v>
                </c:pt>
                <c:pt idx="29">
                  <c:v>40360</c:v>
                </c:pt>
                <c:pt idx="30">
                  <c:v>40391</c:v>
                </c:pt>
                <c:pt idx="31">
                  <c:v>40422</c:v>
                </c:pt>
                <c:pt idx="32">
                  <c:v>40452</c:v>
                </c:pt>
                <c:pt idx="33">
                  <c:v>40483</c:v>
                </c:pt>
                <c:pt idx="34">
                  <c:v>40513</c:v>
                </c:pt>
                <c:pt idx="35">
                  <c:v>40544</c:v>
                </c:pt>
                <c:pt idx="36">
                  <c:v>40575</c:v>
                </c:pt>
                <c:pt idx="37">
                  <c:v>40603</c:v>
                </c:pt>
                <c:pt idx="38">
                  <c:v>40634</c:v>
                </c:pt>
                <c:pt idx="39">
                  <c:v>40664</c:v>
                </c:pt>
                <c:pt idx="40">
                  <c:v>40695</c:v>
                </c:pt>
                <c:pt idx="41">
                  <c:v>40725</c:v>
                </c:pt>
                <c:pt idx="42">
                  <c:v>40756</c:v>
                </c:pt>
                <c:pt idx="43">
                  <c:v>40787</c:v>
                </c:pt>
                <c:pt idx="44">
                  <c:v>40817</c:v>
                </c:pt>
                <c:pt idx="45">
                  <c:v>40848</c:v>
                </c:pt>
                <c:pt idx="46">
                  <c:v>40878</c:v>
                </c:pt>
                <c:pt idx="47">
                  <c:v>40909</c:v>
                </c:pt>
                <c:pt idx="48">
                  <c:v>40940</c:v>
                </c:pt>
                <c:pt idx="49">
                  <c:v>40969</c:v>
                </c:pt>
                <c:pt idx="50">
                  <c:v>41000</c:v>
                </c:pt>
                <c:pt idx="51">
                  <c:v>41030</c:v>
                </c:pt>
                <c:pt idx="52">
                  <c:v>41061</c:v>
                </c:pt>
                <c:pt idx="53">
                  <c:v>41091</c:v>
                </c:pt>
                <c:pt idx="54">
                  <c:v>41122</c:v>
                </c:pt>
                <c:pt idx="55">
                  <c:v>41153</c:v>
                </c:pt>
                <c:pt idx="56">
                  <c:v>41183</c:v>
                </c:pt>
                <c:pt idx="57">
                  <c:v>41214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41487</c:v>
                </c:pt>
                <c:pt idx="67">
                  <c:v>41518</c:v>
                </c:pt>
                <c:pt idx="68">
                  <c:v>41548</c:v>
                </c:pt>
                <c:pt idx="69">
                  <c:v>41579</c:v>
                </c:pt>
                <c:pt idx="70">
                  <c:v>41609</c:v>
                </c:pt>
                <c:pt idx="71">
                  <c:v>41640</c:v>
                </c:pt>
                <c:pt idx="72">
                  <c:v>41671</c:v>
                </c:pt>
                <c:pt idx="73">
                  <c:v>41699</c:v>
                </c:pt>
                <c:pt idx="74">
                  <c:v>41730</c:v>
                </c:pt>
                <c:pt idx="75">
                  <c:v>41760</c:v>
                </c:pt>
                <c:pt idx="76">
                  <c:v>41791</c:v>
                </c:pt>
                <c:pt idx="77">
                  <c:v>41821</c:v>
                </c:pt>
                <c:pt idx="78">
                  <c:v>41852</c:v>
                </c:pt>
                <c:pt idx="79">
                  <c:v>41883</c:v>
                </c:pt>
                <c:pt idx="80">
                  <c:v>41913</c:v>
                </c:pt>
                <c:pt idx="81">
                  <c:v>41944</c:v>
                </c:pt>
                <c:pt idx="82">
                  <c:v>41974</c:v>
                </c:pt>
                <c:pt idx="83">
                  <c:v>42005</c:v>
                </c:pt>
                <c:pt idx="84">
                  <c:v>42036</c:v>
                </c:pt>
                <c:pt idx="85">
                  <c:v>42064</c:v>
                </c:pt>
                <c:pt idx="86">
                  <c:v>42095</c:v>
                </c:pt>
                <c:pt idx="87">
                  <c:v>42125</c:v>
                </c:pt>
                <c:pt idx="88">
                  <c:v>42156</c:v>
                </c:pt>
                <c:pt idx="89">
                  <c:v>42186</c:v>
                </c:pt>
                <c:pt idx="90">
                  <c:v>42217</c:v>
                </c:pt>
                <c:pt idx="91">
                  <c:v>42248</c:v>
                </c:pt>
                <c:pt idx="92">
                  <c:v>42278</c:v>
                </c:pt>
                <c:pt idx="93">
                  <c:v>42309</c:v>
                </c:pt>
                <c:pt idx="94">
                  <c:v>42339</c:v>
                </c:pt>
                <c:pt idx="95">
                  <c:v>42370</c:v>
                </c:pt>
                <c:pt idx="96">
                  <c:v>42401</c:v>
                </c:pt>
                <c:pt idx="97">
                  <c:v>42430</c:v>
                </c:pt>
                <c:pt idx="98">
                  <c:v>42461</c:v>
                </c:pt>
              </c:numCache>
            </c:numRef>
          </c:cat>
          <c:val>
            <c:numRef>
              <c:f>EZ!$B$40:$B$138</c:f>
              <c:numCache>
                <c:formatCode>0.0</c:formatCode>
                <c:ptCount val="99"/>
                <c:pt idx="0">
                  <c:v>52.3</c:v>
                </c:pt>
                <c:pt idx="1">
                  <c:v>52</c:v>
                </c:pt>
                <c:pt idx="2">
                  <c:v>50.7</c:v>
                </c:pt>
                <c:pt idx="3">
                  <c:v>50.6</c:v>
                </c:pt>
                <c:pt idx="4">
                  <c:v>49.2</c:v>
                </c:pt>
                <c:pt idx="5">
                  <c:v>47.4</c:v>
                </c:pt>
                <c:pt idx="6">
                  <c:v>47.6</c:v>
                </c:pt>
                <c:pt idx="7">
                  <c:v>45</c:v>
                </c:pt>
                <c:pt idx="8">
                  <c:v>38.9</c:v>
                </c:pt>
                <c:pt idx="9">
                  <c:v>35.6</c:v>
                </c:pt>
                <c:pt idx="10">
                  <c:v>33.9</c:v>
                </c:pt>
                <c:pt idx="11">
                  <c:v>34.4</c:v>
                </c:pt>
                <c:pt idx="12">
                  <c:v>33.5</c:v>
                </c:pt>
                <c:pt idx="13">
                  <c:v>33.9</c:v>
                </c:pt>
                <c:pt idx="14">
                  <c:v>36.799999999999997</c:v>
                </c:pt>
                <c:pt idx="15">
                  <c:v>40.700000000000003</c:v>
                </c:pt>
                <c:pt idx="16">
                  <c:v>42.6</c:v>
                </c:pt>
                <c:pt idx="17">
                  <c:v>46.3</c:v>
                </c:pt>
                <c:pt idx="18">
                  <c:v>48.2</c:v>
                </c:pt>
                <c:pt idx="19">
                  <c:v>49.3</c:v>
                </c:pt>
                <c:pt idx="20">
                  <c:v>50.7</c:v>
                </c:pt>
                <c:pt idx="21">
                  <c:v>51.2</c:v>
                </c:pt>
                <c:pt idx="22">
                  <c:v>51.6</c:v>
                </c:pt>
                <c:pt idx="23">
                  <c:v>52.4</c:v>
                </c:pt>
                <c:pt idx="24">
                  <c:v>54.2</c:v>
                </c:pt>
                <c:pt idx="25">
                  <c:v>56.6</c:v>
                </c:pt>
                <c:pt idx="26">
                  <c:v>57.6</c:v>
                </c:pt>
                <c:pt idx="27">
                  <c:v>55.8</c:v>
                </c:pt>
                <c:pt idx="28">
                  <c:v>55.6</c:v>
                </c:pt>
                <c:pt idx="29">
                  <c:v>56.7</c:v>
                </c:pt>
                <c:pt idx="30">
                  <c:v>55.1</c:v>
                </c:pt>
                <c:pt idx="31">
                  <c:v>53.7</c:v>
                </c:pt>
                <c:pt idx="32">
                  <c:v>54.6</c:v>
                </c:pt>
                <c:pt idx="33">
                  <c:v>55.3</c:v>
                </c:pt>
                <c:pt idx="34">
                  <c:v>57.1</c:v>
                </c:pt>
                <c:pt idx="35">
                  <c:v>57.3</c:v>
                </c:pt>
                <c:pt idx="36">
                  <c:v>59</c:v>
                </c:pt>
                <c:pt idx="37">
                  <c:v>57.5</c:v>
                </c:pt>
                <c:pt idx="38">
                  <c:v>58</c:v>
                </c:pt>
                <c:pt idx="39">
                  <c:v>54.6</c:v>
                </c:pt>
                <c:pt idx="40">
                  <c:v>52</c:v>
                </c:pt>
                <c:pt idx="41">
                  <c:v>50.4</c:v>
                </c:pt>
                <c:pt idx="42">
                  <c:v>49</c:v>
                </c:pt>
                <c:pt idx="43">
                  <c:v>48.5</c:v>
                </c:pt>
                <c:pt idx="44">
                  <c:v>47.1</c:v>
                </c:pt>
                <c:pt idx="45">
                  <c:v>46.4</c:v>
                </c:pt>
                <c:pt idx="46">
                  <c:v>46.9</c:v>
                </c:pt>
                <c:pt idx="47">
                  <c:v>48.8</c:v>
                </c:pt>
                <c:pt idx="48">
                  <c:v>49</c:v>
                </c:pt>
                <c:pt idx="49">
                  <c:v>47.7</c:v>
                </c:pt>
                <c:pt idx="50">
                  <c:v>45.9</c:v>
                </c:pt>
                <c:pt idx="51">
                  <c:v>45.1</c:v>
                </c:pt>
                <c:pt idx="52">
                  <c:v>45.1</c:v>
                </c:pt>
                <c:pt idx="53">
                  <c:v>44</c:v>
                </c:pt>
                <c:pt idx="54">
                  <c:v>45.1</c:v>
                </c:pt>
                <c:pt idx="55">
                  <c:v>46.1</c:v>
                </c:pt>
                <c:pt idx="56">
                  <c:v>45.4</c:v>
                </c:pt>
                <c:pt idx="57">
                  <c:v>46.2</c:v>
                </c:pt>
                <c:pt idx="58">
                  <c:v>46.1</c:v>
                </c:pt>
                <c:pt idx="59">
                  <c:v>47.9</c:v>
                </c:pt>
                <c:pt idx="60">
                  <c:v>47.9</c:v>
                </c:pt>
                <c:pt idx="61">
                  <c:v>46.8</c:v>
                </c:pt>
                <c:pt idx="62">
                  <c:v>46.7</c:v>
                </c:pt>
                <c:pt idx="63">
                  <c:v>48.3</c:v>
                </c:pt>
                <c:pt idx="64">
                  <c:v>48.8</c:v>
                </c:pt>
                <c:pt idx="65">
                  <c:v>50.3</c:v>
                </c:pt>
                <c:pt idx="66">
                  <c:v>51.4</c:v>
                </c:pt>
                <c:pt idx="67">
                  <c:v>51.1</c:v>
                </c:pt>
                <c:pt idx="68">
                  <c:v>51.3</c:v>
                </c:pt>
                <c:pt idx="69">
                  <c:v>51.6</c:v>
                </c:pt>
                <c:pt idx="70">
                  <c:v>52.7</c:v>
                </c:pt>
                <c:pt idx="71">
                  <c:v>54</c:v>
                </c:pt>
                <c:pt idx="72">
                  <c:v>53.2</c:v>
                </c:pt>
                <c:pt idx="73">
                  <c:v>53</c:v>
                </c:pt>
                <c:pt idx="74">
                  <c:v>54</c:v>
                </c:pt>
                <c:pt idx="75">
                  <c:v>52.2</c:v>
                </c:pt>
                <c:pt idx="76">
                  <c:v>51.8</c:v>
                </c:pt>
                <c:pt idx="77">
                  <c:v>51.8</c:v>
                </c:pt>
                <c:pt idx="78">
                  <c:v>50.7</c:v>
                </c:pt>
                <c:pt idx="79">
                  <c:v>50.3</c:v>
                </c:pt>
                <c:pt idx="80">
                  <c:v>50.6</c:v>
                </c:pt>
                <c:pt idx="81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3-45B1-A806-3D0881C4C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991232"/>
        <c:axId val="537092480"/>
      </c:areaChart>
      <c:barChart>
        <c:barDir val="col"/>
        <c:grouping val="clustered"/>
        <c:varyColors val="0"/>
        <c:ser>
          <c:idx val="2"/>
          <c:order val="2"/>
          <c:tx>
            <c:strRef>
              <c:f>EZ!$D$32</c:f>
              <c:strCache>
                <c:ptCount val="1"/>
                <c:pt idx="0">
                  <c:v>Euro Area GDP q/q %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381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EZ!$D$40:$D$138</c:f>
              <c:numCache>
                <c:formatCode>0.0%</c:formatCode>
                <c:ptCount val="99"/>
                <c:pt idx="1">
                  <c:v>6.0000000000000001E-3</c:v>
                </c:pt>
                <c:pt idx="4">
                  <c:v>-4.0000000000000001E-3</c:v>
                </c:pt>
                <c:pt idx="7">
                  <c:v>-6.0000000000000001E-3</c:v>
                </c:pt>
                <c:pt idx="10">
                  <c:v>-1.7000000000000001E-2</c:v>
                </c:pt>
                <c:pt idx="13">
                  <c:v>-2.8000000000000001E-2</c:v>
                </c:pt>
                <c:pt idx="16">
                  <c:v>-3.0000000000000001E-3</c:v>
                </c:pt>
                <c:pt idx="19">
                  <c:v>4.0000000000000001E-3</c:v>
                </c:pt>
                <c:pt idx="22">
                  <c:v>5.0000000000000001E-3</c:v>
                </c:pt>
                <c:pt idx="25">
                  <c:v>4.0000000000000001E-3</c:v>
                </c:pt>
                <c:pt idx="28">
                  <c:v>8.9999999999999993E-3</c:v>
                </c:pt>
                <c:pt idx="31">
                  <c:v>4.0000000000000001E-3</c:v>
                </c:pt>
                <c:pt idx="34">
                  <c:v>5.0000000000000001E-3</c:v>
                </c:pt>
                <c:pt idx="37">
                  <c:v>8.0000000000000002E-3</c:v>
                </c:pt>
                <c:pt idx="40">
                  <c:v>2E-3</c:v>
                </c:pt>
                <c:pt idx="43">
                  <c:v>2E-3</c:v>
                </c:pt>
                <c:pt idx="46">
                  <c:v>-2E-3</c:v>
                </c:pt>
                <c:pt idx="49">
                  <c:v>-1E-3</c:v>
                </c:pt>
                <c:pt idx="52">
                  <c:v>-3.0000000000000001E-3</c:v>
                </c:pt>
                <c:pt idx="55">
                  <c:v>-2E-3</c:v>
                </c:pt>
                <c:pt idx="58">
                  <c:v>-5.0000000000000001E-3</c:v>
                </c:pt>
                <c:pt idx="61">
                  <c:v>-2E-3</c:v>
                </c:pt>
                <c:pt idx="64">
                  <c:v>3.0000000000000001E-3</c:v>
                </c:pt>
                <c:pt idx="67">
                  <c:v>1E-3</c:v>
                </c:pt>
                <c:pt idx="70">
                  <c:v>2E-3</c:v>
                </c:pt>
                <c:pt idx="73">
                  <c:v>2E-3</c:v>
                </c:pt>
                <c:pt idx="76">
                  <c:v>0</c:v>
                </c:pt>
                <c:pt idx="79" formatCode="0.00%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3-45B1-A806-3D0881C4C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7115648"/>
        <c:axId val="537113344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EZ!$B$40:$B$138</c:f>
              <c:numCache>
                <c:formatCode>0.0</c:formatCode>
                <c:ptCount val="99"/>
                <c:pt idx="0">
                  <c:v>52.3</c:v>
                </c:pt>
                <c:pt idx="1">
                  <c:v>52</c:v>
                </c:pt>
                <c:pt idx="2">
                  <c:v>50.7</c:v>
                </c:pt>
                <c:pt idx="3">
                  <c:v>50.6</c:v>
                </c:pt>
                <c:pt idx="4">
                  <c:v>49.2</c:v>
                </c:pt>
                <c:pt idx="5">
                  <c:v>47.4</c:v>
                </c:pt>
                <c:pt idx="6">
                  <c:v>47.6</c:v>
                </c:pt>
                <c:pt idx="7">
                  <c:v>45</c:v>
                </c:pt>
                <c:pt idx="8">
                  <c:v>38.9</c:v>
                </c:pt>
                <c:pt idx="9">
                  <c:v>35.6</c:v>
                </c:pt>
                <c:pt idx="10">
                  <c:v>33.9</c:v>
                </c:pt>
                <c:pt idx="11">
                  <c:v>34.4</c:v>
                </c:pt>
                <c:pt idx="12">
                  <c:v>33.5</c:v>
                </c:pt>
                <c:pt idx="13">
                  <c:v>33.9</c:v>
                </c:pt>
                <c:pt idx="14">
                  <c:v>36.799999999999997</c:v>
                </c:pt>
                <c:pt idx="15">
                  <c:v>40.700000000000003</c:v>
                </c:pt>
                <c:pt idx="16">
                  <c:v>42.6</c:v>
                </c:pt>
                <c:pt idx="17">
                  <c:v>46.3</c:v>
                </c:pt>
                <c:pt idx="18">
                  <c:v>48.2</c:v>
                </c:pt>
                <c:pt idx="19">
                  <c:v>49.3</c:v>
                </c:pt>
                <c:pt idx="20">
                  <c:v>50.7</c:v>
                </c:pt>
                <c:pt idx="21">
                  <c:v>51.2</c:v>
                </c:pt>
                <c:pt idx="22">
                  <c:v>51.6</c:v>
                </c:pt>
                <c:pt idx="23">
                  <c:v>52.4</c:v>
                </c:pt>
                <c:pt idx="24">
                  <c:v>54.2</c:v>
                </c:pt>
                <c:pt idx="25">
                  <c:v>56.6</c:v>
                </c:pt>
                <c:pt idx="26">
                  <c:v>57.6</c:v>
                </c:pt>
                <c:pt idx="27">
                  <c:v>55.8</c:v>
                </c:pt>
                <c:pt idx="28">
                  <c:v>55.6</c:v>
                </c:pt>
                <c:pt idx="29">
                  <c:v>56.7</c:v>
                </c:pt>
                <c:pt idx="30">
                  <c:v>55.1</c:v>
                </c:pt>
                <c:pt idx="31">
                  <c:v>53.7</c:v>
                </c:pt>
                <c:pt idx="32">
                  <c:v>54.6</c:v>
                </c:pt>
                <c:pt idx="33">
                  <c:v>55.3</c:v>
                </c:pt>
                <c:pt idx="34">
                  <c:v>57.1</c:v>
                </c:pt>
                <c:pt idx="35">
                  <c:v>57.3</c:v>
                </c:pt>
                <c:pt idx="36">
                  <c:v>59</c:v>
                </c:pt>
                <c:pt idx="37">
                  <c:v>57.5</c:v>
                </c:pt>
                <c:pt idx="38">
                  <c:v>58</c:v>
                </c:pt>
                <c:pt idx="39">
                  <c:v>54.6</c:v>
                </c:pt>
                <c:pt idx="40">
                  <c:v>52</c:v>
                </c:pt>
                <c:pt idx="41">
                  <c:v>50.4</c:v>
                </c:pt>
                <c:pt idx="42">
                  <c:v>49</c:v>
                </c:pt>
                <c:pt idx="43">
                  <c:v>48.5</c:v>
                </c:pt>
                <c:pt idx="44">
                  <c:v>47.1</c:v>
                </c:pt>
                <c:pt idx="45">
                  <c:v>46.4</c:v>
                </c:pt>
                <c:pt idx="46">
                  <c:v>46.9</c:v>
                </c:pt>
                <c:pt idx="47">
                  <c:v>48.8</c:v>
                </c:pt>
                <c:pt idx="48">
                  <c:v>49</c:v>
                </c:pt>
                <c:pt idx="49">
                  <c:v>47.7</c:v>
                </c:pt>
                <c:pt idx="50">
                  <c:v>45.9</c:v>
                </c:pt>
                <c:pt idx="51">
                  <c:v>45.1</c:v>
                </c:pt>
                <c:pt idx="52">
                  <c:v>45.1</c:v>
                </c:pt>
                <c:pt idx="53">
                  <c:v>44</c:v>
                </c:pt>
                <c:pt idx="54">
                  <c:v>45.1</c:v>
                </c:pt>
                <c:pt idx="55">
                  <c:v>46.1</c:v>
                </c:pt>
                <c:pt idx="56">
                  <c:v>45.4</c:v>
                </c:pt>
                <c:pt idx="57">
                  <c:v>46.2</c:v>
                </c:pt>
                <c:pt idx="58">
                  <c:v>46.1</c:v>
                </c:pt>
                <c:pt idx="59">
                  <c:v>47.9</c:v>
                </c:pt>
                <c:pt idx="60">
                  <c:v>47.9</c:v>
                </c:pt>
                <c:pt idx="61">
                  <c:v>46.8</c:v>
                </c:pt>
                <c:pt idx="62">
                  <c:v>46.7</c:v>
                </c:pt>
                <c:pt idx="63">
                  <c:v>48.3</c:v>
                </c:pt>
                <c:pt idx="64">
                  <c:v>48.8</c:v>
                </c:pt>
                <c:pt idx="65">
                  <c:v>50.3</c:v>
                </c:pt>
                <c:pt idx="66">
                  <c:v>51.4</c:v>
                </c:pt>
                <c:pt idx="67">
                  <c:v>51.1</c:v>
                </c:pt>
                <c:pt idx="68">
                  <c:v>51.3</c:v>
                </c:pt>
                <c:pt idx="69">
                  <c:v>51.6</c:v>
                </c:pt>
                <c:pt idx="70">
                  <c:v>52.7</c:v>
                </c:pt>
                <c:pt idx="71">
                  <c:v>54</c:v>
                </c:pt>
                <c:pt idx="72">
                  <c:v>53.2</c:v>
                </c:pt>
                <c:pt idx="73">
                  <c:v>53</c:v>
                </c:pt>
                <c:pt idx="74">
                  <c:v>54</c:v>
                </c:pt>
                <c:pt idx="75">
                  <c:v>52.2</c:v>
                </c:pt>
                <c:pt idx="76">
                  <c:v>51.8</c:v>
                </c:pt>
                <c:pt idx="77">
                  <c:v>51.8</c:v>
                </c:pt>
                <c:pt idx="78">
                  <c:v>50.7</c:v>
                </c:pt>
                <c:pt idx="79">
                  <c:v>50.3</c:v>
                </c:pt>
                <c:pt idx="80">
                  <c:v>50.6</c:v>
                </c:pt>
                <c:pt idx="81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3-45B1-A806-3D0881C4C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991232"/>
        <c:axId val="537092480"/>
      </c:lineChart>
      <c:dateAx>
        <c:axId val="5369912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092480"/>
        <c:crossesAt val="50"/>
        <c:auto val="1"/>
        <c:lblOffset val="100"/>
        <c:baseTimeUnit val="months"/>
        <c:majorUnit val="1"/>
        <c:majorTimeUnit val="years"/>
      </c:dateAx>
      <c:valAx>
        <c:axId val="537092480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6991232"/>
        <c:crosses val="autoZero"/>
        <c:crossBetween val="between"/>
        <c:majorUnit val="7"/>
      </c:valAx>
      <c:valAx>
        <c:axId val="537113344"/>
        <c:scaling>
          <c:orientation val="minMax"/>
          <c:max val="2.0000000000000004E-2"/>
          <c:min val="-3.0000000000000006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37115648"/>
        <c:crosses val="max"/>
        <c:crossBetween val="between"/>
        <c:majorUnit val="1.0000000000000002E-2"/>
      </c:valAx>
      <c:catAx>
        <c:axId val="537115648"/>
        <c:scaling>
          <c:orientation val="minMax"/>
        </c:scaling>
        <c:delete val="1"/>
        <c:axPos val="b"/>
        <c:majorTickMark val="out"/>
        <c:minorTickMark val="none"/>
        <c:tickLblPos val="nextTo"/>
        <c:crossAx val="537113344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34835205627169763"/>
          <c:y val="0.69181953478641256"/>
          <c:w val="0.16669102837748931"/>
          <c:h val="9.8286355509909079E-2"/>
        </c:manualLayout>
      </c:layout>
      <c:overlay val="0"/>
      <c:txPr>
        <a:bodyPr/>
        <a:lstStyle/>
        <a:p>
          <a:pPr>
            <a:defRPr sz="850" baseline="0">
              <a:solidFill>
                <a:schemeClr val="bg1"/>
              </a:solidFill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Germany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DE!$B$38</c:f>
              <c:strCache>
                <c:ptCount val="1"/>
                <c:pt idx="0">
                  <c:v>Germany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DE!$A$40:$A$238</c:f>
              <c:numCache>
                <c:formatCode>[$-409]mmm\-yy;@</c:formatCode>
                <c:ptCount val="199"/>
                <c:pt idx="0">
                  <c:v>39479</c:v>
                </c:pt>
                <c:pt idx="1">
                  <c:v>39508</c:v>
                </c:pt>
                <c:pt idx="2">
                  <c:v>39539</c:v>
                </c:pt>
                <c:pt idx="3">
                  <c:v>39569</c:v>
                </c:pt>
                <c:pt idx="4">
                  <c:v>39600</c:v>
                </c:pt>
                <c:pt idx="5">
                  <c:v>39630</c:v>
                </c:pt>
                <c:pt idx="6">
                  <c:v>39661</c:v>
                </c:pt>
                <c:pt idx="7">
                  <c:v>39692</c:v>
                </c:pt>
                <c:pt idx="8">
                  <c:v>39722</c:v>
                </c:pt>
                <c:pt idx="9">
                  <c:v>39753</c:v>
                </c:pt>
                <c:pt idx="10">
                  <c:v>39783</c:v>
                </c:pt>
                <c:pt idx="11">
                  <c:v>39814</c:v>
                </c:pt>
                <c:pt idx="12">
                  <c:v>39845</c:v>
                </c:pt>
                <c:pt idx="13">
                  <c:v>39873</c:v>
                </c:pt>
                <c:pt idx="14">
                  <c:v>39904</c:v>
                </c:pt>
                <c:pt idx="15">
                  <c:v>39934</c:v>
                </c:pt>
                <c:pt idx="16">
                  <c:v>39965</c:v>
                </c:pt>
                <c:pt idx="17">
                  <c:v>39995</c:v>
                </c:pt>
                <c:pt idx="18">
                  <c:v>40026</c:v>
                </c:pt>
                <c:pt idx="19">
                  <c:v>40057</c:v>
                </c:pt>
                <c:pt idx="20">
                  <c:v>40087</c:v>
                </c:pt>
                <c:pt idx="21">
                  <c:v>40118</c:v>
                </c:pt>
                <c:pt idx="22">
                  <c:v>40148</c:v>
                </c:pt>
                <c:pt idx="23">
                  <c:v>40179</c:v>
                </c:pt>
                <c:pt idx="24">
                  <c:v>40210</c:v>
                </c:pt>
                <c:pt idx="25">
                  <c:v>40238</c:v>
                </c:pt>
                <c:pt idx="26">
                  <c:v>40269</c:v>
                </c:pt>
                <c:pt idx="27">
                  <c:v>40299</c:v>
                </c:pt>
                <c:pt idx="28">
                  <c:v>40330</c:v>
                </c:pt>
                <c:pt idx="29">
                  <c:v>40360</c:v>
                </c:pt>
                <c:pt idx="30">
                  <c:v>40391</c:v>
                </c:pt>
                <c:pt idx="31">
                  <c:v>40422</c:v>
                </c:pt>
                <c:pt idx="32">
                  <c:v>40452</c:v>
                </c:pt>
                <c:pt idx="33">
                  <c:v>40483</c:v>
                </c:pt>
                <c:pt idx="34">
                  <c:v>40513</c:v>
                </c:pt>
                <c:pt idx="35">
                  <c:v>40544</c:v>
                </c:pt>
                <c:pt idx="36">
                  <c:v>40575</c:v>
                </c:pt>
                <c:pt idx="37">
                  <c:v>40603</c:v>
                </c:pt>
                <c:pt idx="38">
                  <c:v>40634</c:v>
                </c:pt>
                <c:pt idx="39">
                  <c:v>40664</c:v>
                </c:pt>
                <c:pt idx="40">
                  <c:v>40695</c:v>
                </c:pt>
                <c:pt idx="41">
                  <c:v>40725</c:v>
                </c:pt>
                <c:pt idx="42">
                  <c:v>40756</c:v>
                </c:pt>
                <c:pt idx="43">
                  <c:v>40787</c:v>
                </c:pt>
                <c:pt idx="44">
                  <c:v>40817</c:v>
                </c:pt>
                <c:pt idx="45">
                  <c:v>40848</c:v>
                </c:pt>
                <c:pt idx="46">
                  <c:v>40878</c:v>
                </c:pt>
                <c:pt idx="47">
                  <c:v>40909</c:v>
                </c:pt>
                <c:pt idx="48">
                  <c:v>40940</c:v>
                </c:pt>
                <c:pt idx="49">
                  <c:v>40969</c:v>
                </c:pt>
                <c:pt idx="50">
                  <c:v>41000</c:v>
                </c:pt>
                <c:pt idx="51">
                  <c:v>41030</c:v>
                </c:pt>
                <c:pt idx="52">
                  <c:v>41061</c:v>
                </c:pt>
                <c:pt idx="53">
                  <c:v>41091</c:v>
                </c:pt>
                <c:pt idx="54">
                  <c:v>41122</c:v>
                </c:pt>
                <c:pt idx="55">
                  <c:v>41153</c:v>
                </c:pt>
                <c:pt idx="56">
                  <c:v>41183</c:v>
                </c:pt>
                <c:pt idx="57">
                  <c:v>41214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41487</c:v>
                </c:pt>
                <c:pt idx="67">
                  <c:v>41518</c:v>
                </c:pt>
                <c:pt idx="68">
                  <c:v>41548</c:v>
                </c:pt>
                <c:pt idx="69">
                  <c:v>41579</c:v>
                </c:pt>
                <c:pt idx="70">
                  <c:v>41609</c:v>
                </c:pt>
                <c:pt idx="71">
                  <c:v>41640</c:v>
                </c:pt>
                <c:pt idx="72">
                  <c:v>41671</c:v>
                </c:pt>
                <c:pt idx="73">
                  <c:v>41699</c:v>
                </c:pt>
                <c:pt idx="74">
                  <c:v>41730</c:v>
                </c:pt>
                <c:pt idx="75">
                  <c:v>41760</c:v>
                </c:pt>
                <c:pt idx="76">
                  <c:v>41791</c:v>
                </c:pt>
                <c:pt idx="77">
                  <c:v>41821</c:v>
                </c:pt>
                <c:pt idx="78">
                  <c:v>41852</c:v>
                </c:pt>
                <c:pt idx="79">
                  <c:v>41883</c:v>
                </c:pt>
                <c:pt idx="80">
                  <c:v>41913</c:v>
                </c:pt>
                <c:pt idx="81">
                  <c:v>41944</c:v>
                </c:pt>
                <c:pt idx="82">
                  <c:v>41974</c:v>
                </c:pt>
                <c:pt idx="83">
                  <c:v>42005</c:v>
                </c:pt>
                <c:pt idx="84">
                  <c:v>42036</c:v>
                </c:pt>
                <c:pt idx="85">
                  <c:v>42064</c:v>
                </c:pt>
                <c:pt idx="86">
                  <c:v>42095</c:v>
                </c:pt>
                <c:pt idx="87">
                  <c:v>42125</c:v>
                </c:pt>
                <c:pt idx="88">
                  <c:v>42156</c:v>
                </c:pt>
                <c:pt idx="89">
                  <c:v>42186</c:v>
                </c:pt>
                <c:pt idx="90">
                  <c:v>42217</c:v>
                </c:pt>
                <c:pt idx="91">
                  <c:v>42248</c:v>
                </c:pt>
                <c:pt idx="92">
                  <c:v>42278</c:v>
                </c:pt>
                <c:pt idx="93">
                  <c:v>42309</c:v>
                </c:pt>
                <c:pt idx="94">
                  <c:v>42339</c:v>
                </c:pt>
                <c:pt idx="95">
                  <c:v>42370</c:v>
                </c:pt>
                <c:pt idx="96">
                  <c:v>42401</c:v>
                </c:pt>
                <c:pt idx="97">
                  <c:v>42430</c:v>
                </c:pt>
                <c:pt idx="98">
                  <c:v>42461</c:v>
                </c:pt>
                <c:pt idx="99">
                  <c:v>42491</c:v>
                </c:pt>
                <c:pt idx="100">
                  <c:v>42522</c:v>
                </c:pt>
                <c:pt idx="101">
                  <c:v>42552</c:v>
                </c:pt>
                <c:pt idx="102">
                  <c:v>42583</c:v>
                </c:pt>
                <c:pt idx="103">
                  <c:v>42614</c:v>
                </c:pt>
                <c:pt idx="104">
                  <c:v>42644</c:v>
                </c:pt>
                <c:pt idx="105">
                  <c:v>42675</c:v>
                </c:pt>
                <c:pt idx="106">
                  <c:v>42705</c:v>
                </c:pt>
                <c:pt idx="107">
                  <c:v>42736</c:v>
                </c:pt>
                <c:pt idx="108">
                  <c:v>42767</c:v>
                </c:pt>
                <c:pt idx="109">
                  <c:v>42795</c:v>
                </c:pt>
                <c:pt idx="110">
                  <c:v>42826</c:v>
                </c:pt>
                <c:pt idx="111">
                  <c:v>42856</c:v>
                </c:pt>
                <c:pt idx="112">
                  <c:v>42887</c:v>
                </c:pt>
                <c:pt idx="113">
                  <c:v>42917</c:v>
                </c:pt>
                <c:pt idx="114">
                  <c:v>42948</c:v>
                </c:pt>
                <c:pt idx="115" formatCode="yyyy/mm/dd">
                  <c:v>46143</c:v>
                </c:pt>
                <c:pt idx="116" formatCode="yyyy/mm/dd">
                  <c:v>46174</c:v>
                </c:pt>
              </c:numCache>
            </c:numRef>
          </c:cat>
          <c:val>
            <c:numRef>
              <c:f>DE!$B$40:$B$238</c:f>
              <c:numCache>
                <c:formatCode>0.0</c:formatCode>
                <c:ptCount val="199"/>
                <c:pt idx="0">
                  <c:v>54.3</c:v>
                </c:pt>
                <c:pt idx="1">
                  <c:v>54.9</c:v>
                </c:pt>
                <c:pt idx="2">
                  <c:v>53.6</c:v>
                </c:pt>
                <c:pt idx="3">
                  <c:v>53.5</c:v>
                </c:pt>
                <c:pt idx="4">
                  <c:v>52.3</c:v>
                </c:pt>
                <c:pt idx="5">
                  <c:v>50.9</c:v>
                </c:pt>
                <c:pt idx="6">
                  <c:v>49.9</c:v>
                </c:pt>
                <c:pt idx="7">
                  <c:v>48.1</c:v>
                </c:pt>
                <c:pt idx="8">
                  <c:v>43.3</c:v>
                </c:pt>
                <c:pt idx="9">
                  <c:v>36.700000000000003</c:v>
                </c:pt>
                <c:pt idx="10">
                  <c:v>33.5</c:v>
                </c:pt>
                <c:pt idx="11">
                  <c:v>32</c:v>
                </c:pt>
                <c:pt idx="12">
                  <c:v>32.200000000000003</c:v>
                </c:pt>
                <c:pt idx="13">
                  <c:v>32.4</c:v>
                </c:pt>
                <c:pt idx="14">
                  <c:v>35</c:v>
                </c:pt>
                <c:pt idx="15">
                  <c:v>39.6</c:v>
                </c:pt>
                <c:pt idx="16">
                  <c:v>40.9</c:v>
                </c:pt>
                <c:pt idx="17">
                  <c:v>45.2</c:v>
                </c:pt>
                <c:pt idx="18">
                  <c:v>49</c:v>
                </c:pt>
                <c:pt idx="19">
                  <c:v>49.6</c:v>
                </c:pt>
                <c:pt idx="20">
                  <c:v>51.1</c:v>
                </c:pt>
                <c:pt idx="21">
                  <c:v>52.4</c:v>
                </c:pt>
                <c:pt idx="22">
                  <c:v>53.1</c:v>
                </c:pt>
                <c:pt idx="23">
                  <c:v>53.4</c:v>
                </c:pt>
                <c:pt idx="24">
                  <c:v>57.2</c:v>
                </c:pt>
                <c:pt idx="25">
                  <c:v>59.6</c:v>
                </c:pt>
                <c:pt idx="26">
                  <c:v>61.5</c:v>
                </c:pt>
                <c:pt idx="27">
                  <c:v>58.4</c:v>
                </c:pt>
                <c:pt idx="28">
                  <c:v>58.1</c:v>
                </c:pt>
                <c:pt idx="29">
                  <c:v>61.2</c:v>
                </c:pt>
                <c:pt idx="30">
                  <c:v>58.2</c:v>
                </c:pt>
                <c:pt idx="31">
                  <c:v>55.3</c:v>
                </c:pt>
                <c:pt idx="32">
                  <c:v>56.6</c:v>
                </c:pt>
                <c:pt idx="33">
                  <c:v>58.1</c:v>
                </c:pt>
                <c:pt idx="34">
                  <c:v>60.9</c:v>
                </c:pt>
                <c:pt idx="35">
                  <c:v>60.5</c:v>
                </c:pt>
                <c:pt idx="36">
                  <c:v>62.7</c:v>
                </c:pt>
                <c:pt idx="37">
                  <c:v>60.9</c:v>
                </c:pt>
                <c:pt idx="38">
                  <c:v>62</c:v>
                </c:pt>
                <c:pt idx="39">
                  <c:v>57.7</c:v>
                </c:pt>
                <c:pt idx="40">
                  <c:v>54.9</c:v>
                </c:pt>
                <c:pt idx="41">
                  <c:v>52</c:v>
                </c:pt>
                <c:pt idx="42">
                  <c:v>50.9</c:v>
                </c:pt>
                <c:pt idx="43">
                  <c:v>50.3</c:v>
                </c:pt>
                <c:pt idx="44">
                  <c:v>49.1</c:v>
                </c:pt>
                <c:pt idx="45">
                  <c:v>47.9</c:v>
                </c:pt>
                <c:pt idx="46">
                  <c:v>48.4</c:v>
                </c:pt>
                <c:pt idx="47">
                  <c:v>51</c:v>
                </c:pt>
                <c:pt idx="48">
                  <c:v>50.2</c:v>
                </c:pt>
                <c:pt idx="49">
                  <c:v>48.4</c:v>
                </c:pt>
                <c:pt idx="50">
                  <c:v>46.2</c:v>
                </c:pt>
                <c:pt idx="51">
                  <c:v>45.2</c:v>
                </c:pt>
                <c:pt idx="52">
                  <c:v>45</c:v>
                </c:pt>
                <c:pt idx="53">
                  <c:v>43</c:v>
                </c:pt>
                <c:pt idx="54">
                  <c:v>44.7</c:v>
                </c:pt>
                <c:pt idx="55">
                  <c:v>47.4</c:v>
                </c:pt>
                <c:pt idx="56">
                  <c:v>46</c:v>
                </c:pt>
                <c:pt idx="57">
                  <c:v>46.8</c:v>
                </c:pt>
                <c:pt idx="58">
                  <c:v>46</c:v>
                </c:pt>
                <c:pt idx="59">
                  <c:v>49.8</c:v>
                </c:pt>
                <c:pt idx="60">
                  <c:v>50.3</c:v>
                </c:pt>
                <c:pt idx="61">
                  <c:v>49</c:v>
                </c:pt>
                <c:pt idx="62">
                  <c:v>48.1</c:v>
                </c:pt>
                <c:pt idx="63">
                  <c:v>49.4</c:v>
                </c:pt>
                <c:pt idx="64">
                  <c:v>48.6</c:v>
                </c:pt>
                <c:pt idx="65">
                  <c:v>50.7</c:v>
                </c:pt>
                <c:pt idx="66">
                  <c:v>51.8</c:v>
                </c:pt>
                <c:pt idx="67">
                  <c:v>51.1</c:v>
                </c:pt>
                <c:pt idx="68">
                  <c:v>51.7</c:v>
                </c:pt>
                <c:pt idx="69">
                  <c:v>52.7</c:v>
                </c:pt>
                <c:pt idx="70">
                  <c:v>54.3</c:v>
                </c:pt>
                <c:pt idx="71">
                  <c:v>56.6</c:v>
                </c:pt>
                <c:pt idx="72">
                  <c:v>54.8</c:v>
                </c:pt>
                <c:pt idx="73">
                  <c:v>53.7</c:v>
                </c:pt>
                <c:pt idx="74">
                  <c:v>54.1</c:v>
                </c:pt>
                <c:pt idx="75">
                  <c:v>52.3</c:v>
                </c:pt>
                <c:pt idx="76">
                  <c:v>52</c:v>
                </c:pt>
                <c:pt idx="77">
                  <c:v>52.4</c:v>
                </c:pt>
                <c:pt idx="78">
                  <c:v>51.4</c:v>
                </c:pt>
                <c:pt idx="79">
                  <c:v>49.9</c:v>
                </c:pt>
                <c:pt idx="80">
                  <c:v>51.4</c:v>
                </c:pt>
                <c:pt idx="81">
                  <c:v>49.5</c:v>
                </c:pt>
                <c:pt idx="115">
                  <c:v>50.1</c:v>
                </c:pt>
                <c:pt idx="116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9-488F-A58D-2D39E973D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43104"/>
        <c:axId val="543229824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DE!$B$40:$B$238</c:f>
              <c:numCache>
                <c:formatCode>0.0</c:formatCode>
                <c:ptCount val="199"/>
                <c:pt idx="0">
                  <c:v>54.3</c:v>
                </c:pt>
                <c:pt idx="1">
                  <c:v>54.9</c:v>
                </c:pt>
                <c:pt idx="2">
                  <c:v>53.6</c:v>
                </c:pt>
                <c:pt idx="3">
                  <c:v>53.5</c:v>
                </c:pt>
                <c:pt idx="4">
                  <c:v>52.3</c:v>
                </c:pt>
                <c:pt idx="5">
                  <c:v>50.9</c:v>
                </c:pt>
                <c:pt idx="6">
                  <c:v>49.9</c:v>
                </c:pt>
                <c:pt idx="7">
                  <c:v>48.1</c:v>
                </c:pt>
                <c:pt idx="8">
                  <c:v>43.3</c:v>
                </c:pt>
                <c:pt idx="9">
                  <c:v>36.700000000000003</c:v>
                </c:pt>
                <c:pt idx="10">
                  <c:v>33.5</c:v>
                </c:pt>
                <c:pt idx="11">
                  <c:v>32</c:v>
                </c:pt>
                <c:pt idx="12">
                  <c:v>32.200000000000003</c:v>
                </c:pt>
                <c:pt idx="13">
                  <c:v>32.4</c:v>
                </c:pt>
                <c:pt idx="14">
                  <c:v>35</c:v>
                </c:pt>
                <c:pt idx="15">
                  <c:v>39.6</c:v>
                </c:pt>
                <c:pt idx="16">
                  <c:v>40.9</c:v>
                </c:pt>
                <c:pt idx="17">
                  <c:v>45.2</c:v>
                </c:pt>
                <c:pt idx="18">
                  <c:v>49</c:v>
                </c:pt>
                <c:pt idx="19">
                  <c:v>49.6</c:v>
                </c:pt>
                <c:pt idx="20">
                  <c:v>51.1</c:v>
                </c:pt>
                <c:pt idx="21">
                  <c:v>52.4</c:v>
                </c:pt>
                <c:pt idx="22">
                  <c:v>53.1</c:v>
                </c:pt>
                <c:pt idx="23">
                  <c:v>53.4</c:v>
                </c:pt>
                <c:pt idx="24">
                  <c:v>57.2</c:v>
                </c:pt>
                <c:pt idx="25">
                  <c:v>59.6</c:v>
                </c:pt>
                <c:pt idx="26">
                  <c:v>61.5</c:v>
                </c:pt>
                <c:pt idx="27">
                  <c:v>58.4</c:v>
                </c:pt>
                <c:pt idx="28">
                  <c:v>58.1</c:v>
                </c:pt>
                <c:pt idx="29">
                  <c:v>61.2</c:v>
                </c:pt>
                <c:pt idx="30">
                  <c:v>58.2</c:v>
                </c:pt>
                <c:pt idx="31">
                  <c:v>55.3</c:v>
                </c:pt>
                <c:pt idx="32">
                  <c:v>56.6</c:v>
                </c:pt>
                <c:pt idx="33">
                  <c:v>58.1</c:v>
                </c:pt>
                <c:pt idx="34">
                  <c:v>60.9</c:v>
                </c:pt>
                <c:pt idx="35">
                  <c:v>60.5</c:v>
                </c:pt>
                <c:pt idx="36">
                  <c:v>62.7</c:v>
                </c:pt>
                <c:pt idx="37">
                  <c:v>60.9</c:v>
                </c:pt>
                <c:pt idx="38">
                  <c:v>62</c:v>
                </c:pt>
                <c:pt idx="39">
                  <c:v>57.7</c:v>
                </c:pt>
                <c:pt idx="40">
                  <c:v>54.9</c:v>
                </c:pt>
                <c:pt idx="41">
                  <c:v>52</c:v>
                </c:pt>
                <c:pt idx="42">
                  <c:v>50.9</c:v>
                </c:pt>
                <c:pt idx="43">
                  <c:v>50.3</c:v>
                </c:pt>
                <c:pt idx="44">
                  <c:v>49.1</c:v>
                </c:pt>
                <c:pt idx="45">
                  <c:v>47.9</c:v>
                </c:pt>
                <c:pt idx="46">
                  <c:v>48.4</c:v>
                </c:pt>
                <c:pt idx="47">
                  <c:v>51</c:v>
                </c:pt>
                <c:pt idx="48">
                  <c:v>50.2</c:v>
                </c:pt>
                <c:pt idx="49">
                  <c:v>48.4</c:v>
                </c:pt>
                <c:pt idx="50">
                  <c:v>46.2</c:v>
                </c:pt>
                <c:pt idx="51">
                  <c:v>45.2</c:v>
                </c:pt>
                <c:pt idx="52">
                  <c:v>45</c:v>
                </c:pt>
                <c:pt idx="53">
                  <c:v>43</c:v>
                </c:pt>
                <c:pt idx="54">
                  <c:v>44.7</c:v>
                </c:pt>
                <c:pt idx="55">
                  <c:v>47.4</c:v>
                </c:pt>
                <c:pt idx="56">
                  <c:v>46</c:v>
                </c:pt>
                <c:pt idx="57">
                  <c:v>46.8</c:v>
                </c:pt>
                <c:pt idx="58">
                  <c:v>46</c:v>
                </c:pt>
                <c:pt idx="59">
                  <c:v>49.8</c:v>
                </c:pt>
                <c:pt idx="60">
                  <c:v>50.3</c:v>
                </c:pt>
                <c:pt idx="61">
                  <c:v>49</c:v>
                </c:pt>
                <c:pt idx="62">
                  <c:v>48.1</c:v>
                </c:pt>
                <c:pt idx="63">
                  <c:v>49.4</c:v>
                </c:pt>
                <c:pt idx="64">
                  <c:v>48.6</c:v>
                </c:pt>
                <c:pt idx="65">
                  <c:v>50.7</c:v>
                </c:pt>
                <c:pt idx="66">
                  <c:v>51.8</c:v>
                </c:pt>
                <c:pt idx="67">
                  <c:v>51.1</c:v>
                </c:pt>
                <c:pt idx="68">
                  <c:v>51.7</c:v>
                </c:pt>
                <c:pt idx="69">
                  <c:v>52.7</c:v>
                </c:pt>
                <c:pt idx="70">
                  <c:v>54.3</c:v>
                </c:pt>
                <c:pt idx="71">
                  <c:v>56.6</c:v>
                </c:pt>
                <c:pt idx="72">
                  <c:v>54.8</c:v>
                </c:pt>
                <c:pt idx="73">
                  <c:v>53.7</c:v>
                </c:pt>
                <c:pt idx="74">
                  <c:v>54.1</c:v>
                </c:pt>
                <c:pt idx="75">
                  <c:v>52.3</c:v>
                </c:pt>
                <c:pt idx="76">
                  <c:v>52</c:v>
                </c:pt>
                <c:pt idx="77">
                  <c:v>52.4</c:v>
                </c:pt>
                <c:pt idx="78">
                  <c:v>51.4</c:v>
                </c:pt>
                <c:pt idx="79">
                  <c:v>49.9</c:v>
                </c:pt>
                <c:pt idx="80">
                  <c:v>51.4</c:v>
                </c:pt>
                <c:pt idx="81">
                  <c:v>49.5</c:v>
                </c:pt>
                <c:pt idx="115">
                  <c:v>50.1</c:v>
                </c:pt>
                <c:pt idx="116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9-488F-A58D-2D39E973D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343104"/>
        <c:axId val="543229824"/>
      </c:lineChart>
      <c:dateAx>
        <c:axId val="54134310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3229824"/>
        <c:crossesAt val="50"/>
        <c:auto val="1"/>
        <c:lblOffset val="100"/>
        <c:baseTimeUnit val="months"/>
        <c:majorUnit val="1"/>
        <c:majorTimeUnit val="years"/>
      </c:dateAx>
      <c:valAx>
        <c:axId val="543229824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1343104"/>
        <c:crosses val="autoZero"/>
        <c:crossBetween val="between"/>
        <c:majorUnit val="7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53E-2"/>
          <c:y val="0.13663060292737222"/>
          <c:w val="0.17144935767426805"/>
          <c:h val="7.3404288822653735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Germany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DE!$B$38</c:f>
              <c:strCache>
                <c:ptCount val="1"/>
                <c:pt idx="0">
                  <c:v>Germany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DE!$A$40:$A$238</c:f>
              <c:numCache>
                <c:formatCode>[$-409]mmm\-yy;@</c:formatCode>
                <c:ptCount val="199"/>
                <c:pt idx="0">
                  <c:v>39479</c:v>
                </c:pt>
                <c:pt idx="1">
                  <c:v>39508</c:v>
                </c:pt>
                <c:pt idx="2">
                  <c:v>39539</c:v>
                </c:pt>
                <c:pt idx="3">
                  <c:v>39569</c:v>
                </c:pt>
                <c:pt idx="4">
                  <c:v>39600</c:v>
                </c:pt>
                <c:pt idx="5">
                  <c:v>39630</c:v>
                </c:pt>
                <c:pt idx="6">
                  <c:v>39661</c:v>
                </c:pt>
                <c:pt idx="7">
                  <c:v>39692</c:v>
                </c:pt>
                <c:pt idx="8">
                  <c:v>39722</c:v>
                </c:pt>
                <c:pt idx="9">
                  <c:v>39753</c:v>
                </c:pt>
                <c:pt idx="10">
                  <c:v>39783</c:v>
                </c:pt>
                <c:pt idx="11">
                  <c:v>39814</c:v>
                </c:pt>
                <c:pt idx="12">
                  <c:v>39845</c:v>
                </c:pt>
                <c:pt idx="13">
                  <c:v>39873</c:v>
                </c:pt>
                <c:pt idx="14">
                  <c:v>39904</c:v>
                </c:pt>
                <c:pt idx="15">
                  <c:v>39934</c:v>
                </c:pt>
                <c:pt idx="16">
                  <c:v>39965</c:v>
                </c:pt>
                <c:pt idx="17">
                  <c:v>39995</c:v>
                </c:pt>
                <c:pt idx="18">
                  <c:v>40026</c:v>
                </c:pt>
                <c:pt idx="19">
                  <c:v>40057</c:v>
                </c:pt>
                <c:pt idx="20">
                  <c:v>40087</c:v>
                </c:pt>
                <c:pt idx="21">
                  <c:v>40118</c:v>
                </c:pt>
                <c:pt idx="22">
                  <c:v>40148</c:v>
                </c:pt>
                <c:pt idx="23">
                  <c:v>40179</c:v>
                </c:pt>
                <c:pt idx="24">
                  <c:v>40210</c:v>
                </c:pt>
                <c:pt idx="25">
                  <c:v>40238</c:v>
                </c:pt>
                <c:pt idx="26">
                  <c:v>40269</c:v>
                </c:pt>
                <c:pt idx="27">
                  <c:v>40299</c:v>
                </c:pt>
                <c:pt idx="28">
                  <c:v>40330</c:v>
                </c:pt>
                <c:pt idx="29">
                  <c:v>40360</c:v>
                </c:pt>
                <c:pt idx="30">
                  <c:v>40391</c:v>
                </c:pt>
                <c:pt idx="31">
                  <c:v>40422</c:v>
                </c:pt>
                <c:pt idx="32">
                  <c:v>40452</c:v>
                </c:pt>
                <c:pt idx="33">
                  <c:v>40483</c:v>
                </c:pt>
                <c:pt idx="34">
                  <c:v>40513</c:v>
                </c:pt>
                <c:pt idx="35">
                  <c:v>40544</c:v>
                </c:pt>
                <c:pt idx="36">
                  <c:v>40575</c:v>
                </c:pt>
                <c:pt idx="37">
                  <c:v>40603</c:v>
                </c:pt>
                <c:pt idx="38">
                  <c:v>40634</c:v>
                </c:pt>
                <c:pt idx="39">
                  <c:v>40664</c:v>
                </c:pt>
                <c:pt idx="40">
                  <c:v>40695</c:v>
                </c:pt>
                <c:pt idx="41">
                  <c:v>40725</c:v>
                </c:pt>
                <c:pt idx="42">
                  <c:v>40756</c:v>
                </c:pt>
                <c:pt idx="43">
                  <c:v>40787</c:v>
                </c:pt>
                <c:pt idx="44">
                  <c:v>40817</c:v>
                </c:pt>
                <c:pt idx="45">
                  <c:v>40848</c:v>
                </c:pt>
                <c:pt idx="46">
                  <c:v>40878</c:v>
                </c:pt>
                <c:pt idx="47">
                  <c:v>40909</c:v>
                </c:pt>
                <c:pt idx="48">
                  <c:v>40940</c:v>
                </c:pt>
                <c:pt idx="49">
                  <c:v>40969</c:v>
                </c:pt>
                <c:pt idx="50">
                  <c:v>41000</c:v>
                </c:pt>
                <c:pt idx="51">
                  <c:v>41030</c:v>
                </c:pt>
                <c:pt idx="52">
                  <c:v>41061</c:v>
                </c:pt>
                <c:pt idx="53">
                  <c:v>41091</c:v>
                </c:pt>
                <c:pt idx="54">
                  <c:v>41122</c:v>
                </c:pt>
                <c:pt idx="55">
                  <c:v>41153</c:v>
                </c:pt>
                <c:pt idx="56">
                  <c:v>41183</c:v>
                </c:pt>
                <c:pt idx="57">
                  <c:v>41214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41487</c:v>
                </c:pt>
                <c:pt idx="67">
                  <c:v>41518</c:v>
                </c:pt>
                <c:pt idx="68">
                  <c:v>41548</c:v>
                </c:pt>
                <c:pt idx="69">
                  <c:v>41579</c:v>
                </c:pt>
                <c:pt idx="70">
                  <c:v>41609</c:v>
                </c:pt>
                <c:pt idx="71">
                  <c:v>41640</c:v>
                </c:pt>
                <c:pt idx="72">
                  <c:v>41671</c:v>
                </c:pt>
                <c:pt idx="73">
                  <c:v>41699</c:v>
                </c:pt>
                <c:pt idx="74">
                  <c:v>41730</c:v>
                </c:pt>
                <c:pt idx="75">
                  <c:v>41760</c:v>
                </c:pt>
                <c:pt idx="76">
                  <c:v>41791</c:v>
                </c:pt>
                <c:pt idx="77">
                  <c:v>41821</c:v>
                </c:pt>
                <c:pt idx="78">
                  <c:v>41852</c:v>
                </c:pt>
                <c:pt idx="79">
                  <c:v>41883</c:v>
                </c:pt>
                <c:pt idx="80">
                  <c:v>41913</c:v>
                </c:pt>
                <c:pt idx="81">
                  <c:v>41944</c:v>
                </c:pt>
                <c:pt idx="82">
                  <c:v>41974</c:v>
                </c:pt>
                <c:pt idx="83">
                  <c:v>42005</c:v>
                </c:pt>
                <c:pt idx="84">
                  <c:v>42036</c:v>
                </c:pt>
                <c:pt idx="85">
                  <c:v>42064</c:v>
                </c:pt>
                <c:pt idx="86">
                  <c:v>42095</c:v>
                </c:pt>
                <c:pt idx="87">
                  <c:v>42125</c:v>
                </c:pt>
                <c:pt idx="88">
                  <c:v>42156</c:v>
                </c:pt>
                <c:pt idx="89">
                  <c:v>42186</c:v>
                </c:pt>
                <c:pt idx="90">
                  <c:v>42217</c:v>
                </c:pt>
                <c:pt idx="91">
                  <c:v>42248</c:v>
                </c:pt>
                <c:pt idx="92">
                  <c:v>42278</c:v>
                </c:pt>
                <c:pt idx="93">
                  <c:v>42309</c:v>
                </c:pt>
                <c:pt idx="94">
                  <c:v>42339</c:v>
                </c:pt>
                <c:pt idx="95">
                  <c:v>42370</c:v>
                </c:pt>
                <c:pt idx="96">
                  <c:v>42401</c:v>
                </c:pt>
                <c:pt idx="97">
                  <c:v>42430</c:v>
                </c:pt>
                <c:pt idx="98">
                  <c:v>42461</c:v>
                </c:pt>
                <c:pt idx="99">
                  <c:v>42491</c:v>
                </c:pt>
                <c:pt idx="100">
                  <c:v>42522</c:v>
                </c:pt>
                <c:pt idx="101">
                  <c:v>42552</c:v>
                </c:pt>
                <c:pt idx="102">
                  <c:v>42583</c:v>
                </c:pt>
                <c:pt idx="103">
                  <c:v>42614</c:v>
                </c:pt>
                <c:pt idx="104">
                  <c:v>42644</c:v>
                </c:pt>
                <c:pt idx="105">
                  <c:v>42675</c:v>
                </c:pt>
                <c:pt idx="106">
                  <c:v>42705</c:v>
                </c:pt>
                <c:pt idx="107">
                  <c:v>42736</c:v>
                </c:pt>
                <c:pt idx="108">
                  <c:v>42767</c:v>
                </c:pt>
                <c:pt idx="109">
                  <c:v>42795</c:v>
                </c:pt>
                <c:pt idx="110">
                  <c:v>42826</c:v>
                </c:pt>
                <c:pt idx="111">
                  <c:v>42856</c:v>
                </c:pt>
                <c:pt idx="112">
                  <c:v>42887</c:v>
                </c:pt>
                <c:pt idx="113">
                  <c:v>42917</c:v>
                </c:pt>
                <c:pt idx="114">
                  <c:v>42948</c:v>
                </c:pt>
                <c:pt idx="115" formatCode="yyyy/mm/dd">
                  <c:v>46143</c:v>
                </c:pt>
                <c:pt idx="116" formatCode="yyyy/mm/dd">
                  <c:v>46174</c:v>
                </c:pt>
              </c:numCache>
            </c:numRef>
          </c:cat>
          <c:val>
            <c:numRef>
              <c:f>DE!$B$40:$B$238</c:f>
              <c:numCache>
                <c:formatCode>0.0</c:formatCode>
                <c:ptCount val="199"/>
                <c:pt idx="0">
                  <c:v>54.3</c:v>
                </c:pt>
                <c:pt idx="1">
                  <c:v>54.9</c:v>
                </c:pt>
                <c:pt idx="2">
                  <c:v>53.6</c:v>
                </c:pt>
                <c:pt idx="3">
                  <c:v>53.5</c:v>
                </c:pt>
                <c:pt idx="4">
                  <c:v>52.3</c:v>
                </c:pt>
                <c:pt idx="5">
                  <c:v>50.9</c:v>
                </c:pt>
                <c:pt idx="6">
                  <c:v>49.9</c:v>
                </c:pt>
                <c:pt idx="7">
                  <c:v>48.1</c:v>
                </c:pt>
                <c:pt idx="8">
                  <c:v>43.3</c:v>
                </c:pt>
                <c:pt idx="9">
                  <c:v>36.700000000000003</c:v>
                </c:pt>
                <c:pt idx="10">
                  <c:v>33.5</c:v>
                </c:pt>
                <c:pt idx="11">
                  <c:v>32</c:v>
                </c:pt>
                <c:pt idx="12">
                  <c:v>32.200000000000003</c:v>
                </c:pt>
                <c:pt idx="13">
                  <c:v>32.4</c:v>
                </c:pt>
                <c:pt idx="14">
                  <c:v>35</c:v>
                </c:pt>
                <c:pt idx="15">
                  <c:v>39.6</c:v>
                </c:pt>
                <c:pt idx="16">
                  <c:v>40.9</c:v>
                </c:pt>
                <c:pt idx="17">
                  <c:v>45.2</c:v>
                </c:pt>
                <c:pt idx="18">
                  <c:v>49</c:v>
                </c:pt>
                <c:pt idx="19">
                  <c:v>49.6</c:v>
                </c:pt>
                <c:pt idx="20">
                  <c:v>51.1</c:v>
                </c:pt>
                <c:pt idx="21">
                  <c:v>52.4</c:v>
                </c:pt>
                <c:pt idx="22">
                  <c:v>53.1</c:v>
                </c:pt>
                <c:pt idx="23">
                  <c:v>53.4</c:v>
                </c:pt>
                <c:pt idx="24">
                  <c:v>57.2</c:v>
                </c:pt>
                <c:pt idx="25">
                  <c:v>59.6</c:v>
                </c:pt>
                <c:pt idx="26">
                  <c:v>61.5</c:v>
                </c:pt>
                <c:pt idx="27">
                  <c:v>58.4</c:v>
                </c:pt>
                <c:pt idx="28">
                  <c:v>58.1</c:v>
                </c:pt>
                <c:pt idx="29">
                  <c:v>61.2</c:v>
                </c:pt>
                <c:pt idx="30">
                  <c:v>58.2</c:v>
                </c:pt>
                <c:pt idx="31">
                  <c:v>55.3</c:v>
                </c:pt>
                <c:pt idx="32">
                  <c:v>56.6</c:v>
                </c:pt>
                <c:pt idx="33">
                  <c:v>58.1</c:v>
                </c:pt>
                <c:pt idx="34">
                  <c:v>60.9</c:v>
                </c:pt>
                <c:pt idx="35">
                  <c:v>60.5</c:v>
                </c:pt>
                <c:pt idx="36">
                  <c:v>62.7</c:v>
                </c:pt>
                <c:pt idx="37">
                  <c:v>60.9</c:v>
                </c:pt>
                <c:pt idx="38">
                  <c:v>62</c:v>
                </c:pt>
                <c:pt idx="39">
                  <c:v>57.7</c:v>
                </c:pt>
                <c:pt idx="40">
                  <c:v>54.9</c:v>
                </c:pt>
                <c:pt idx="41">
                  <c:v>52</c:v>
                </c:pt>
                <c:pt idx="42">
                  <c:v>50.9</c:v>
                </c:pt>
                <c:pt idx="43">
                  <c:v>50.3</c:v>
                </c:pt>
                <c:pt idx="44">
                  <c:v>49.1</c:v>
                </c:pt>
                <c:pt idx="45">
                  <c:v>47.9</c:v>
                </c:pt>
                <c:pt idx="46">
                  <c:v>48.4</c:v>
                </c:pt>
                <c:pt idx="47">
                  <c:v>51</c:v>
                </c:pt>
                <c:pt idx="48">
                  <c:v>50.2</c:v>
                </c:pt>
                <c:pt idx="49">
                  <c:v>48.4</c:v>
                </c:pt>
                <c:pt idx="50">
                  <c:v>46.2</c:v>
                </c:pt>
                <c:pt idx="51">
                  <c:v>45.2</c:v>
                </c:pt>
                <c:pt idx="52">
                  <c:v>45</c:v>
                </c:pt>
                <c:pt idx="53">
                  <c:v>43</c:v>
                </c:pt>
                <c:pt idx="54">
                  <c:v>44.7</c:v>
                </c:pt>
                <c:pt idx="55">
                  <c:v>47.4</c:v>
                </c:pt>
                <c:pt idx="56">
                  <c:v>46</c:v>
                </c:pt>
                <c:pt idx="57">
                  <c:v>46.8</c:v>
                </c:pt>
                <c:pt idx="58">
                  <c:v>46</c:v>
                </c:pt>
                <c:pt idx="59">
                  <c:v>49.8</c:v>
                </c:pt>
                <c:pt idx="60">
                  <c:v>50.3</c:v>
                </c:pt>
                <c:pt idx="61">
                  <c:v>49</c:v>
                </c:pt>
                <c:pt idx="62">
                  <c:v>48.1</c:v>
                </c:pt>
                <c:pt idx="63">
                  <c:v>49.4</c:v>
                </c:pt>
                <c:pt idx="64">
                  <c:v>48.6</c:v>
                </c:pt>
                <c:pt idx="65">
                  <c:v>50.7</c:v>
                </c:pt>
                <c:pt idx="66">
                  <c:v>51.8</c:v>
                </c:pt>
                <c:pt idx="67">
                  <c:v>51.1</c:v>
                </c:pt>
                <c:pt idx="68">
                  <c:v>51.7</c:v>
                </c:pt>
                <c:pt idx="69">
                  <c:v>52.7</c:v>
                </c:pt>
                <c:pt idx="70">
                  <c:v>54.3</c:v>
                </c:pt>
                <c:pt idx="71">
                  <c:v>56.6</c:v>
                </c:pt>
                <c:pt idx="72">
                  <c:v>54.8</c:v>
                </c:pt>
                <c:pt idx="73">
                  <c:v>53.7</c:v>
                </c:pt>
                <c:pt idx="74">
                  <c:v>54.1</c:v>
                </c:pt>
                <c:pt idx="75">
                  <c:v>52.3</c:v>
                </c:pt>
                <c:pt idx="76">
                  <c:v>52</c:v>
                </c:pt>
                <c:pt idx="77">
                  <c:v>52.4</c:v>
                </c:pt>
                <c:pt idx="78">
                  <c:v>51.4</c:v>
                </c:pt>
                <c:pt idx="79">
                  <c:v>49.9</c:v>
                </c:pt>
                <c:pt idx="80">
                  <c:v>51.4</c:v>
                </c:pt>
                <c:pt idx="81">
                  <c:v>49.5</c:v>
                </c:pt>
                <c:pt idx="115">
                  <c:v>50.1</c:v>
                </c:pt>
                <c:pt idx="116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1-4C48-9B8D-FED989E8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266560"/>
        <c:axId val="615542784"/>
      </c:areaChart>
      <c:barChart>
        <c:barDir val="col"/>
        <c:grouping val="clustered"/>
        <c:varyColors val="0"/>
        <c:ser>
          <c:idx val="2"/>
          <c:order val="2"/>
          <c:tx>
            <c:strRef>
              <c:f>DE!$D$38</c:f>
              <c:strCache>
                <c:ptCount val="1"/>
                <c:pt idx="0">
                  <c:v>Germany GDP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381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0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DE!$D$40:$D$138</c:f>
              <c:numCache>
                <c:formatCode>0.0%</c:formatCode>
                <c:ptCount val="99"/>
                <c:pt idx="1">
                  <c:v>1.6E-2</c:v>
                </c:pt>
                <c:pt idx="4">
                  <c:v>-6.0000000000000001E-3</c:v>
                </c:pt>
                <c:pt idx="7">
                  <c:v>-3.0000000000000001E-3</c:v>
                </c:pt>
                <c:pt idx="10">
                  <c:v>-2.4E-2</c:v>
                </c:pt>
                <c:pt idx="13">
                  <c:v>-3.6999999999999998E-2</c:v>
                </c:pt>
                <c:pt idx="16">
                  <c:v>5.0000000000000001E-3</c:v>
                </c:pt>
                <c:pt idx="19">
                  <c:v>8.0000000000000002E-3</c:v>
                </c:pt>
                <c:pt idx="22">
                  <c:v>5.0000000000000001E-3</c:v>
                </c:pt>
                <c:pt idx="25">
                  <c:v>5.0000000000000001E-3</c:v>
                </c:pt>
                <c:pt idx="28">
                  <c:v>2.1000000000000001E-2</c:v>
                </c:pt>
                <c:pt idx="31">
                  <c:v>8.0000000000000002E-3</c:v>
                </c:pt>
                <c:pt idx="34">
                  <c:v>4.0000000000000001E-3</c:v>
                </c:pt>
                <c:pt idx="37">
                  <c:v>1.4999999999999999E-2</c:v>
                </c:pt>
                <c:pt idx="40">
                  <c:v>1E-3</c:v>
                </c:pt>
                <c:pt idx="43">
                  <c:v>4.0000000000000001E-3</c:v>
                </c:pt>
                <c:pt idx="46">
                  <c:v>1E-3</c:v>
                </c:pt>
                <c:pt idx="49">
                  <c:v>7.0000000000000001E-3</c:v>
                </c:pt>
                <c:pt idx="52">
                  <c:v>-1E-3</c:v>
                </c:pt>
                <c:pt idx="55">
                  <c:v>2E-3</c:v>
                </c:pt>
                <c:pt idx="58">
                  <c:v>-5.0000000000000001E-3</c:v>
                </c:pt>
                <c:pt idx="61">
                  <c:v>1E-3</c:v>
                </c:pt>
                <c:pt idx="64">
                  <c:v>7.0000000000000001E-3</c:v>
                </c:pt>
                <c:pt idx="67">
                  <c:v>3.0000000000000001E-3</c:v>
                </c:pt>
                <c:pt idx="70">
                  <c:v>4.0000000000000001E-3</c:v>
                </c:pt>
                <c:pt idx="73">
                  <c:v>7.0000000000000001E-3</c:v>
                </c:pt>
                <c:pt idx="76">
                  <c:v>-2E-3</c:v>
                </c:pt>
                <c:pt idx="79" formatCode="0.00%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1-4C48-9B8D-FED989E8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29772416"/>
        <c:axId val="61554547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DE!$B$40:$B$238</c:f>
              <c:numCache>
                <c:formatCode>0.0</c:formatCode>
                <c:ptCount val="199"/>
                <c:pt idx="0">
                  <c:v>54.3</c:v>
                </c:pt>
                <c:pt idx="1">
                  <c:v>54.9</c:v>
                </c:pt>
                <c:pt idx="2">
                  <c:v>53.6</c:v>
                </c:pt>
                <c:pt idx="3">
                  <c:v>53.5</c:v>
                </c:pt>
                <c:pt idx="4">
                  <c:v>52.3</c:v>
                </c:pt>
                <c:pt idx="5">
                  <c:v>50.9</c:v>
                </c:pt>
                <c:pt idx="6">
                  <c:v>49.9</c:v>
                </c:pt>
                <c:pt idx="7">
                  <c:v>48.1</c:v>
                </c:pt>
                <c:pt idx="8">
                  <c:v>43.3</c:v>
                </c:pt>
                <c:pt idx="9">
                  <c:v>36.700000000000003</c:v>
                </c:pt>
                <c:pt idx="10">
                  <c:v>33.5</c:v>
                </c:pt>
                <c:pt idx="11">
                  <c:v>32</c:v>
                </c:pt>
                <c:pt idx="12">
                  <c:v>32.200000000000003</c:v>
                </c:pt>
                <c:pt idx="13">
                  <c:v>32.4</c:v>
                </c:pt>
                <c:pt idx="14">
                  <c:v>35</c:v>
                </c:pt>
                <c:pt idx="15">
                  <c:v>39.6</c:v>
                </c:pt>
                <c:pt idx="16">
                  <c:v>40.9</c:v>
                </c:pt>
                <c:pt idx="17">
                  <c:v>45.2</c:v>
                </c:pt>
                <c:pt idx="18">
                  <c:v>49</c:v>
                </c:pt>
                <c:pt idx="19">
                  <c:v>49.6</c:v>
                </c:pt>
                <c:pt idx="20">
                  <c:v>51.1</c:v>
                </c:pt>
                <c:pt idx="21">
                  <c:v>52.4</c:v>
                </c:pt>
                <c:pt idx="22">
                  <c:v>53.1</c:v>
                </c:pt>
                <c:pt idx="23">
                  <c:v>53.4</c:v>
                </c:pt>
                <c:pt idx="24">
                  <c:v>57.2</c:v>
                </c:pt>
                <c:pt idx="25">
                  <c:v>59.6</c:v>
                </c:pt>
                <c:pt idx="26">
                  <c:v>61.5</c:v>
                </c:pt>
                <c:pt idx="27">
                  <c:v>58.4</c:v>
                </c:pt>
                <c:pt idx="28">
                  <c:v>58.1</c:v>
                </c:pt>
                <c:pt idx="29">
                  <c:v>61.2</c:v>
                </c:pt>
                <c:pt idx="30">
                  <c:v>58.2</c:v>
                </c:pt>
                <c:pt idx="31">
                  <c:v>55.3</c:v>
                </c:pt>
                <c:pt idx="32">
                  <c:v>56.6</c:v>
                </c:pt>
                <c:pt idx="33">
                  <c:v>58.1</c:v>
                </c:pt>
                <c:pt idx="34">
                  <c:v>60.9</c:v>
                </c:pt>
                <c:pt idx="35">
                  <c:v>60.5</c:v>
                </c:pt>
                <c:pt idx="36">
                  <c:v>62.7</c:v>
                </c:pt>
                <c:pt idx="37">
                  <c:v>60.9</c:v>
                </c:pt>
                <c:pt idx="38">
                  <c:v>62</c:v>
                </c:pt>
                <c:pt idx="39">
                  <c:v>57.7</c:v>
                </c:pt>
                <c:pt idx="40">
                  <c:v>54.9</c:v>
                </c:pt>
                <c:pt idx="41">
                  <c:v>52</c:v>
                </c:pt>
                <c:pt idx="42">
                  <c:v>50.9</c:v>
                </c:pt>
                <c:pt idx="43">
                  <c:v>50.3</c:v>
                </c:pt>
                <c:pt idx="44">
                  <c:v>49.1</c:v>
                </c:pt>
                <c:pt idx="45">
                  <c:v>47.9</c:v>
                </c:pt>
                <c:pt idx="46">
                  <c:v>48.4</c:v>
                </c:pt>
                <c:pt idx="47">
                  <c:v>51</c:v>
                </c:pt>
                <c:pt idx="48">
                  <c:v>50.2</c:v>
                </c:pt>
                <c:pt idx="49">
                  <c:v>48.4</c:v>
                </c:pt>
                <c:pt idx="50">
                  <c:v>46.2</c:v>
                </c:pt>
                <c:pt idx="51">
                  <c:v>45.2</c:v>
                </c:pt>
                <c:pt idx="52">
                  <c:v>45</c:v>
                </c:pt>
                <c:pt idx="53">
                  <c:v>43</c:v>
                </c:pt>
                <c:pt idx="54">
                  <c:v>44.7</c:v>
                </c:pt>
                <c:pt idx="55">
                  <c:v>47.4</c:v>
                </c:pt>
                <c:pt idx="56">
                  <c:v>46</c:v>
                </c:pt>
                <c:pt idx="57">
                  <c:v>46.8</c:v>
                </c:pt>
                <c:pt idx="58">
                  <c:v>46</c:v>
                </c:pt>
                <c:pt idx="59">
                  <c:v>49.8</c:v>
                </c:pt>
                <c:pt idx="60">
                  <c:v>50.3</c:v>
                </c:pt>
                <c:pt idx="61">
                  <c:v>49</c:v>
                </c:pt>
                <c:pt idx="62">
                  <c:v>48.1</c:v>
                </c:pt>
                <c:pt idx="63">
                  <c:v>49.4</c:v>
                </c:pt>
                <c:pt idx="64">
                  <c:v>48.6</c:v>
                </c:pt>
                <c:pt idx="65">
                  <c:v>50.7</c:v>
                </c:pt>
                <c:pt idx="66">
                  <c:v>51.8</c:v>
                </c:pt>
                <c:pt idx="67">
                  <c:v>51.1</c:v>
                </c:pt>
                <c:pt idx="68">
                  <c:v>51.7</c:v>
                </c:pt>
                <c:pt idx="69">
                  <c:v>52.7</c:v>
                </c:pt>
                <c:pt idx="70">
                  <c:v>54.3</c:v>
                </c:pt>
                <c:pt idx="71">
                  <c:v>56.6</c:v>
                </c:pt>
                <c:pt idx="72">
                  <c:v>54.8</c:v>
                </c:pt>
                <c:pt idx="73">
                  <c:v>53.7</c:v>
                </c:pt>
                <c:pt idx="74">
                  <c:v>54.1</c:v>
                </c:pt>
                <c:pt idx="75">
                  <c:v>52.3</c:v>
                </c:pt>
                <c:pt idx="76">
                  <c:v>52</c:v>
                </c:pt>
                <c:pt idx="77">
                  <c:v>52.4</c:v>
                </c:pt>
                <c:pt idx="78">
                  <c:v>51.4</c:v>
                </c:pt>
                <c:pt idx="79">
                  <c:v>49.9</c:v>
                </c:pt>
                <c:pt idx="80">
                  <c:v>51.4</c:v>
                </c:pt>
                <c:pt idx="81">
                  <c:v>49.5</c:v>
                </c:pt>
                <c:pt idx="115">
                  <c:v>50.1</c:v>
                </c:pt>
                <c:pt idx="116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F1-4C48-9B8D-FED989E8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266560"/>
        <c:axId val="615542784"/>
      </c:lineChart>
      <c:dateAx>
        <c:axId val="61526656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5542784"/>
        <c:crossesAt val="50"/>
        <c:auto val="1"/>
        <c:lblOffset val="100"/>
        <c:baseTimeUnit val="months"/>
        <c:majorUnit val="1"/>
        <c:majorTimeUnit val="years"/>
      </c:dateAx>
      <c:valAx>
        <c:axId val="615542784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5266560"/>
        <c:crosses val="autoZero"/>
        <c:crossBetween val="between"/>
        <c:majorUnit val="7"/>
      </c:valAx>
      <c:valAx>
        <c:axId val="615545472"/>
        <c:scaling>
          <c:orientation val="minMax"/>
          <c:max val="2.7000000000000007E-2"/>
          <c:min val="-4.0000000000000008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729772416"/>
        <c:crosses val="max"/>
        <c:crossBetween val="between"/>
      </c:valAx>
      <c:catAx>
        <c:axId val="729772416"/>
        <c:scaling>
          <c:orientation val="minMax"/>
        </c:scaling>
        <c:delete val="1"/>
        <c:axPos val="b"/>
        <c:majorTickMark val="out"/>
        <c:minorTickMark val="none"/>
        <c:tickLblPos val="nextTo"/>
        <c:crossAx val="61554547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34583378276345594"/>
          <c:y val="0.65571270303168627"/>
          <c:w val="0.14054174306978751"/>
          <c:h val="9.4609437407280617E-2"/>
        </c:manualLayout>
      </c:layout>
      <c:overlay val="0"/>
      <c:txPr>
        <a:bodyPr/>
        <a:lstStyle/>
        <a:p>
          <a:pPr>
            <a:defRPr sz="800" baseline="0">
              <a:solidFill>
                <a:schemeClr val="bg1"/>
              </a:solidFill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Germany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DE!$B$38</c:f>
              <c:strCache>
                <c:ptCount val="1"/>
                <c:pt idx="0">
                  <c:v>Germany PMI</c:v>
                </c:pt>
              </c:strCache>
            </c:strRef>
          </c:tx>
          <c:spPr>
            <a:solidFill>
              <a:srgbClr val="00B050"/>
            </a:solidFill>
            <a:ln w="19050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DE!$A$40:$A$238</c:f>
              <c:numCache>
                <c:formatCode>[$-409]mmm\-yy;@</c:formatCode>
                <c:ptCount val="199"/>
                <c:pt idx="0">
                  <c:v>39479</c:v>
                </c:pt>
                <c:pt idx="1">
                  <c:v>39508</c:v>
                </c:pt>
                <c:pt idx="2">
                  <c:v>39539</c:v>
                </c:pt>
                <c:pt idx="3">
                  <c:v>39569</c:v>
                </c:pt>
                <c:pt idx="4">
                  <c:v>39600</c:v>
                </c:pt>
                <c:pt idx="5">
                  <c:v>39630</c:v>
                </c:pt>
                <c:pt idx="6">
                  <c:v>39661</c:v>
                </c:pt>
                <c:pt idx="7">
                  <c:v>39692</c:v>
                </c:pt>
                <c:pt idx="8">
                  <c:v>39722</c:v>
                </c:pt>
                <c:pt idx="9">
                  <c:v>39753</c:v>
                </c:pt>
                <c:pt idx="10">
                  <c:v>39783</c:v>
                </c:pt>
                <c:pt idx="11">
                  <c:v>39814</c:v>
                </c:pt>
                <c:pt idx="12">
                  <c:v>39845</c:v>
                </c:pt>
                <c:pt idx="13">
                  <c:v>39873</c:v>
                </c:pt>
                <c:pt idx="14">
                  <c:v>39904</c:v>
                </c:pt>
                <c:pt idx="15">
                  <c:v>39934</c:v>
                </c:pt>
                <c:pt idx="16">
                  <c:v>39965</c:v>
                </c:pt>
                <c:pt idx="17">
                  <c:v>39995</c:v>
                </c:pt>
                <c:pt idx="18">
                  <c:v>40026</c:v>
                </c:pt>
                <c:pt idx="19">
                  <c:v>40057</c:v>
                </c:pt>
                <c:pt idx="20">
                  <c:v>40087</c:v>
                </c:pt>
                <c:pt idx="21">
                  <c:v>40118</c:v>
                </c:pt>
                <c:pt idx="22">
                  <c:v>40148</c:v>
                </c:pt>
                <c:pt idx="23">
                  <c:v>40179</c:v>
                </c:pt>
                <c:pt idx="24">
                  <c:v>40210</c:v>
                </c:pt>
                <c:pt idx="25">
                  <c:v>40238</c:v>
                </c:pt>
                <c:pt idx="26">
                  <c:v>40269</c:v>
                </c:pt>
                <c:pt idx="27">
                  <c:v>40299</c:v>
                </c:pt>
                <c:pt idx="28">
                  <c:v>40330</c:v>
                </c:pt>
                <c:pt idx="29">
                  <c:v>40360</c:v>
                </c:pt>
                <c:pt idx="30">
                  <c:v>40391</c:v>
                </c:pt>
                <c:pt idx="31">
                  <c:v>40422</c:v>
                </c:pt>
                <c:pt idx="32">
                  <c:v>40452</c:v>
                </c:pt>
                <c:pt idx="33">
                  <c:v>40483</c:v>
                </c:pt>
                <c:pt idx="34">
                  <c:v>40513</c:v>
                </c:pt>
                <c:pt idx="35">
                  <c:v>40544</c:v>
                </c:pt>
                <c:pt idx="36">
                  <c:v>40575</c:v>
                </c:pt>
                <c:pt idx="37">
                  <c:v>40603</c:v>
                </c:pt>
                <c:pt idx="38">
                  <c:v>40634</c:v>
                </c:pt>
                <c:pt idx="39">
                  <c:v>40664</c:v>
                </c:pt>
                <c:pt idx="40">
                  <c:v>40695</c:v>
                </c:pt>
                <c:pt idx="41">
                  <c:v>40725</c:v>
                </c:pt>
                <c:pt idx="42">
                  <c:v>40756</c:v>
                </c:pt>
                <c:pt idx="43">
                  <c:v>40787</c:v>
                </c:pt>
                <c:pt idx="44">
                  <c:v>40817</c:v>
                </c:pt>
                <c:pt idx="45">
                  <c:v>40848</c:v>
                </c:pt>
                <c:pt idx="46">
                  <c:v>40878</c:v>
                </c:pt>
                <c:pt idx="47">
                  <c:v>40909</c:v>
                </c:pt>
                <c:pt idx="48">
                  <c:v>40940</c:v>
                </c:pt>
                <c:pt idx="49">
                  <c:v>40969</c:v>
                </c:pt>
                <c:pt idx="50">
                  <c:v>41000</c:v>
                </c:pt>
                <c:pt idx="51">
                  <c:v>41030</c:v>
                </c:pt>
                <c:pt idx="52">
                  <c:v>41061</c:v>
                </c:pt>
                <c:pt idx="53">
                  <c:v>41091</c:v>
                </c:pt>
                <c:pt idx="54">
                  <c:v>41122</c:v>
                </c:pt>
                <c:pt idx="55">
                  <c:v>41153</c:v>
                </c:pt>
                <c:pt idx="56">
                  <c:v>41183</c:v>
                </c:pt>
                <c:pt idx="57">
                  <c:v>41214</c:v>
                </c:pt>
                <c:pt idx="58">
                  <c:v>41244</c:v>
                </c:pt>
                <c:pt idx="59">
                  <c:v>41275</c:v>
                </c:pt>
                <c:pt idx="60">
                  <c:v>41306</c:v>
                </c:pt>
                <c:pt idx="61">
                  <c:v>41334</c:v>
                </c:pt>
                <c:pt idx="62">
                  <c:v>41365</c:v>
                </c:pt>
                <c:pt idx="63">
                  <c:v>41395</c:v>
                </c:pt>
                <c:pt idx="64">
                  <c:v>41426</c:v>
                </c:pt>
                <c:pt idx="65">
                  <c:v>41456</c:v>
                </c:pt>
                <c:pt idx="66">
                  <c:v>41487</c:v>
                </c:pt>
                <c:pt idx="67">
                  <c:v>41518</c:v>
                </c:pt>
                <c:pt idx="68">
                  <c:v>41548</c:v>
                </c:pt>
                <c:pt idx="69">
                  <c:v>41579</c:v>
                </c:pt>
                <c:pt idx="70">
                  <c:v>41609</c:v>
                </c:pt>
                <c:pt idx="71">
                  <c:v>41640</c:v>
                </c:pt>
                <c:pt idx="72">
                  <c:v>41671</c:v>
                </c:pt>
                <c:pt idx="73">
                  <c:v>41699</c:v>
                </c:pt>
                <c:pt idx="74">
                  <c:v>41730</c:v>
                </c:pt>
                <c:pt idx="75">
                  <c:v>41760</c:v>
                </c:pt>
                <c:pt idx="76">
                  <c:v>41791</c:v>
                </c:pt>
                <c:pt idx="77">
                  <c:v>41821</c:v>
                </c:pt>
                <c:pt idx="78">
                  <c:v>41852</c:v>
                </c:pt>
                <c:pt idx="79">
                  <c:v>41883</c:v>
                </c:pt>
                <c:pt idx="80">
                  <c:v>41913</c:v>
                </c:pt>
                <c:pt idx="81">
                  <c:v>41944</c:v>
                </c:pt>
                <c:pt idx="82">
                  <c:v>41974</c:v>
                </c:pt>
                <c:pt idx="83">
                  <c:v>42005</c:v>
                </c:pt>
                <c:pt idx="84">
                  <c:v>42036</c:v>
                </c:pt>
                <c:pt idx="85">
                  <c:v>42064</c:v>
                </c:pt>
                <c:pt idx="86">
                  <c:v>42095</c:v>
                </c:pt>
                <c:pt idx="87">
                  <c:v>42125</c:v>
                </c:pt>
                <c:pt idx="88">
                  <c:v>42156</c:v>
                </c:pt>
                <c:pt idx="89">
                  <c:v>42186</c:v>
                </c:pt>
                <c:pt idx="90">
                  <c:v>42217</c:v>
                </c:pt>
                <c:pt idx="91">
                  <c:v>42248</c:v>
                </c:pt>
                <c:pt idx="92">
                  <c:v>42278</c:v>
                </c:pt>
                <c:pt idx="93">
                  <c:v>42309</c:v>
                </c:pt>
                <c:pt idx="94">
                  <c:v>42339</c:v>
                </c:pt>
                <c:pt idx="95">
                  <c:v>42370</c:v>
                </c:pt>
                <c:pt idx="96">
                  <c:v>42401</c:v>
                </c:pt>
                <c:pt idx="97">
                  <c:v>42430</c:v>
                </c:pt>
                <c:pt idx="98">
                  <c:v>42461</c:v>
                </c:pt>
                <c:pt idx="99">
                  <c:v>42491</c:v>
                </c:pt>
                <c:pt idx="100">
                  <c:v>42522</c:v>
                </c:pt>
                <c:pt idx="101">
                  <c:v>42552</c:v>
                </c:pt>
                <c:pt idx="102">
                  <c:v>42583</c:v>
                </c:pt>
                <c:pt idx="103">
                  <c:v>42614</c:v>
                </c:pt>
                <c:pt idx="104">
                  <c:v>42644</c:v>
                </c:pt>
                <c:pt idx="105">
                  <c:v>42675</c:v>
                </c:pt>
                <c:pt idx="106">
                  <c:v>42705</c:v>
                </c:pt>
                <c:pt idx="107">
                  <c:v>42736</c:v>
                </c:pt>
                <c:pt idx="108">
                  <c:v>42767</c:v>
                </c:pt>
                <c:pt idx="109">
                  <c:v>42795</c:v>
                </c:pt>
                <c:pt idx="110">
                  <c:v>42826</c:v>
                </c:pt>
                <c:pt idx="111">
                  <c:v>42856</c:v>
                </c:pt>
                <c:pt idx="112">
                  <c:v>42887</c:v>
                </c:pt>
                <c:pt idx="113">
                  <c:v>42917</c:v>
                </c:pt>
                <c:pt idx="114">
                  <c:v>42948</c:v>
                </c:pt>
                <c:pt idx="115" formatCode="yyyy/mm/dd">
                  <c:v>46143</c:v>
                </c:pt>
                <c:pt idx="116" formatCode="yyyy/mm/dd">
                  <c:v>46174</c:v>
                </c:pt>
              </c:numCache>
            </c:numRef>
          </c:cat>
          <c:val>
            <c:numRef>
              <c:f>DE!$B$40:$B$238</c:f>
              <c:numCache>
                <c:formatCode>0.0</c:formatCode>
                <c:ptCount val="199"/>
                <c:pt idx="0">
                  <c:v>54.3</c:v>
                </c:pt>
                <c:pt idx="1">
                  <c:v>54.9</c:v>
                </c:pt>
                <c:pt idx="2">
                  <c:v>53.6</c:v>
                </c:pt>
                <c:pt idx="3">
                  <c:v>53.5</c:v>
                </c:pt>
                <c:pt idx="4">
                  <c:v>52.3</c:v>
                </c:pt>
                <c:pt idx="5">
                  <c:v>50.9</c:v>
                </c:pt>
                <c:pt idx="6">
                  <c:v>49.9</c:v>
                </c:pt>
                <c:pt idx="7">
                  <c:v>48.1</c:v>
                </c:pt>
                <c:pt idx="8">
                  <c:v>43.3</c:v>
                </c:pt>
                <c:pt idx="9">
                  <c:v>36.700000000000003</c:v>
                </c:pt>
                <c:pt idx="10">
                  <c:v>33.5</c:v>
                </c:pt>
                <c:pt idx="11">
                  <c:v>32</c:v>
                </c:pt>
                <c:pt idx="12">
                  <c:v>32.200000000000003</c:v>
                </c:pt>
                <c:pt idx="13">
                  <c:v>32.4</c:v>
                </c:pt>
                <c:pt idx="14">
                  <c:v>35</c:v>
                </c:pt>
                <c:pt idx="15">
                  <c:v>39.6</c:v>
                </c:pt>
                <c:pt idx="16">
                  <c:v>40.9</c:v>
                </c:pt>
                <c:pt idx="17">
                  <c:v>45.2</c:v>
                </c:pt>
                <c:pt idx="18">
                  <c:v>49</c:v>
                </c:pt>
                <c:pt idx="19">
                  <c:v>49.6</c:v>
                </c:pt>
                <c:pt idx="20">
                  <c:v>51.1</c:v>
                </c:pt>
                <c:pt idx="21">
                  <c:v>52.4</c:v>
                </c:pt>
                <c:pt idx="22">
                  <c:v>53.1</c:v>
                </c:pt>
                <c:pt idx="23">
                  <c:v>53.4</c:v>
                </c:pt>
                <c:pt idx="24">
                  <c:v>57.2</c:v>
                </c:pt>
                <c:pt idx="25">
                  <c:v>59.6</c:v>
                </c:pt>
                <c:pt idx="26">
                  <c:v>61.5</c:v>
                </c:pt>
                <c:pt idx="27">
                  <c:v>58.4</c:v>
                </c:pt>
                <c:pt idx="28">
                  <c:v>58.1</c:v>
                </c:pt>
                <c:pt idx="29">
                  <c:v>61.2</c:v>
                </c:pt>
                <c:pt idx="30">
                  <c:v>58.2</c:v>
                </c:pt>
                <c:pt idx="31">
                  <c:v>55.3</c:v>
                </c:pt>
                <c:pt idx="32">
                  <c:v>56.6</c:v>
                </c:pt>
                <c:pt idx="33">
                  <c:v>58.1</c:v>
                </c:pt>
                <c:pt idx="34">
                  <c:v>60.9</c:v>
                </c:pt>
                <c:pt idx="35">
                  <c:v>60.5</c:v>
                </c:pt>
                <c:pt idx="36">
                  <c:v>62.7</c:v>
                </c:pt>
                <c:pt idx="37">
                  <c:v>60.9</c:v>
                </c:pt>
                <c:pt idx="38">
                  <c:v>62</c:v>
                </c:pt>
                <c:pt idx="39">
                  <c:v>57.7</c:v>
                </c:pt>
                <c:pt idx="40">
                  <c:v>54.9</c:v>
                </c:pt>
                <c:pt idx="41">
                  <c:v>52</c:v>
                </c:pt>
                <c:pt idx="42">
                  <c:v>50.9</c:v>
                </c:pt>
                <c:pt idx="43">
                  <c:v>50.3</c:v>
                </c:pt>
                <c:pt idx="44">
                  <c:v>49.1</c:v>
                </c:pt>
                <c:pt idx="45">
                  <c:v>47.9</c:v>
                </c:pt>
                <c:pt idx="46">
                  <c:v>48.4</c:v>
                </c:pt>
                <c:pt idx="47">
                  <c:v>51</c:v>
                </c:pt>
                <c:pt idx="48">
                  <c:v>50.2</c:v>
                </c:pt>
                <c:pt idx="49">
                  <c:v>48.4</c:v>
                </c:pt>
                <c:pt idx="50">
                  <c:v>46.2</c:v>
                </c:pt>
                <c:pt idx="51">
                  <c:v>45.2</c:v>
                </c:pt>
                <c:pt idx="52">
                  <c:v>45</c:v>
                </c:pt>
                <c:pt idx="53">
                  <c:v>43</c:v>
                </c:pt>
                <c:pt idx="54">
                  <c:v>44.7</c:v>
                </c:pt>
                <c:pt idx="55">
                  <c:v>47.4</c:v>
                </c:pt>
                <c:pt idx="56">
                  <c:v>46</c:v>
                </c:pt>
                <c:pt idx="57">
                  <c:v>46.8</c:v>
                </c:pt>
                <c:pt idx="58">
                  <c:v>46</c:v>
                </c:pt>
                <c:pt idx="59">
                  <c:v>49.8</c:v>
                </c:pt>
                <c:pt idx="60">
                  <c:v>50.3</c:v>
                </c:pt>
                <c:pt idx="61">
                  <c:v>49</c:v>
                </c:pt>
                <c:pt idx="62">
                  <c:v>48.1</c:v>
                </c:pt>
                <c:pt idx="63">
                  <c:v>49.4</c:v>
                </c:pt>
                <c:pt idx="64">
                  <c:v>48.6</c:v>
                </c:pt>
                <c:pt idx="65">
                  <c:v>50.7</c:v>
                </c:pt>
                <c:pt idx="66">
                  <c:v>51.8</c:v>
                </c:pt>
                <c:pt idx="67">
                  <c:v>51.1</c:v>
                </c:pt>
                <c:pt idx="68">
                  <c:v>51.7</c:v>
                </c:pt>
                <c:pt idx="69">
                  <c:v>52.7</c:v>
                </c:pt>
                <c:pt idx="70">
                  <c:v>54.3</c:v>
                </c:pt>
                <c:pt idx="71">
                  <c:v>56.6</c:v>
                </c:pt>
                <c:pt idx="72">
                  <c:v>54.8</c:v>
                </c:pt>
                <c:pt idx="73">
                  <c:v>53.7</c:v>
                </c:pt>
                <c:pt idx="74">
                  <c:v>54.1</c:v>
                </c:pt>
                <c:pt idx="75">
                  <c:v>52.3</c:v>
                </c:pt>
                <c:pt idx="76">
                  <c:v>52</c:v>
                </c:pt>
                <c:pt idx="77">
                  <c:v>52.4</c:v>
                </c:pt>
                <c:pt idx="78">
                  <c:v>51.4</c:v>
                </c:pt>
                <c:pt idx="79">
                  <c:v>49.9</c:v>
                </c:pt>
                <c:pt idx="80">
                  <c:v>51.4</c:v>
                </c:pt>
                <c:pt idx="81">
                  <c:v>49.5</c:v>
                </c:pt>
                <c:pt idx="115">
                  <c:v>50.1</c:v>
                </c:pt>
                <c:pt idx="116">
                  <c:v>50.3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1905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56-48D9-85F5-11146298C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9778688"/>
        <c:axId val="122311808"/>
      </c:barChart>
      <c:lineChart>
        <c:grouping val="standard"/>
        <c:varyColors val="0"/>
        <c:ser>
          <c:idx val="2"/>
          <c:order val="1"/>
          <c:tx>
            <c:strRef>
              <c:f>DE!$D$38</c:f>
              <c:strCache>
                <c:ptCount val="1"/>
                <c:pt idx="0">
                  <c:v>Germany GDP q/q</c:v>
                </c:pt>
              </c:strCache>
            </c:strRef>
          </c:tx>
          <c:spPr>
            <a:ln w="38100" cmpd="dbl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DE!$D$40:$D$138</c:f>
              <c:numCache>
                <c:formatCode>0.0%</c:formatCode>
                <c:ptCount val="99"/>
                <c:pt idx="1">
                  <c:v>1.6E-2</c:v>
                </c:pt>
                <c:pt idx="4">
                  <c:v>-6.0000000000000001E-3</c:v>
                </c:pt>
                <c:pt idx="7">
                  <c:v>-3.0000000000000001E-3</c:v>
                </c:pt>
                <c:pt idx="10">
                  <c:v>-2.4E-2</c:v>
                </c:pt>
                <c:pt idx="13">
                  <c:v>-3.6999999999999998E-2</c:v>
                </c:pt>
                <c:pt idx="16">
                  <c:v>5.0000000000000001E-3</c:v>
                </c:pt>
                <c:pt idx="19">
                  <c:v>8.0000000000000002E-3</c:v>
                </c:pt>
                <c:pt idx="22">
                  <c:v>5.0000000000000001E-3</c:v>
                </c:pt>
                <c:pt idx="25">
                  <c:v>5.0000000000000001E-3</c:v>
                </c:pt>
                <c:pt idx="28">
                  <c:v>2.1000000000000001E-2</c:v>
                </c:pt>
                <c:pt idx="31">
                  <c:v>8.0000000000000002E-3</c:v>
                </c:pt>
                <c:pt idx="34">
                  <c:v>4.0000000000000001E-3</c:v>
                </c:pt>
                <c:pt idx="37">
                  <c:v>1.4999999999999999E-2</c:v>
                </c:pt>
                <c:pt idx="40">
                  <c:v>1E-3</c:v>
                </c:pt>
                <c:pt idx="43">
                  <c:v>4.0000000000000001E-3</c:v>
                </c:pt>
                <c:pt idx="46">
                  <c:v>1E-3</c:v>
                </c:pt>
                <c:pt idx="49">
                  <c:v>7.0000000000000001E-3</c:v>
                </c:pt>
                <c:pt idx="52">
                  <c:v>-1E-3</c:v>
                </c:pt>
                <c:pt idx="55">
                  <c:v>2E-3</c:v>
                </c:pt>
                <c:pt idx="58">
                  <c:v>-5.0000000000000001E-3</c:v>
                </c:pt>
                <c:pt idx="61">
                  <c:v>1E-3</c:v>
                </c:pt>
                <c:pt idx="64">
                  <c:v>7.0000000000000001E-3</c:v>
                </c:pt>
                <c:pt idx="67">
                  <c:v>3.0000000000000001E-3</c:v>
                </c:pt>
                <c:pt idx="70">
                  <c:v>4.0000000000000001E-3</c:v>
                </c:pt>
                <c:pt idx="73">
                  <c:v>7.0000000000000001E-3</c:v>
                </c:pt>
                <c:pt idx="76">
                  <c:v>-2E-3</c:v>
                </c:pt>
                <c:pt idx="79" formatCode="0.00%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6-48D9-85F5-11146298C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31520"/>
        <c:axId val="122313344"/>
      </c:lineChart>
      <c:dateAx>
        <c:axId val="119778688"/>
        <c:scaling>
          <c:orientation val="minMax"/>
          <c:min val="40634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11808"/>
        <c:crossesAt val="50"/>
        <c:auto val="1"/>
        <c:lblOffset val="100"/>
        <c:baseTimeUnit val="months"/>
        <c:majorUnit val="3"/>
        <c:majorTimeUnit val="months"/>
      </c:dateAx>
      <c:valAx>
        <c:axId val="122311808"/>
        <c:scaling>
          <c:orientation val="minMax"/>
          <c:max val="68"/>
          <c:min val="38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78688"/>
        <c:crosses val="autoZero"/>
        <c:crossBetween val="between"/>
        <c:majorUnit val="2"/>
      </c:valAx>
      <c:valAx>
        <c:axId val="122313344"/>
        <c:scaling>
          <c:orientation val="minMax"/>
          <c:max val="3.0000000000000006E-2"/>
          <c:min val="-2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22331520"/>
        <c:crosses val="max"/>
        <c:crossBetween val="between"/>
      </c:valAx>
      <c:catAx>
        <c:axId val="122331520"/>
        <c:scaling>
          <c:orientation val="minMax"/>
        </c:scaling>
        <c:delete val="1"/>
        <c:axPos val="b"/>
        <c:majorTickMark val="out"/>
        <c:minorTickMark val="none"/>
        <c:tickLblPos val="nextTo"/>
        <c:crossAx val="122313344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ayout>
        <c:manualLayout>
          <c:xMode val="edge"/>
          <c:yMode val="edge"/>
          <c:x val="9.167498246632215E-2"/>
          <c:y val="0.73119579481912589"/>
          <c:w val="0.19445417274243096"/>
          <c:h val="0.1308413214652516"/>
        </c:manualLayout>
      </c:layout>
      <c:overlay val="0"/>
      <c:txPr>
        <a:bodyPr/>
        <a:lstStyle/>
        <a:p>
          <a:pPr>
            <a:defRPr sz="800" baseline="0">
              <a:solidFill>
                <a:schemeClr val="bg1"/>
              </a:solidFill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France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FR!$B$45</c:f>
              <c:strCache>
                <c:ptCount val="1"/>
                <c:pt idx="0">
                  <c:v>France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FR!$A$46:$A$244</c:f>
              <c:numCache>
                <c:formatCode>[$-409]mmm\-yy;@</c:formatCode>
                <c:ptCount val="199"/>
                <c:pt idx="0">
                  <c:v>39661</c:v>
                </c:pt>
                <c:pt idx="1">
                  <c:v>39692</c:v>
                </c:pt>
                <c:pt idx="2">
                  <c:v>39722</c:v>
                </c:pt>
                <c:pt idx="3">
                  <c:v>39753</c:v>
                </c:pt>
                <c:pt idx="4">
                  <c:v>39783</c:v>
                </c:pt>
                <c:pt idx="5">
                  <c:v>39814</c:v>
                </c:pt>
                <c:pt idx="6">
                  <c:v>39845</c:v>
                </c:pt>
                <c:pt idx="7">
                  <c:v>39873</c:v>
                </c:pt>
                <c:pt idx="8">
                  <c:v>39904</c:v>
                </c:pt>
                <c:pt idx="9">
                  <c:v>39934</c:v>
                </c:pt>
                <c:pt idx="10">
                  <c:v>39965</c:v>
                </c:pt>
                <c:pt idx="11">
                  <c:v>39995</c:v>
                </c:pt>
                <c:pt idx="12">
                  <c:v>40026</c:v>
                </c:pt>
                <c:pt idx="13">
                  <c:v>40057</c:v>
                </c:pt>
                <c:pt idx="14">
                  <c:v>40087</c:v>
                </c:pt>
                <c:pt idx="15">
                  <c:v>40118</c:v>
                </c:pt>
                <c:pt idx="16">
                  <c:v>40148</c:v>
                </c:pt>
                <c:pt idx="17">
                  <c:v>40179</c:v>
                </c:pt>
                <c:pt idx="18">
                  <c:v>40210</c:v>
                </c:pt>
                <c:pt idx="19">
                  <c:v>40238</c:v>
                </c:pt>
                <c:pt idx="20">
                  <c:v>40269</c:v>
                </c:pt>
                <c:pt idx="21">
                  <c:v>40299</c:v>
                </c:pt>
                <c:pt idx="22">
                  <c:v>40330</c:v>
                </c:pt>
                <c:pt idx="23">
                  <c:v>40360</c:v>
                </c:pt>
                <c:pt idx="24">
                  <c:v>40391</c:v>
                </c:pt>
                <c:pt idx="25">
                  <c:v>40422</c:v>
                </c:pt>
                <c:pt idx="26">
                  <c:v>40452</c:v>
                </c:pt>
                <c:pt idx="27">
                  <c:v>40483</c:v>
                </c:pt>
                <c:pt idx="28">
                  <c:v>40513</c:v>
                </c:pt>
                <c:pt idx="29">
                  <c:v>40544</c:v>
                </c:pt>
                <c:pt idx="30">
                  <c:v>40575</c:v>
                </c:pt>
                <c:pt idx="31">
                  <c:v>40603</c:v>
                </c:pt>
                <c:pt idx="32">
                  <c:v>40634</c:v>
                </c:pt>
                <c:pt idx="33">
                  <c:v>40664</c:v>
                </c:pt>
                <c:pt idx="34">
                  <c:v>40695</c:v>
                </c:pt>
                <c:pt idx="35">
                  <c:v>40725</c:v>
                </c:pt>
                <c:pt idx="36">
                  <c:v>40756</c:v>
                </c:pt>
                <c:pt idx="37">
                  <c:v>40787</c:v>
                </c:pt>
                <c:pt idx="38">
                  <c:v>40817</c:v>
                </c:pt>
                <c:pt idx="39">
                  <c:v>40848</c:v>
                </c:pt>
                <c:pt idx="40">
                  <c:v>40878</c:v>
                </c:pt>
                <c:pt idx="41">
                  <c:v>40909</c:v>
                </c:pt>
                <c:pt idx="42">
                  <c:v>40940</c:v>
                </c:pt>
                <c:pt idx="43">
                  <c:v>40969</c:v>
                </c:pt>
                <c:pt idx="44">
                  <c:v>41000</c:v>
                </c:pt>
                <c:pt idx="45">
                  <c:v>41030</c:v>
                </c:pt>
                <c:pt idx="46">
                  <c:v>41061</c:v>
                </c:pt>
                <c:pt idx="47">
                  <c:v>41091</c:v>
                </c:pt>
                <c:pt idx="48">
                  <c:v>41122</c:v>
                </c:pt>
                <c:pt idx="49">
                  <c:v>41153</c:v>
                </c:pt>
                <c:pt idx="50">
                  <c:v>41183</c:v>
                </c:pt>
                <c:pt idx="51">
                  <c:v>41214</c:v>
                </c:pt>
                <c:pt idx="52">
                  <c:v>41244</c:v>
                </c:pt>
                <c:pt idx="53">
                  <c:v>41275</c:v>
                </c:pt>
                <c:pt idx="54">
                  <c:v>41306</c:v>
                </c:pt>
                <c:pt idx="55">
                  <c:v>41334</c:v>
                </c:pt>
                <c:pt idx="56">
                  <c:v>41365</c:v>
                </c:pt>
                <c:pt idx="57">
                  <c:v>41395</c:v>
                </c:pt>
                <c:pt idx="58">
                  <c:v>41426</c:v>
                </c:pt>
                <c:pt idx="59">
                  <c:v>41456</c:v>
                </c:pt>
                <c:pt idx="60">
                  <c:v>41487</c:v>
                </c:pt>
                <c:pt idx="61">
                  <c:v>41518</c:v>
                </c:pt>
                <c:pt idx="62">
                  <c:v>41548</c:v>
                </c:pt>
                <c:pt idx="63">
                  <c:v>41579</c:v>
                </c:pt>
                <c:pt idx="64">
                  <c:v>41609</c:v>
                </c:pt>
                <c:pt idx="65">
                  <c:v>41640</c:v>
                </c:pt>
                <c:pt idx="66">
                  <c:v>41671</c:v>
                </c:pt>
                <c:pt idx="67">
                  <c:v>41699</c:v>
                </c:pt>
                <c:pt idx="68">
                  <c:v>41730</c:v>
                </c:pt>
                <c:pt idx="69">
                  <c:v>41760</c:v>
                </c:pt>
                <c:pt idx="70">
                  <c:v>41791</c:v>
                </c:pt>
                <c:pt idx="71">
                  <c:v>41821</c:v>
                </c:pt>
                <c:pt idx="72">
                  <c:v>41852</c:v>
                </c:pt>
                <c:pt idx="73">
                  <c:v>41883</c:v>
                </c:pt>
                <c:pt idx="74">
                  <c:v>41913</c:v>
                </c:pt>
                <c:pt idx="75">
                  <c:v>41944</c:v>
                </c:pt>
                <c:pt idx="76">
                  <c:v>41974</c:v>
                </c:pt>
                <c:pt idx="77">
                  <c:v>42005</c:v>
                </c:pt>
                <c:pt idx="78">
                  <c:v>42036</c:v>
                </c:pt>
                <c:pt idx="79">
                  <c:v>42064</c:v>
                </c:pt>
                <c:pt idx="80">
                  <c:v>42095</c:v>
                </c:pt>
                <c:pt idx="81">
                  <c:v>42125</c:v>
                </c:pt>
                <c:pt idx="82">
                  <c:v>42156</c:v>
                </c:pt>
                <c:pt idx="83">
                  <c:v>42186</c:v>
                </c:pt>
                <c:pt idx="84">
                  <c:v>42217</c:v>
                </c:pt>
                <c:pt idx="85">
                  <c:v>42248</c:v>
                </c:pt>
                <c:pt idx="86">
                  <c:v>42278</c:v>
                </c:pt>
                <c:pt idx="87">
                  <c:v>42309</c:v>
                </c:pt>
                <c:pt idx="88">
                  <c:v>42339</c:v>
                </c:pt>
                <c:pt idx="89">
                  <c:v>42370</c:v>
                </c:pt>
                <c:pt idx="90">
                  <c:v>42401</c:v>
                </c:pt>
                <c:pt idx="91">
                  <c:v>42430</c:v>
                </c:pt>
                <c:pt idx="92">
                  <c:v>42461</c:v>
                </c:pt>
                <c:pt idx="93">
                  <c:v>42491</c:v>
                </c:pt>
                <c:pt idx="94">
                  <c:v>42522</c:v>
                </c:pt>
                <c:pt idx="95">
                  <c:v>42552</c:v>
                </c:pt>
                <c:pt idx="96">
                  <c:v>42583</c:v>
                </c:pt>
                <c:pt idx="97">
                  <c:v>42614</c:v>
                </c:pt>
                <c:pt idx="98">
                  <c:v>42644</c:v>
                </c:pt>
                <c:pt idx="99">
                  <c:v>42675</c:v>
                </c:pt>
                <c:pt idx="100">
                  <c:v>42705</c:v>
                </c:pt>
                <c:pt idx="101">
                  <c:v>42736</c:v>
                </c:pt>
                <c:pt idx="102">
                  <c:v>42767</c:v>
                </c:pt>
                <c:pt idx="103">
                  <c:v>42795</c:v>
                </c:pt>
                <c:pt idx="104">
                  <c:v>42826</c:v>
                </c:pt>
                <c:pt idx="105">
                  <c:v>42856</c:v>
                </c:pt>
                <c:pt idx="106">
                  <c:v>42887</c:v>
                </c:pt>
                <c:pt idx="107">
                  <c:v>42917</c:v>
                </c:pt>
                <c:pt idx="108">
                  <c:v>42948</c:v>
                </c:pt>
                <c:pt idx="109" formatCode="yyyy/mm/dd">
                  <c:v>46143</c:v>
                </c:pt>
                <c:pt idx="110" formatCode="yyyy/mm/dd">
                  <c:v>46174</c:v>
                </c:pt>
              </c:numCache>
            </c:numRef>
          </c:cat>
          <c:val>
            <c:numRef>
              <c:f>FR!$B$46:$B$244</c:f>
              <c:numCache>
                <c:formatCode>0.0</c:formatCode>
                <c:ptCount val="199"/>
                <c:pt idx="0">
                  <c:v>45.1</c:v>
                </c:pt>
                <c:pt idx="1">
                  <c:v>43.6</c:v>
                </c:pt>
                <c:pt idx="2">
                  <c:v>40.799999999999997</c:v>
                </c:pt>
                <c:pt idx="3">
                  <c:v>37.9</c:v>
                </c:pt>
                <c:pt idx="4">
                  <c:v>35.9</c:v>
                </c:pt>
                <c:pt idx="5">
                  <c:v>38.1</c:v>
                </c:pt>
                <c:pt idx="6">
                  <c:v>32.299999999999997</c:v>
                </c:pt>
                <c:pt idx="7">
                  <c:v>36.299999999999997</c:v>
                </c:pt>
                <c:pt idx="8">
                  <c:v>40</c:v>
                </c:pt>
                <c:pt idx="9">
                  <c:v>43.1</c:v>
                </c:pt>
                <c:pt idx="10">
                  <c:v>45.9</c:v>
                </c:pt>
                <c:pt idx="11">
                  <c:v>50.2</c:v>
                </c:pt>
                <c:pt idx="12">
                  <c:v>52.5</c:v>
                </c:pt>
                <c:pt idx="13">
                  <c:v>53</c:v>
                </c:pt>
                <c:pt idx="14">
                  <c:v>54.2</c:v>
                </c:pt>
                <c:pt idx="15">
                  <c:v>54.4</c:v>
                </c:pt>
                <c:pt idx="16">
                  <c:v>54.7</c:v>
                </c:pt>
                <c:pt idx="17">
                  <c:v>54.6</c:v>
                </c:pt>
                <c:pt idx="18">
                  <c:v>56.3</c:v>
                </c:pt>
                <c:pt idx="19">
                  <c:v>56.7</c:v>
                </c:pt>
                <c:pt idx="20">
                  <c:v>56.6</c:v>
                </c:pt>
                <c:pt idx="21">
                  <c:v>55.8</c:v>
                </c:pt>
                <c:pt idx="22">
                  <c:v>53.7</c:v>
                </c:pt>
                <c:pt idx="23">
                  <c:v>54.7</c:v>
                </c:pt>
                <c:pt idx="24">
                  <c:v>55.4</c:v>
                </c:pt>
                <c:pt idx="25">
                  <c:v>55.2</c:v>
                </c:pt>
                <c:pt idx="26">
                  <c:v>57.5</c:v>
                </c:pt>
                <c:pt idx="27">
                  <c:v>56.3</c:v>
                </c:pt>
                <c:pt idx="28">
                  <c:v>54.3</c:v>
                </c:pt>
                <c:pt idx="29">
                  <c:v>54.9</c:v>
                </c:pt>
                <c:pt idx="30">
                  <c:v>56.6</c:v>
                </c:pt>
                <c:pt idx="31">
                  <c:v>56.9</c:v>
                </c:pt>
                <c:pt idx="32">
                  <c:v>57.5</c:v>
                </c:pt>
                <c:pt idx="33">
                  <c:v>54.9</c:v>
                </c:pt>
                <c:pt idx="34">
                  <c:v>50.1</c:v>
                </c:pt>
                <c:pt idx="35">
                  <c:v>50.5</c:v>
                </c:pt>
                <c:pt idx="36">
                  <c:v>49.1</c:v>
                </c:pt>
                <c:pt idx="37">
                  <c:v>48.2</c:v>
                </c:pt>
                <c:pt idx="38">
                  <c:v>48.5</c:v>
                </c:pt>
                <c:pt idx="39">
                  <c:v>47.3</c:v>
                </c:pt>
                <c:pt idx="40">
                  <c:v>48.9</c:v>
                </c:pt>
                <c:pt idx="41">
                  <c:v>48.5</c:v>
                </c:pt>
                <c:pt idx="42">
                  <c:v>50</c:v>
                </c:pt>
                <c:pt idx="43">
                  <c:v>46.7</c:v>
                </c:pt>
                <c:pt idx="44">
                  <c:v>46.9</c:v>
                </c:pt>
                <c:pt idx="45">
                  <c:v>44.7</c:v>
                </c:pt>
                <c:pt idx="46">
                  <c:v>45.2</c:v>
                </c:pt>
                <c:pt idx="47">
                  <c:v>43.4</c:v>
                </c:pt>
                <c:pt idx="48">
                  <c:v>46</c:v>
                </c:pt>
                <c:pt idx="49">
                  <c:v>42.7</c:v>
                </c:pt>
                <c:pt idx="50">
                  <c:v>43.7</c:v>
                </c:pt>
                <c:pt idx="51">
                  <c:v>44.5</c:v>
                </c:pt>
                <c:pt idx="52">
                  <c:v>44.6</c:v>
                </c:pt>
                <c:pt idx="53">
                  <c:v>42.9</c:v>
                </c:pt>
                <c:pt idx="54">
                  <c:v>43.9</c:v>
                </c:pt>
                <c:pt idx="55">
                  <c:v>44</c:v>
                </c:pt>
                <c:pt idx="56">
                  <c:v>44.4</c:v>
                </c:pt>
                <c:pt idx="57">
                  <c:v>46.4</c:v>
                </c:pt>
                <c:pt idx="58">
                  <c:v>48.4</c:v>
                </c:pt>
                <c:pt idx="59">
                  <c:v>49.7</c:v>
                </c:pt>
                <c:pt idx="60">
                  <c:v>49.7</c:v>
                </c:pt>
                <c:pt idx="61">
                  <c:v>49.8</c:v>
                </c:pt>
                <c:pt idx="62">
                  <c:v>49.1</c:v>
                </c:pt>
                <c:pt idx="63">
                  <c:v>48.4</c:v>
                </c:pt>
                <c:pt idx="64">
                  <c:v>47</c:v>
                </c:pt>
                <c:pt idx="65">
                  <c:v>49.3</c:v>
                </c:pt>
                <c:pt idx="66">
                  <c:v>49.7</c:v>
                </c:pt>
                <c:pt idx="67">
                  <c:v>52.1</c:v>
                </c:pt>
                <c:pt idx="68">
                  <c:v>51.2</c:v>
                </c:pt>
                <c:pt idx="69">
                  <c:v>49.6</c:v>
                </c:pt>
                <c:pt idx="70">
                  <c:v>48.2</c:v>
                </c:pt>
                <c:pt idx="71">
                  <c:v>47.8</c:v>
                </c:pt>
                <c:pt idx="72">
                  <c:v>46.9</c:v>
                </c:pt>
                <c:pt idx="73">
                  <c:v>48.8</c:v>
                </c:pt>
                <c:pt idx="74">
                  <c:v>48.5</c:v>
                </c:pt>
                <c:pt idx="75">
                  <c:v>48.4</c:v>
                </c:pt>
                <c:pt idx="109">
                  <c:v>49.7</c:v>
                </c:pt>
                <c:pt idx="110">
                  <c:v>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9-4ECA-A587-992B63DCC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19296"/>
        <c:axId val="177135616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FR!$B$46:$B$244</c:f>
              <c:numCache>
                <c:formatCode>0.0</c:formatCode>
                <c:ptCount val="199"/>
                <c:pt idx="0">
                  <c:v>45.1</c:v>
                </c:pt>
                <c:pt idx="1">
                  <c:v>43.6</c:v>
                </c:pt>
                <c:pt idx="2">
                  <c:v>40.799999999999997</c:v>
                </c:pt>
                <c:pt idx="3">
                  <c:v>37.9</c:v>
                </c:pt>
                <c:pt idx="4">
                  <c:v>35.9</c:v>
                </c:pt>
                <c:pt idx="5">
                  <c:v>38.1</c:v>
                </c:pt>
                <c:pt idx="6">
                  <c:v>32.299999999999997</c:v>
                </c:pt>
                <c:pt idx="7">
                  <c:v>36.299999999999997</c:v>
                </c:pt>
                <c:pt idx="8">
                  <c:v>40</c:v>
                </c:pt>
                <c:pt idx="9">
                  <c:v>43.1</c:v>
                </c:pt>
                <c:pt idx="10">
                  <c:v>45.9</c:v>
                </c:pt>
                <c:pt idx="11">
                  <c:v>50.2</c:v>
                </c:pt>
                <c:pt idx="12">
                  <c:v>52.5</c:v>
                </c:pt>
                <c:pt idx="13">
                  <c:v>53</c:v>
                </c:pt>
                <c:pt idx="14">
                  <c:v>54.2</c:v>
                </c:pt>
                <c:pt idx="15">
                  <c:v>54.4</c:v>
                </c:pt>
                <c:pt idx="16">
                  <c:v>54.7</c:v>
                </c:pt>
                <c:pt idx="17">
                  <c:v>54.6</c:v>
                </c:pt>
                <c:pt idx="18">
                  <c:v>56.3</c:v>
                </c:pt>
                <c:pt idx="19">
                  <c:v>56.7</c:v>
                </c:pt>
                <c:pt idx="20">
                  <c:v>56.6</c:v>
                </c:pt>
                <c:pt idx="21">
                  <c:v>55.8</c:v>
                </c:pt>
                <c:pt idx="22">
                  <c:v>53.7</c:v>
                </c:pt>
                <c:pt idx="23">
                  <c:v>54.7</c:v>
                </c:pt>
                <c:pt idx="24">
                  <c:v>55.4</c:v>
                </c:pt>
                <c:pt idx="25">
                  <c:v>55.2</c:v>
                </c:pt>
                <c:pt idx="26">
                  <c:v>57.5</c:v>
                </c:pt>
                <c:pt idx="27">
                  <c:v>56.3</c:v>
                </c:pt>
                <c:pt idx="28">
                  <c:v>54.3</c:v>
                </c:pt>
                <c:pt idx="29">
                  <c:v>54.9</c:v>
                </c:pt>
                <c:pt idx="30">
                  <c:v>56.6</c:v>
                </c:pt>
                <c:pt idx="31">
                  <c:v>56.9</c:v>
                </c:pt>
                <c:pt idx="32">
                  <c:v>57.5</c:v>
                </c:pt>
                <c:pt idx="33">
                  <c:v>54.9</c:v>
                </c:pt>
                <c:pt idx="34">
                  <c:v>50.1</c:v>
                </c:pt>
                <c:pt idx="35">
                  <c:v>50.5</c:v>
                </c:pt>
                <c:pt idx="36">
                  <c:v>49.1</c:v>
                </c:pt>
                <c:pt idx="37">
                  <c:v>48.2</c:v>
                </c:pt>
                <c:pt idx="38">
                  <c:v>48.5</c:v>
                </c:pt>
                <c:pt idx="39">
                  <c:v>47.3</c:v>
                </c:pt>
                <c:pt idx="40">
                  <c:v>48.9</c:v>
                </c:pt>
                <c:pt idx="41">
                  <c:v>48.5</c:v>
                </c:pt>
                <c:pt idx="42">
                  <c:v>50</c:v>
                </c:pt>
                <c:pt idx="43">
                  <c:v>46.7</c:v>
                </c:pt>
                <c:pt idx="44">
                  <c:v>46.9</c:v>
                </c:pt>
                <c:pt idx="45">
                  <c:v>44.7</c:v>
                </c:pt>
                <c:pt idx="46">
                  <c:v>45.2</c:v>
                </c:pt>
                <c:pt idx="47">
                  <c:v>43.4</c:v>
                </c:pt>
                <c:pt idx="48">
                  <c:v>46</c:v>
                </c:pt>
                <c:pt idx="49">
                  <c:v>42.7</c:v>
                </c:pt>
                <c:pt idx="50">
                  <c:v>43.7</c:v>
                </c:pt>
                <c:pt idx="51">
                  <c:v>44.5</c:v>
                </c:pt>
                <c:pt idx="52">
                  <c:v>44.6</c:v>
                </c:pt>
                <c:pt idx="53">
                  <c:v>42.9</c:v>
                </c:pt>
                <c:pt idx="54">
                  <c:v>43.9</c:v>
                </c:pt>
                <c:pt idx="55">
                  <c:v>44</c:v>
                </c:pt>
                <c:pt idx="56">
                  <c:v>44.4</c:v>
                </c:pt>
                <c:pt idx="57">
                  <c:v>46.4</c:v>
                </c:pt>
                <c:pt idx="58">
                  <c:v>48.4</c:v>
                </c:pt>
                <c:pt idx="59">
                  <c:v>49.7</c:v>
                </c:pt>
                <c:pt idx="60">
                  <c:v>49.7</c:v>
                </c:pt>
                <c:pt idx="61">
                  <c:v>49.8</c:v>
                </c:pt>
                <c:pt idx="62">
                  <c:v>49.1</c:v>
                </c:pt>
                <c:pt idx="63">
                  <c:v>48.4</c:v>
                </c:pt>
                <c:pt idx="64">
                  <c:v>47</c:v>
                </c:pt>
                <c:pt idx="65">
                  <c:v>49.3</c:v>
                </c:pt>
                <c:pt idx="66">
                  <c:v>49.7</c:v>
                </c:pt>
                <c:pt idx="67">
                  <c:v>52.1</c:v>
                </c:pt>
                <c:pt idx="68">
                  <c:v>51.2</c:v>
                </c:pt>
                <c:pt idx="69">
                  <c:v>49.6</c:v>
                </c:pt>
                <c:pt idx="70">
                  <c:v>48.2</c:v>
                </c:pt>
                <c:pt idx="71">
                  <c:v>47.8</c:v>
                </c:pt>
                <c:pt idx="72">
                  <c:v>46.9</c:v>
                </c:pt>
                <c:pt idx="73">
                  <c:v>48.8</c:v>
                </c:pt>
                <c:pt idx="74">
                  <c:v>48.5</c:v>
                </c:pt>
                <c:pt idx="75">
                  <c:v>48.4</c:v>
                </c:pt>
                <c:pt idx="109">
                  <c:v>49.7</c:v>
                </c:pt>
                <c:pt idx="110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79-4ECA-A587-992B63DCC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19296"/>
        <c:axId val="177135616"/>
      </c:lineChart>
      <c:dateAx>
        <c:axId val="124119296"/>
        <c:scaling>
          <c:orientation val="minMax"/>
          <c:min val="39661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35616"/>
        <c:crossesAt val="50"/>
        <c:auto val="1"/>
        <c:lblOffset val="100"/>
        <c:baseTimeUnit val="months"/>
        <c:majorUnit val="1"/>
        <c:majorTimeUnit val="years"/>
      </c:dateAx>
      <c:valAx>
        <c:axId val="177135616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19296"/>
        <c:crosses val="autoZero"/>
        <c:crossBetween val="between"/>
        <c:majorUnit val="7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5504425388607249"/>
          <c:y val="0.62857254935524365"/>
          <c:w val="0.17144935767426805"/>
          <c:h val="7.3404288822653735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France vs Germany Manufacturing PMI</a:t>
            </a:r>
            <a:r>
              <a:rPr lang="en-US" baseline="0"/>
              <a:t> 2008-2013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FR!$B$45</c:f>
              <c:strCache>
                <c:ptCount val="1"/>
                <c:pt idx="0">
                  <c:v>France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FR!$A$46:$A$244</c:f>
              <c:numCache>
                <c:formatCode>[$-409]mmm\-yy;@</c:formatCode>
                <c:ptCount val="199"/>
                <c:pt idx="0">
                  <c:v>39661</c:v>
                </c:pt>
                <c:pt idx="1">
                  <c:v>39692</c:v>
                </c:pt>
                <c:pt idx="2">
                  <c:v>39722</c:v>
                </c:pt>
                <c:pt idx="3">
                  <c:v>39753</c:v>
                </c:pt>
                <c:pt idx="4">
                  <c:v>39783</c:v>
                </c:pt>
                <c:pt idx="5">
                  <c:v>39814</c:v>
                </c:pt>
                <c:pt idx="6">
                  <c:v>39845</c:v>
                </c:pt>
                <c:pt idx="7">
                  <c:v>39873</c:v>
                </c:pt>
                <c:pt idx="8">
                  <c:v>39904</c:v>
                </c:pt>
                <c:pt idx="9">
                  <c:v>39934</c:v>
                </c:pt>
                <c:pt idx="10">
                  <c:v>39965</c:v>
                </c:pt>
                <c:pt idx="11">
                  <c:v>39995</c:v>
                </c:pt>
                <c:pt idx="12">
                  <c:v>40026</c:v>
                </c:pt>
                <c:pt idx="13">
                  <c:v>40057</c:v>
                </c:pt>
                <c:pt idx="14">
                  <c:v>40087</c:v>
                </c:pt>
                <c:pt idx="15">
                  <c:v>40118</c:v>
                </c:pt>
                <c:pt idx="16">
                  <c:v>40148</c:v>
                </c:pt>
                <c:pt idx="17">
                  <c:v>40179</c:v>
                </c:pt>
                <c:pt idx="18">
                  <c:v>40210</c:v>
                </c:pt>
                <c:pt idx="19">
                  <c:v>40238</c:v>
                </c:pt>
                <c:pt idx="20">
                  <c:v>40269</c:v>
                </c:pt>
                <c:pt idx="21">
                  <c:v>40299</c:v>
                </c:pt>
                <c:pt idx="22">
                  <c:v>40330</c:v>
                </c:pt>
                <c:pt idx="23">
                  <c:v>40360</c:v>
                </c:pt>
                <c:pt idx="24">
                  <c:v>40391</c:v>
                </c:pt>
                <c:pt idx="25">
                  <c:v>40422</c:v>
                </c:pt>
                <c:pt idx="26">
                  <c:v>40452</c:v>
                </c:pt>
                <c:pt idx="27">
                  <c:v>40483</c:v>
                </c:pt>
                <c:pt idx="28">
                  <c:v>40513</c:v>
                </c:pt>
                <c:pt idx="29">
                  <c:v>40544</c:v>
                </c:pt>
                <c:pt idx="30">
                  <c:v>40575</c:v>
                </c:pt>
                <c:pt idx="31">
                  <c:v>40603</c:v>
                </c:pt>
                <c:pt idx="32">
                  <c:v>40634</c:v>
                </c:pt>
                <c:pt idx="33">
                  <c:v>40664</c:v>
                </c:pt>
                <c:pt idx="34">
                  <c:v>40695</c:v>
                </c:pt>
                <c:pt idx="35">
                  <c:v>40725</c:v>
                </c:pt>
                <c:pt idx="36">
                  <c:v>40756</c:v>
                </c:pt>
                <c:pt idx="37">
                  <c:v>40787</c:v>
                </c:pt>
                <c:pt idx="38">
                  <c:v>40817</c:v>
                </c:pt>
                <c:pt idx="39">
                  <c:v>40848</c:v>
                </c:pt>
                <c:pt idx="40">
                  <c:v>40878</c:v>
                </c:pt>
                <c:pt idx="41">
                  <c:v>40909</c:v>
                </c:pt>
                <c:pt idx="42">
                  <c:v>40940</c:v>
                </c:pt>
                <c:pt idx="43">
                  <c:v>40969</c:v>
                </c:pt>
                <c:pt idx="44">
                  <c:v>41000</c:v>
                </c:pt>
                <c:pt idx="45">
                  <c:v>41030</c:v>
                </c:pt>
                <c:pt idx="46">
                  <c:v>41061</c:v>
                </c:pt>
                <c:pt idx="47">
                  <c:v>41091</c:v>
                </c:pt>
                <c:pt idx="48">
                  <c:v>41122</c:v>
                </c:pt>
                <c:pt idx="49">
                  <c:v>41153</c:v>
                </c:pt>
                <c:pt idx="50">
                  <c:v>41183</c:v>
                </c:pt>
                <c:pt idx="51">
                  <c:v>41214</c:v>
                </c:pt>
                <c:pt idx="52">
                  <c:v>41244</c:v>
                </c:pt>
                <c:pt idx="53">
                  <c:v>41275</c:v>
                </c:pt>
                <c:pt idx="54">
                  <c:v>41306</c:v>
                </c:pt>
                <c:pt idx="55">
                  <c:v>41334</c:v>
                </c:pt>
                <c:pt idx="56">
                  <c:v>41365</c:v>
                </c:pt>
                <c:pt idx="57">
                  <c:v>41395</c:v>
                </c:pt>
                <c:pt idx="58">
                  <c:v>41426</c:v>
                </c:pt>
                <c:pt idx="59">
                  <c:v>41456</c:v>
                </c:pt>
                <c:pt idx="60">
                  <c:v>41487</c:v>
                </c:pt>
                <c:pt idx="61">
                  <c:v>41518</c:v>
                </c:pt>
                <c:pt idx="62">
                  <c:v>41548</c:v>
                </c:pt>
                <c:pt idx="63">
                  <c:v>41579</c:v>
                </c:pt>
                <c:pt idx="64">
                  <c:v>41609</c:v>
                </c:pt>
                <c:pt idx="65">
                  <c:v>41640</c:v>
                </c:pt>
                <c:pt idx="66">
                  <c:v>41671</c:v>
                </c:pt>
                <c:pt idx="67">
                  <c:v>41699</c:v>
                </c:pt>
                <c:pt idx="68">
                  <c:v>41730</c:v>
                </c:pt>
                <c:pt idx="69">
                  <c:v>41760</c:v>
                </c:pt>
                <c:pt idx="70">
                  <c:v>41791</c:v>
                </c:pt>
                <c:pt idx="71">
                  <c:v>41821</c:v>
                </c:pt>
                <c:pt idx="72">
                  <c:v>41852</c:v>
                </c:pt>
                <c:pt idx="73">
                  <c:v>41883</c:v>
                </c:pt>
                <c:pt idx="74">
                  <c:v>41913</c:v>
                </c:pt>
                <c:pt idx="75">
                  <c:v>41944</c:v>
                </c:pt>
                <c:pt idx="76">
                  <c:v>41974</c:v>
                </c:pt>
                <c:pt idx="77">
                  <c:v>42005</c:v>
                </c:pt>
                <c:pt idx="78">
                  <c:v>42036</c:v>
                </c:pt>
                <c:pt idx="79">
                  <c:v>42064</c:v>
                </c:pt>
                <c:pt idx="80">
                  <c:v>42095</c:v>
                </c:pt>
                <c:pt idx="81">
                  <c:v>42125</c:v>
                </c:pt>
                <c:pt idx="82">
                  <c:v>42156</c:v>
                </c:pt>
                <c:pt idx="83">
                  <c:v>42186</c:v>
                </c:pt>
                <c:pt idx="84">
                  <c:v>42217</c:v>
                </c:pt>
                <c:pt idx="85">
                  <c:v>42248</c:v>
                </c:pt>
                <c:pt idx="86">
                  <c:v>42278</c:v>
                </c:pt>
                <c:pt idx="87">
                  <c:v>42309</c:v>
                </c:pt>
                <c:pt idx="88">
                  <c:v>42339</c:v>
                </c:pt>
                <c:pt idx="89">
                  <c:v>42370</c:v>
                </c:pt>
                <c:pt idx="90">
                  <c:v>42401</c:v>
                </c:pt>
                <c:pt idx="91">
                  <c:v>42430</c:v>
                </c:pt>
                <c:pt idx="92">
                  <c:v>42461</c:v>
                </c:pt>
                <c:pt idx="93">
                  <c:v>42491</c:v>
                </c:pt>
                <c:pt idx="94">
                  <c:v>42522</c:v>
                </c:pt>
                <c:pt idx="95">
                  <c:v>42552</c:v>
                </c:pt>
                <c:pt idx="96">
                  <c:v>42583</c:v>
                </c:pt>
                <c:pt idx="97">
                  <c:v>42614</c:v>
                </c:pt>
                <c:pt idx="98">
                  <c:v>42644</c:v>
                </c:pt>
                <c:pt idx="99">
                  <c:v>42675</c:v>
                </c:pt>
                <c:pt idx="100">
                  <c:v>42705</c:v>
                </c:pt>
                <c:pt idx="101">
                  <c:v>42736</c:v>
                </c:pt>
                <c:pt idx="102">
                  <c:v>42767</c:v>
                </c:pt>
                <c:pt idx="103">
                  <c:v>42795</c:v>
                </c:pt>
                <c:pt idx="104">
                  <c:v>42826</c:v>
                </c:pt>
                <c:pt idx="105">
                  <c:v>42856</c:v>
                </c:pt>
                <c:pt idx="106">
                  <c:v>42887</c:v>
                </c:pt>
                <c:pt idx="107">
                  <c:v>42917</c:v>
                </c:pt>
                <c:pt idx="108">
                  <c:v>42948</c:v>
                </c:pt>
                <c:pt idx="109" formatCode="yyyy/mm/dd">
                  <c:v>46143</c:v>
                </c:pt>
                <c:pt idx="110" formatCode="yyyy/mm/dd">
                  <c:v>46174</c:v>
                </c:pt>
              </c:numCache>
            </c:numRef>
          </c:cat>
          <c:val>
            <c:numRef>
              <c:f>FR!$B$46:$B$244</c:f>
              <c:numCache>
                <c:formatCode>0.0</c:formatCode>
                <c:ptCount val="199"/>
                <c:pt idx="0">
                  <c:v>45.1</c:v>
                </c:pt>
                <c:pt idx="1">
                  <c:v>43.6</c:v>
                </c:pt>
                <c:pt idx="2">
                  <c:v>40.799999999999997</c:v>
                </c:pt>
                <c:pt idx="3">
                  <c:v>37.9</c:v>
                </c:pt>
                <c:pt idx="4">
                  <c:v>35.9</c:v>
                </c:pt>
                <c:pt idx="5">
                  <c:v>38.1</c:v>
                </c:pt>
                <c:pt idx="6">
                  <c:v>32.299999999999997</c:v>
                </c:pt>
                <c:pt idx="7">
                  <c:v>36.299999999999997</c:v>
                </c:pt>
                <c:pt idx="8">
                  <c:v>40</c:v>
                </c:pt>
                <c:pt idx="9">
                  <c:v>43.1</c:v>
                </c:pt>
                <c:pt idx="10">
                  <c:v>45.9</c:v>
                </c:pt>
                <c:pt idx="11">
                  <c:v>50.2</c:v>
                </c:pt>
                <c:pt idx="12">
                  <c:v>52.5</c:v>
                </c:pt>
                <c:pt idx="13">
                  <c:v>53</c:v>
                </c:pt>
                <c:pt idx="14">
                  <c:v>54.2</c:v>
                </c:pt>
                <c:pt idx="15">
                  <c:v>54.4</c:v>
                </c:pt>
                <c:pt idx="16">
                  <c:v>54.7</c:v>
                </c:pt>
                <c:pt idx="17">
                  <c:v>54.6</c:v>
                </c:pt>
                <c:pt idx="18">
                  <c:v>56.3</c:v>
                </c:pt>
                <c:pt idx="19">
                  <c:v>56.7</c:v>
                </c:pt>
                <c:pt idx="20">
                  <c:v>56.6</c:v>
                </c:pt>
                <c:pt idx="21">
                  <c:v>55.8</c:v>
                </c:pt>
                <c:pt idx="22">
                  <c:v>53.7</c:v>
                </c:pt>
                <c:pt idx="23">
                  <c:v>54.7</c:v>
                </c:pt>
                <c:pt idx="24">
                  <c:v>55.4</c:v>
                </c:pt>
                <c:pt idx="25">
                  <c:v>55.2</c:v>
                </c:pt>
                <c:pt idx="26">
                  <c:v>57.5</c:v>
                </c:pt>
                <c:pt idx="27">
                  <c:v>56.3</c:v>
                </c:pt>
                <c:pt idx="28">
                  <c:v>54.3</c:v>
                </c:pt>
                <c:pt idx="29">
                  <c:v>54.9</c:v>
                </c:pt>
                <c:pt idx="30">
                  <c:v>56.6</c:v>
                </c:pt>
                <c:pt idx="31">
                  <c:v>56.9</c:v>
                </c:pt>
                <c:pt idx="32">
                  <c:v>57.5</c:v>
                </c:pt>
                <c:pt idx="33">
                  <c:v>54.9</c:v>
                </c:pt>
                <c:pt idx="34">
                  <c:v>50.1</c:v>
                </c:pt>
                <c:pt idx="35">
                  <c:v>50.5</c:v>
                </c:pt>
                <c:pt idx="36">
                  <c:v>49.1</c:v>
                </c:pt>
                <c:pt idx="37">
                  <c:v>48.2</c:v>
                </c:pt>
                <c:pt idx="38">
                  <c:v>48.5</c:v>
                </c:pt>
                <c:pt idx="39">
                  <c:v>47.3</c:v>
                </c:pt>
                <c:pt idx="40">
                  <c:v>48.9</c:v>
                </c:pt>
                <c:pt idx="41">
                  <c:v>48.5</c:v>
                </c:pt>
                <c:pt idx="42">
                  <c:v>50</c:v>
                </c:pt>
                <c:pt idx="43">
                  <c:v>46.7</c:v>
                </c:pt>
                <c:pt idx="44">
                  <c:v>46.9</c:v>
                </c:pt>
                <c:pt idx="45">
                  <c:v>44.7</c:v>
                </c:pt>
                <c:pt idx="46">
                  <c:v>45.2</c:v>
                </c:pt>
                <c:pt idx="47">
                  <c:v>43.4</c:v>
                </c:pt>
                <c:pt idx="48">
                  <c:v>46</c:v>
                </c:pt>
                <c:pt idx="49">
                  <c:v>42.7</c:v>
                </c:pt>
                <c:pt idx="50">
                  <c:v>43.7</c:v>
                </c:pt>
                <c:pt idx="51">
                  <c:v>44.5</c:v>
                </c:pt>
                <c:pt idx="52">
                  <c:v>44.6</c:v>
                </c:pt>
                <c:pt idx="53">
                  <c:v>42.9</c:v>
                </c:pt>
                <c:pt idx="54">
                  <c:v>43.9</c:v>
                </c:pt>
                <c:pt idx="55">
                  <c:v>44</c:v>
                </c:pt>
                <c:pt idx="56">
                  <c:v>44.4</c:v>
                </c:pt>
                <c:pt idx="57">
                  <c:v>46.4</c:v>
                </c:pt>
                <c:pt idx="58">
                  <c:v>48.4</c:v>
                </c:pt>
                <c:pt idx="59">
                  <c:v>49.7</c:v>
                </c:pt>
                <c:pt idx="60">
                  <c:v>49.7</c:v>
                </c:pt>
                <c:pt idx="61">
                  <c:v>49.8</c:v>
                </c:pt>
                <c:pt idx="62">
                  <c:v>49.1</c:v>
                </c:pt>
                <c:pt idx="63">
                  <c:v>48.4</c:v>
                </c:pt>
                <c:pt idx="64">
                  <c:v>47</c:v>
                </c:pt>
                <c:pt idx="65">
                  <c:v>49.3</c:v>
                </c:pt>
                <c:pt idx="66">
                  <c:v>49.7</c:v>
                </c:pt>
                <c:pt idx="67">
                  <c:v>52.1</c:v>
                </c:pt>
                <c:pt idx="68">
                  <c:v>51.2</c:v>
                </c:pt>
                <c:pt idx="69">
                  <c:v>49.6</c:v>
                </c:pt>
                <c:pt idx="70">
                  <c:v>48.2</c:v>
                </c:pt>
                <c:pt idx="71">
                  <c:v>47.8</c:v>
                </c:pt>
                <c:pt idx="72">
                  <c:v>46.9</c:v>
                </c:pt>
                <c:pt idx="73">
                  <c:v>48.8</c:v>
                </c:pt>
                <c:pt idx="74">
                  <c:v>48.5</c:v>
                </c:pt>
                <c:pt idx="75">
                  <c:v>48.4</c:v>
                </c:pt>
                <c:pt idx="109">
                  <c:v>49.7</c:v>
                </c:pt>
                <c:pt idx="110">
                  <c:v>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9-40EC-9B7C-58F8AD4C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80352"/>
        <c:axId val="177386240"/>
      </c:areaChart>
      <c:barChart>
        <c:barDir val="col"/>
        <c:grouping val="clustered"/>
        <c:varyColors val="0"/>
        <c:ser>
          <c:idx val="2"/>
          <c:order val="2"/>
          <c:tx>
            <c:strRef>
              <c:f>DE!$B$38</c:f>
              <c:strCache>
                <c:ptCount val="1"/>
                <c:pt idx="0">
                  <c:v>Germany PMI</c:v>
                </c:pt>
              </c:strCache>
            </c:strRef>
          </c:tx>
          <c:spPr>
            <a:solidFill>
              <a:srgbClr val="FF0000"/>
            </a:solidFill>
            <a:ln w="19050">
              <a:noFill/>
            </a:ln>
          </c:spPr>
          <c:invertIfNegative val="0"/>
          <c:val>
            <c:numRef>
              <c:f>DE!$B$46:$B$138</c:f>
              <c:numCache>
                <c:formatCode>0.0</c:formatCode>
                <c:ptCount val="93"/>
                <c:pt idx="0">
                  <c:v>49.9</c:v>
                </c:pt>
                <c:pt idx="1">
                  <c:v>48.1</c:v>
                </c:pt>
                <c:pt idx="2">
                  <c:v>43.3</c:v>
                </c:pt>
                <c:pt idx="3">
                  <c:v>36.700000000000003</c:v>
                </c:pt>
                <c:pt idx="4">
                  <c:v>33.5</c:v>
                </c:pt>
                <c:pt idx="5">
                  <c:v>32</c:v>
                </c:pt>
                <c:pt idx="6">
                  <c:v>32.200000000000003</c:v>
                </c:pt>
                <c:pt idx="7">
                  <c:v>32.4</c:v>
                </c:pt>
                <c:pt idx="8">
                  <c:v>35</c:v>
                </c:pt>
                <c:pt idx="9">
                  <c:v>39.6</c:v>
                </c:pt>
                <c:pt idx="10">
                  <c:v>40.9</c:v>
                </c:pt>
                <c:pt idx="11">
                  <c:v>45.2</c:v>
                </c:pt>
                <c:pt idx="12">
                  <c:v>49</c:v>
                </c:pt>
                <c:pt idx="13">
                  <c:v>49.6</c:v>
                </c:pt>
                <c:pt idx="14">
                  <c:v>51.1</c:v>
                </c:pt>
                <c:pt idx="15">
                  <c:v>52.4</c:v>
                </c:pt>
                <c:pt idx="16">
                  <c:v>53.1</c:v>
                </c:pt>
                <c:pt idx="17">
                  <c:v>53.4</c:v>
                </c:pt>
                <c:pt idx="18">
                  <c:v>57.2</c:v>
                </c:pt>
                <c:pt idx="19">
                  <c:v>59.6</c:v>
                </c:pt>
                <c:pt idx="20">
                  <c:v>61.5</c:v>
                </c:pt>
                <c:pt idx="21">
                  <c:v>58.4</c:v>
                </c:pt>
                <c:pt idx="22">
                  <c:v>58.1</c:v>
                </c:pt>
                <c:pt idx="23">
                  <c:v>61.2</c:v>
                </c:pt>
                <c:pt idx="24">
                  <c:v>58.2</c:v>
                </c:pt>
                <c:pt idx="25">
                  <c:v>55.3</c:v>
                </c:pt>
                <c:pt idx="26">
                  <c:v>56.6</c:v>
                </c:pt>
                <c:pt idx="27">
                  <c:v>58.1</c:v>
                </c:pt>
                <c:pt idx="28">
                  <c:v>60.9</c:v>
                </c:pt>
                <c:pt idx="29">
                  <c:v>60.5</c:v>
                </c:pt>
                <c:pt idx="30">
                  <c:v>62.7</c:v>
                </c:pt>
                <c:pt idx="31">
                  <c:v>60.9</c:v>
                </c:pt>
                <c:pt idx="32">
                  <c:v>62</c:v>
                </c:pt>
                <c:pt idx="33">
                  <c:v>57.7</c:v>
                </c:pt>
                <c:pt idx="34">
                  <c:v>54.9</c:v>
                </c:pt>
                <c:pt idx="35">
                  <c:v>52</c:v>
                </c:pt>
                <c:pt idx="36">
                  <c:v>50.9</c:v>
                </c:pt>
                <c:pt idx="37">
                  <c:v>50.3</c:v>
                </c:pt>
                <c:pt idx="38">
                  <c:v>49.1</c:v>
                </c:pt>
                <c:pt idx="39">
                  <c:v>47.9</c:v>
                </c:pt>
                <c:pt idx="40">
                  <c:v>48.4</c:v>
                </c:pt>
                <c:pt idx="41">
                  <c:v>51</c:v>
                </c:pt>
                <c:pt idx="42">
                  <c:v>50.2</c:v>
                </c:pt>
                <c:pt idx="43">
                  <c:v>48.4</c:v>
                </c:pt>
                <c:pt idx="44">
                  <c:v>46.2</c:v>
                </c:pt>
                <c:pt idx="45">
                  <c:v>45.2</c:v>
                </c:pt>
                <c:pt idx="46">
                  <c:v>45</c:v>
                </c:pt>
                <c:pt idx="47">
                  <c:v>43</c:v>
                </c:pt>
                <c:pt idx="48">
                  <c:v>44.7</c:v>
                </c:pt>
                <c:pt idx="49">
                  <c:v>47.4</c:v>
                </c:pt>
                <c:pt idx="50">
                  <c:v>46</c:v>
                </c:pt>
                <c:pt idx="51">
                  <c:v>46.8</c:v>
                </c:pt>
                <c:pt idx="52">
                  <c:v>46</c:v>
                </c:pt>
                <c:pt idx="53">
                  <c:v>49.8</c:v>
                </c:pt>
                <c:pt idx="54">
                  <c:v>50.3</c:v>
                </c:pt>
                <c:pt idx="55">
                  <c:v>49</c:v>
                </c:pt>
                <c:pt idx="56">
                  <c:v>48.1</c:v>
                </c:pt>
                <c:pt idx="57">
                  <c:v>49.4</c:v>
                </c:pt>
                <c:pt idx="58">
                  <c:v>48.6</c:v>
                </c:pt>
                <c:pt idx="59">
                  <c:v>50.7</c:v>
                </c:pt>
                <c:pt idx="60">
                  <c:v>51.8</c:v>
                </c:pt>
                <c:pt idx="61">
                  <c:v>51.1</c:v>
                </c:pt>
                <c:pt idx="62">
                  <c:v>51.7</c:v>
                </c:pt>
                <c:pt idx="63">
                  <c:v>52.7</c:v>
                </c:pt>
                <c:pt idx="64">
                  <c:v>54.3</c:v>
                </c:pt>
                <c:pt idx="65">
                  <c:v>56.6</c:v>
                </c:pt>
                <c:pt idx="66">
                  <c:v>54.8</c:v>
                </c:pt>
                <c:pt idx="67">
                  <c:v>53.7</c:v>
                </c:pt>
                <c:pt idx="68">
                  <c:v>54.1</c:v>
                </c:pt>
                <c:pt idx="69">
                  <c:v>52.3</c:v>
                </c:pt>
                <c:pt idx="70">
                  <c:v>52</c:v>
                </c:pt>
                <c:pt idx="71">
                  <c:v>52.4</c:v>
                </c:pt>
                <c:pt idx="72">
                  <c:v>51.4</c:v>
                </c:pt>
                <c:pt idx="73">
                  <c:v>49.9</c:v>
                </c:pt>
                <c:pt idx="74">
                  <c:v>51.4</c:v>
                </c:pt>
                <c:pt idx="75">
                  <c:v>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89-40EC-9B7C-58F8AD4C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"/>
        <c:axId val="177380352"/>
        <c:axId val="177386240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FR!$B$46:$B$244</c:f>
              <c:numCache>
                <c:formatCode>0.0</c:formatCode>
                <c:ptCount val="199"/>
                <c:pt idx="0">
                  <c:v>45.1</c:v>
                </c:pt>
                <c:pt idx="1">
                  <c:v>43.6</c:v>
                </c:pt>
                <c:pt idx="2">
                  <c:v>40.799999999999997</c:v>
                </c:pt>
                <c:pt idx="3">
                  <c:v>37.9</c:v>
                </c:pt>
                <c:pt idx="4">
                  <c:v>35.9</c:v>
                </c:pt>
                <c:pt idx="5">
                  <c:v>38.1</c:v>
                </c:pt>
                <c:pt idx="6">
                  <c:v>32.299999999999997</c:v>
                </c:pt>
                <c:pt idx="7">
                  <c:v>36.299999999999997</c:v>
                </c:pt>
                <c:pt idx="8">
                  <c:v>40</c:v>
                </c:pt>
                <c:pt idx="9">
                  <c:v>43.1</c:v>
                </c:pt>
                <c:pt idx="10">
                  <c:v>45.9</c:v>
                </c:pt>
                <c:pt idx="11">
                  <c:v>50.2</c:v>
                </c:pt>
                <c:pt idx="12">
                  <c:v>52.5</c:v>
                </c:pt>
                <c:pt idx="13">
                  <c:v>53</c:v>
                </c:pt>
                <c:pt idx="14">
                  <c:v>54.2</c:v>
                </c:pt>
                <c:pt idx="15">
                  <c:v>54.4</c:v>
                </c:pt>
                <c:pt idx="16">
                  <c:v>54.7</c:v>
                </c:pt>
                <c:pt idx="17">
                  <c:v>54.6</c:v>
                </c:pt>
                <c:pt idx="18">
                  <c:v>56.3</c:v>
                </c:pt>
                <c:pt idx="19">
                  <c:v>56.7</c:v>
                </c:pt>
                <c:pt idx="20">
                  <c:v>56.6</c:v>
                </c:pt>
                <c:pt idx="21">
                  <c:v>55.8</c:v>
                </c:pt>
                <c:pt idx="22">
                  <c:v>53.7</c:v>
                </c:pt>
                <c:pt idx="23">
                  <c:v>54.7</c:v>
                </c:pt>
                <c:pt idx="24">
                  <c:v>55.4</c:v>
                </c:pt>
                <c:pt idx="25">
                  <c:v>55.2</c:v>
                </c:pt>
                <c:pt idx="26">
                  <c:v>57.5</c:v>
                </c:pt>
                <c:pt idx="27">
                  <c:v>56.3</c:v>
                </c:pt>
                <c:pt idx="28">
                  <c:v>54.3</c:v>
                </c:pt>
                <c:pt idx="29">
                  <c:v>54.9</c:v>
                </c:pt>
                <c:pt idx="30">
                  <c:v>56.6</c:v>
                </c:pt>
                <c:pt idx="31">
                  <c:v>56.9</c:v>
                </c:pt>
                <c:pt idx="32">
                  <c:v>57.5</c:v>
                </c:pt>
                <c:pt idx="33">
                  <c:v>54.9</c:v>
                </c:pt>
                <c:pt idx="34">
                  <c:v>50.1</c:v>
                </c:pt>
                <c:pt idx="35">
                  <c:v>50.5</c:v>
                </c:pt>
                <c:pt idx="36">
                  <c:v>49.1</c:v>
                </c:pt>
                <c:pt idx="37">
                  <c:v>48.2</c:v>
                </c:pt>
                <c:pt idx="38">
                  <c:v>48.5</c:v>
                </c:pt>
                <c:pt idx="39">
                  <c:v>47.3</c:v>
                </c:pt>
                <c:pt idx="40">
                  <c:v>48.9</c:v>
                </c:pt>
                <c:pt idx="41">
                  <c:v>48.5</c:v>
                </c:pt>
                <c:pt idx="42">
                  <c:v>50</c:v>
                </c:pt>
                <c:pt idx="43">
                  <c:v>46.7</c:v>
                </c:pt>
                <c:pt idx="44">
                  <c:v>46.9</c:v>
                </c:pt>
                <c:pt idx="45">
                  <c:v>44.7</c:v>
                </c:pt>
                <c:pt idx="46">
                  <c:v>45.2</c:v>
                </c:pt>
                <c:pt idx="47">
                  <c:v>43.4</c:v>
                </c:pt>
                <c:pt idx="48">
                  <c:v>46</c:v>
                </c:pt>
                <c:pt idx="49">
                  <c:v>42.7</c:v>
                </c:pt>
                <c:pt idx="50">
                  <c:v>43.7</c:v>
                </c:pt>
                <c:pt idx="51">
                  <c:v>44.5</c:v>
                </c:pt>
                <c:pt idx="52">
                  <c:v>44.6</c:v>
                </c:pt>
                <c:pt idx="53">
                  <c:v>42.9</c:v>
                </c:pt>
                <c:pt idx="54">
                  <c:v>43.9</c:v>
                </c:pt>
                <c:pt idx="55">
                  <c:v>44</c:v>
                </c:pt>
                <c:pt idx="56">
                  <c:v>44.4</c:v>
                </c:pt>
                <c:pt idx="57">
                  <c:v>46.4</c:v>
                </c:pt>
                <c:pt idx="58">
                  <c:v>48.4</c:v>
                </c:pt>
                <c:pt idx="59">
                  <c:v>49.7</c:v>
                </c:pt>
                <c:pt idx="60">
                  <c:v>49.7</c:v>
                </c:pt>
                <c:pt idx="61">
                  <c:v>49.8</c:v>
                </c:pt>
                <c:pt idx="62">
                  <c:v>49.1</c:v>
                </c:pt>
                <c:pt idx="63">
                  <c:v>48.4</c:v>
                </c:pt>
                <c:pt idx="64">
                  <c:v>47</c:v>
                </c:pt>
                <c:pt idx="65">
                  <c:v>49.3</c:v>
                </c:pt>
                <c:pt idx="66">
                  <c:v>49.7</c:v>
                </c:pt>
                <c:pt idx="67">
                  <c:v>52.1</c:v>
                </c:pt>
                <c:pt idx="68">
                  <c:v>51.2</c:v>
                </c:pt>
                <c:pt idx="69">
                  <c:v>49.6</c:v>
                </c:pt>
                <c:pt idx="70">
                  <c:v>48.2</c:v>
                </c:pt>
                <c:pt idx="71">
                  <c:v>47.8</c:v>
                </c:pt>
                <c:pt idx="72">
                  <c:v>46.9</c:v>
                </c:pt>
                <c:pt idx="73">
                  <c:v>48.8</c:v>
                </c:pt>
                <c:pt idx="74">
                  <c:v>48.5</c:v>
                </c:pt>
                <c:pt idx="75">
                  <c:v>48.4</c:v>
                </c:pt>
                <c:pt idx="109">
                  <c:v>49.7</c:v>
                </c:pt>
                <c:pt idx="110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89-40EC-9B7C-58F8AD4C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80352"/>
        <c:axId val="177386240"/>
      </c:lineChart>
      <c:dateAx>
        <c:axId val="1773803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6240"/>
        <c:crossesAt val="50"/>
        <c:auto val="1"/>
        <c:lblOffset val="100"/>
        <c:baseTimeUnit val="months"/>
        <c:majorUnit val="3"/>
        <c:majorTimeUnit val="months"/>
      </c:dateAx>
      <c:valAx>
        <c:axId val="177386240"/>
        <c:scaling>
          <c:orientation val="minMax"/>
          <c:max val="64"/>
          <c:min val="30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0352"/>
        <c:crosses val="autoZero"/>
        <c:crossBetween val="between"/>
        <c:majorUnit val="2"/>
      </c:val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1883306966766141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France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FR!$B$45</c:f>
              <c:strCache>
                <c:ptCount val="1"/>
                <c:pt idx="0">
                  <c:v>France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FR!$A$46:$A$244</c:f>
              <c:numCache>
                <c:formatCode>[$-409]mmm\-yy;@</c:formatCode>
                <c:ptCount val="199"/>
                <c:pt idx="0">
                  <c:v>39661</c:v>
                </c:pt>
                <c:pt idx="1">
                  <c:v>39692</c:v>
                </c:pt>
                <c:pt idx="2">
                  <c:v>39722</c:v>
                </c:pt>
                <c:pt idx="3">
                  <c:v>39753</c:v>
                </c:pt>
                <c:pt idx="4">
                  <c:v>39783</c:v>
                </c:pt>
                <c:pt idx="5">
                  <c:v>39814</c:v>
                </c:pt>
                <c:pt idx="6">
                  <c:v>39845</c:v>
                </c:pt>
                <c:pt idx="7">
                  <c:v>39873</c:v>
                </c:pt>
                <c:pt idx="8">
                  <c:v>39904</c:v>
                </c:pt>
                <c:pt idx="9">
                  <c:v>39934</c:v>
                </c:pt>
                <c:pt idx="10">
                  <c:v>39965</c:v>
                </c:pt>
                <c:pt idx="11">
                  <c:v>39995</c:v>
                </c:pt>
                <c:pt idx="12">
                  <c:v>40026</c:v>
                </c:pt>
                <c:pt idx="13">
                  <c:v>40057</c:v>
                </c:pt>
                <c:pt idx="14">
                  <c:v>40087</c:v>
                </c:pt>
                <c:pt idx="15">
                  <c:v>40118</c:v>
                </c:pt>
                <c:pt idx="16">
                  <c:v>40148</c:v>
                </c:pt>
                <c:pt idx="17">
                  <c:v>40179</c:v>
                </c:pt>
                <c:pt idx="18">
                  <c:v>40210</c:v>
                </c:pt>
                <c:pt idx="19">
                  <c:v>40238</c:v>
                </c:pt>
                <c:pt idx="20">
                  <c:v>40269</c:v>
                </c:pt>
                <c:pt idx="21">
                  <c:v>40299</c:v>
                </c:pt>
                <c:pt idx="22">
                  <c:v>40330</c:v>
                </c:pt>
                <c:pt idx="23">
                  <c:v>40360</c:v>
                </c:pt>
                <c:pt idx="24">
                  <c:v>40391</c:v>
                </c:pt>
                <c:pt idx="25">
                  <c:v>40422</c:v>
                </c:pt>
                <c:pt idx="26">
                  <c:v>40452</c:v>
                </c:pt>
                <c:pt idx="27">
                  <c:v>40483</c:v>
                </c:pt>
                <c:pt idx="28">
                  <c:v>40513</c:v>
                </c:pt>
                <c:pt idx="29">
                  <c:v>40544</c:v>
                </c:pt>
                <c:pt idx="30">
                  <c:v>40575</c:v>
                </c:pt>
                <c:pt idx="31">
                  <c:v>40603</c:v>
                </c:pt>
                <c:pt idx="32">
                  <c:v>40634</c:v>
                </c:pt>
                <c:pt idx="33">
                  <c:v>40664</c:v>
                </c:pt>
                <c:pt idx="34">
                  <c:v>40695</c:v>
                </c:pt>
                <c:pt idx="35">
                  <c:v>40725</c:v>
                </c:pt>
                <c:pt idx="36">
                  <c:v>40756</c:v>
                </c:pt>
                <c:pt idx="37">
                  <c:v>40787</c:v>
                </c:pt>
                <c:pt idx="38">
                  <c:v>40817</c:v>
                </c:pt>
                <c:pt idx="39">
                  <c:v>40848</c:v>
                </c:pt>
                <c:pt idx="40">
                  <c:v>40878</c:v>
                </c:pt>
                <c:pt idx="41">
                  <c:v>40909</c:v>
                </c:pt>
                <c:pt idx="42">
                  <c:v>40940</c:v>
                </c:pt>
                <c:pt idx="43">
                  <c:v>40969</c:v>
                </c:pt>
                <c:pt idx="44">
                  <c:v>41000</c:v>
                </c:pt>
                <c:pt idx="45">
                  <c:v>41030</c:v>
                </c:pt>
                <c:pt idx="46">
                  <c:v>41061</c:v>
                </c:pt>
                <c:pt idx="47">
                  <c:v>41091</c:v>
                </c:pt>
                <c:pt idx="48">
                  <c:v>41122</c:v>
                </c:pt>
                <c:pt idx="49">
                  <c:v>41153</c:v>
                </c:pt>
                <c:pt idx="50">
                  <c:v>41183</c:v>
                </c:pt>
                <c:pt idx="51">
                  <c:v>41214</c:v>
                </c:pt>
                <c:pt idx="52">
                  <c:v>41244</c:v>
                </c:pt>
                <c:pt idx="53">
                  <c:v>41275</c:v>
                </c:pt>
                <c:pt idx="54">
                  <c:v>41306</c:v>
                </c:pt>
                <c:pt idx="55">
                  <c:v>41334</c:v>
                </c:pt>
                <c:pt idx="56">
                  <c:v>41365</c:v>
                </c:pt>
                <c:pt idx="57">
                  <c:v>41395</c:v>
                </c:pt>
                <c:pt idx="58">
                  <c:v>41426</c:v>
                </c:pt>
                <c:pt idx="59">
                  <c:v>41456</c:v>
                </c:pt>
                <c:pt idx="60">
                  <c:v>41487</c:v>
                </c:pt>
                <c:pt idx="61">
                  <c:v>41518</c:v>
                </c:pt>
                <c:pt idx="62">
                  <c:v>41548</c:v>
                </c:pt>
                <c:pt idx="63">
                  <c:v>41579</c:v>
                </c:pt>
                <c:pt idx="64">
                  <c:v>41609</c:v>
                </c:pt>
                <c:pt idx="65">
                  <c:v>41640</c:v>
                </c:pt>
                <c:pt idx="66">
                  <c:v>41671</c:v>
                </c:pt>
                <c:pt idx="67">
                  <c:v>41699</c:v>
                </c:pt>
                <c:pt idx="68">
                  <c:v>41730</c:v>
                </c:pt>
                <c:pt idx="69">
                  <c:v>41760</c:v>
                </c:pt>
                <c:pt idx="70">
                  <c:v>41791</c:v>
                </c:pt>
                <c:pt idx="71">
                  <c:v>41821</c:v>
                </c:pt>
                <c:pt idx="72">
                  <c:v>41852</c:v>
                </c:pt>
                <c:pt idx="73">
                  <c:v>41883</c:v>
                </c:pt>
                <c:pt idx="74">
                  <c:v>41913</c:v>
                </c:pt>
                <c:pt idx="75">
                  <c:v>41944</c:v>
                </c:pt>
                <c:pt idx="76">
                  <c:v>41974</c:v>
                </c:pt>
                <c:pt idx="77">
                  <c:v>42005</c:v>
                </c:pt>
                <c:pt idx="78">
                  <c:v>42036</c:v>
                </c:pt>
                <c:pt idx="79">
                  <c:v>42064</c:v>
                </c:pt>
                <c:pt idx="80">
                  <c:v>42095</c:v>
                </c:pt>
                <c:pt idx="81">
                  <c:v>42125</c:v>
                </c:pt>
                <c:pt idx="82">
                  <c:v>42156</c:v>
                </c:pt>
                <c:pt idx="83">
                  <c:v>42186</c:v>
                </c:pt>
                <c:pt idx="84">
                  <c:v>42217</c:v>
                </c:pt>
                <c:pt idx="85">
                  <c:v>42248</c:v>
                </c:pt>
                <c:pt idx="86">
                  <c:v>42278</c:v>
                </c:pt>
                <c:pt idx="87">
                  <c:v>42309</c:v>
                </c:pt>
                <c:pt idx="88">
                  <c:v>42339</c:v>
                </c:pt>
                <c:pt idx="89">
                  <c:v>42370</c:v>
                </c:pt>
                <c:pt idx="90">
                  <c:v>42401</c:v>
                </c:pt>
                <c:pt idx="91">
                  <c:v>42430</c:v>
                </c:pt>
                <c:pt idx="92">
                  <c:v>42461</c:v>
                </c:pt>
                <c:pt idx="93">
                  <c:v>42491</c:v>
                </c:pt>
                <c:pt idx="94">
                  <c:v>42522</c:v>
                </c:pt>
                <c:pt idx="95">
                  <c:v>42552</c:v>
                </c:pt>
                <c:pt idx="96">
                  <c:v>42583</c:v>
                </c:pt>
                <c:pt idx="97">
                  <c:v>42614</c:v>
                </c:pt>
                <c:pt idx="98">
                  <c:v>42644</c:v>
                </c:pt>
                <c:pt idx="99">
                  <c:v>42675</c:v>
                </c:pt>
                <c:pt idx="100">
                  <c:v>42705</c:v>
                </c:pt>
                <c:pt idx="101">
                  <c:v>42736</c:v>
                </c:pt>
                <c:pt idx="102">
                  <c:v>42767</c:v>
                </c:pt>
                <c:pt idx="103">
                  <c:v>42795</c:v>
                </c:pt>
                <c:pt idx="104">
                  <c:v>42826</c:v>
                </c:pt>
                <c:pt idx="105">
                  <c:v>42856</c:v>
                </c:pt>
                <c:pt idx="106">
                  <c:v>42887</c:v>
                </c:pt>
                <c:pt idx="107">
                  <c:v>42917</c:v>
                </c:pt>
                <c:pt idx="108">
                  <c:v>42948</c:v>
                </c:pt>
                <c:pt idx="109" formatCode="yyyy/mm/dd">
                  <c:v>46143</c:v>
                </c:pt>
                <c:pt idx="110" formatCode="yyyy/mm/dd">
                  <c:v>46174</c:v>
                </c:pt>
              </c:numCache>
            </c:numRef>
          </c:cat>
          <c:val>
            <c:numRef>
              <c:f>FR!$B$46:$B$244</c:f>
              <c:numCache>
                <c:formatCode>0.0</c:formatCode>
                <c:ptCount val="199"/>
                <c:pt idx="0">
                  <c:v>45.1</c:v>
                </c:pt>
                <c:pt idx="1">
                  <c:v>43.6</c:v>
                </c:pt>
                <c:pt idx="2">
                  <c:v>40.799999999999997</c:v>
                </c:pt>
                <c:pt idx="3">
                  <c:v>37.9</c:v>
                </c:pt>
                <c:pt idx="4">
                  <c:v>35.9</c:v>
                </c:pt>
                <c:pt idx="5">
                  <c:v>38.1</c:v>
                </c:pt>
                <c:pt idx="6">
                  <c:v>32.299999999999997</c:v>
                </c:pt>
                <c:pt idx="7">
                  <c:v>36.299999999999997</c:v>
                </c:pt>
                <c:pt idx="8">
                  <c:v>40</c:v>
                </c:pt>
                <c:pt idx="9">
                  <c:v>43.1</c:v>
                </c:pt>
                <c:pt idx="10">
                  <c:v>45.9</c:v>
                </c:pt>
                <c:pt idx="11">
                  <c:v>50.2</c:v>
                </c:pt>
                <c:pt idx="12">
                  <c:v>52.5</c:v>
                </c:pt>
                <c:pt idx="13">
                  <c:v>53</c:v>
                </c:pt>
                <c:pt idx="14">
                  <c:v>54.2</c:v>
                </c:pt>
                <c:pt idx="15">
                  <c:v>54.4</c:v>
                </c:pt>
                <c:pt idx="16">
                  <c:v>54.7</c:v>
                </c:pt>
                <c:pt idx="17">
                  <c:v>54.6</c:v>
                </c:pt>
                <c:pt idx="18">
                  <c:v>56.3</c:v>
                </c:pt>
                <c:pt idx="19">
                  <c:v>56.7</c:v>
                </c:pt>
                <c:pt idx="20">
                  <c:v>56.6</c:v>
                </c:pt>
                <c:pt idx="21">
                  <c:v>55.8</c:v>
                </c:pt>
                <c:pt idx="22">
                  <c:v>53.7</c:v>
                </c:pt>
                <c:pt idx="23">
                  <c:v>54.7</c:v>
                </c:pt>
                <c:pt idx="24">
                  <c:v>55.4</c:v>
                </c:pt>
                <c:pt idx="25">
                  <c:v>55.2</c:v>
                </c:pt>
                <c:pt idx="26">
                  <c:v>57.5</c:v>
                </c:pt>
                <c:pt idx="27">
                  <c:v>56.3</c:v>
                </c:pt>
                <c:pt idx="28">
                  <c:v>54.3</c:v>
                </c:pt>
                <c:pt idx="29">
                  <c:v>54.9</c:v>
                </c:pt>
                <c:pt idx="30">
                  <c:v>56.6</c:v>
                </c:pt>
                <c:pt idx="31">
                  <c:v>56.9</c:v>
                </c:pt>
                <c:pt idx="32">
                  <c:v>57.5</c:v>
                </c:pt>
                <c:pt idx="33">
                  <c:v>54.9</c:v>
                </c:pt>
                <c:pt idx="34">
                  <c:v>50.1</c:v>
                </c:pt>
                <c:pt idx="35">
                  <c:v>50.5</c:v>
                </c:pt>
                <c:pt idx="36">
                  <c:v>49.1</c:v>
                </c:pt>
                <c:pt idx="37">
                  <c:v>48.2</c:v>
                </c:pt>
                <c:pt idx="38">
                  <c:v>48.5</c:v>
                </c:pt>
                <c:pt idx="39">
                  <c:v>47.3</c:v>
                </c:pt>
                <c:pt idx="40">
                  <c:v>48.9</c:v>
                </c:pt>
                <c:pt idx="41">
                  <c:v>48.5</c:v>
                </c:pt>
                <c:pt idx="42">
                  <c:v>50</c:v>
                </c:pt>
                <c:pt idx="43">
                  <c:v>46.7</c:v>
                </c:pt>
                <c:pt idx="44">
                  <c:v>46.9</c:v>
                </c:pt>
                <c:pt idx="45">
                  <c:v>44.7</c:v>
                </c:pt>
                <c:pt idx="46">
                  <c:v>45.2</c:v>
                </c:pt>
                <c:pt idx="47">
                  <c:v>43.4</c:v>
                </c:pt>
                <c:pt idx="48">
                  <c:v>46</c:v>
                </c:pt>
                <c:pt idx="49">
                  <c:v>42.7</c:v>
                </c:pt>
                <c:pt idx="50">
                  <c:v>43.7</c:v>
                </c:pt>
                <c:pt idx="51">
                  <c:v>44.5</c:v>
                </c:pt>
                <c:pt idx="52">
                  <c:v>44.6</c:v>
                </c:pt>
                <c:pt idx="53">
                  <c:v>42.9</c:v>
                </c:pt>
                <c:pt idx="54">
                  <c:v>43.9</c:v>
                </c:pt>
                <c:pt idx="55">
                  <c:v>44</c:v>
                </c:pt>
                <c:pt idx="56">
                  <c:v>44.4</c:v>
                </c:pt>
                <c:pt idx="57">
                  <c:v>46.4</c:v>
                </c:pt>
                <c:pt idx="58">
                  <c:v>48.4</c:v>
                </c:pt>
                <c:pt idx="59">
                  <c:v>49.7</c:v>
                </c:pt>
                <c:pt idx="60">
                  <c:v>49.7</c:v>
                </c:pt>
                <c:pt idx="61">
                  <c:v>49.8</c:v>
                </c:pt>
                <c:pt idx="62">
                  <c:v>49.1</c:v>
                </c:pt>
                <c:pt idx="63">
                  <c:v>48.4</c:v>
                </c:pt>
                <c:pt idx="64">
                  <c:v>47</c:v>
                </c:pt>
                <c:pt idx="65">
                  <c:v>49.3</c:v>
                </c:pt>
                <c:pt idx="66">
                  <c:v>49.7</c:v>
                </c:pt>
                <c:pt idx="67">
                  <c:v>52.1</c:v>
                </c:pt>
                <c:pt idx="68">
                  <c:v>51.2</c:v>
                </c:pt>
                <c:pt idx="69">
                  <c:v>49.6</c:v>
                </c:pt>
                <c:pt idx="70">
                  <c:v>48.2</c:v>
                </c:pt>
                <c:pt idx="71">
                  <c:v>47.8</c:v>
                </c:pt>
                <c:pt idx="72">
                  <c:v>46.9</c:v>
                </c:pt>
                <c:pt idx="73">
                  <c:v>48.8</c:v>
                </c:pt>
                <c:pt idx="74">
                  <c:v>48.5</c:v>
                </c:pt>
                <c:pt idx="75">
                  <c:v>48.4</c:v>
                </c:pt>
                <c:pt idx="109">
                  <c:v>49.7</c:v>
                </c:pt>
                <c:pt idx="110">
                  <c:v>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0-41B6-AA4B-EAFACD61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48544"/>
        <c:axId val="188750080"/>
      </c:areaChart>
      <c:barChart>
        <c:barDir val="col"/>
        <c:grouping val="clustered"/>
        <c:varyColors val="0"/>
        <c:ser>
          <c:idx val="2"/>
          <c:order val="2"/>
          <c:tx>
            <c:strRef>
              <c:f>FR!$D$45</c:f>
              <c:strCache>
                <c:ptCount val="1"/>
                <c:pt idx="0">
                  <c:v>French GDP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381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FR!$D$46:$D$144</c:f>
              <c:numCache>
                <c:formatCode>0.0%</c:formatCode>
                <c:ptCount val="99"/>
                <c:pt idx="1">
                  <c:v>-4.0000000000000001E-3</c:v>
                </c:pt>
                <c:pt idx="4">
                  <c:v>-1.6E-2</c:v>
                </c:pt>
                <c:pt idx="7">
                  <c:v>-1.7000000000000001E-2</c:v>
                </c:pt>
                <c:pt idx="10">
                  <c:v>0</c:v>
                </c:pt>
                <c:pt idx="13">
                  <c:v>1E-3</c:v>
                </c:pt>
                <c:pt idx="16">
                  <c:v>7.0000000000000001E-3</c:v>
                </c:pt>
                <c:pt idx="19">
                  <c:v>3.0000000000000001E-3</c:v>
                </c:pt>
                <c:pt idx="22">
                  <c:v>6.0000000000000001E-3</c:v>
                </c:pt>
                <c:pt idx="25">
                  <c:v>5.0000000000000001E-3</c:v>
                </c:pt>
                <c:pt idx="28">
                  <c:v>5.0000000000000001E-3</c:v>
                </c:pt>
                <c:pt idx="31">
                  <c:v>1.0999999999999999E-2</c:v>
                </c:pt>
                <c:pt idx="34">
                  <c:v>-1E-3</c:v>
                </c:pt>
                <c:pt idx="37">
                  <c:v>3.0000000000000001E-3</c:v>
                </c:pt>
                <c:pt idx="40">
                  <c:v>1E-3</c:v>
                </c:pt>
                <c:pt idx="43">
                  <c:v>1E-3</c:v>
                </c:pt>
                <c:pt idx="46">
                  <c:v>-3.0000000000000001E-3</c:v>
                </c:pt>
                <c:pt idx="49">
                  <c:v>2E-3</c:v>
                </c:pt>
                <c:pt idx="52">
                  <c:v>-2E-3</c:v>
                </c:pt>
                <c:pt idx="55">
                  <c:v>0</c:v>
                </c:pt>
                <c:pt idx="58">
                  <c:v>6.0000000000000001E-3</c:v>
                </c:pt>
                <c:pt idx="61">
                  <c:v>-1E-3</c:v>
                </c:pt>
                <c:pt idx="64">
                  <c:v>2E-3</c:v>
                </c:pt>
                <c:pt idx="67">
                  <c:v>0</c:v>
                </c:pt>
                <c:pt idx="70">
                  <c:v>0</c:v>
                </c:pt>
                <c:pt idx="73" formatCode="0.00%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0-41B6-AA4B-EAFACD61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8765696"/>
        <c:axId val="18876416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FR!$B$46:$B$244</c:f>
              <c:numCache>
                <c:formatCode>0.0</c:formatCode>
                <c:ptCount val="199"/>
                <c:pt idx="0">
                  <c:v>45.1</c:v>
                </c:pt>
                <c:pt idx="1">
                  <c:v>43.6</c:v>
                </c:pt>
                <c:pt idx="2">
                  <c:v>40.799999999999997</c:v>
                </c:pt>
                <c:pt idx="3">
                  <c:v>37.9</c:v>
                </c:pt>
                <c:pt idx="4">
                  <c:v>35.9</c:v>
                </c:pt>
                <c:pt idx="5">
                  <c:v>38.1</c:v>
                </c:pt>
                <c:pt idx="6">
                  <c:v>32.299999999999997</c:v>
                </c:pt>
                <c:pt idx="7">
                  <c:v>36.299999999999997</c:v>
                </c:pt>
                <c:pt idx="8">
                  <c:v>40</c:v>
                </c:pt>
                <c:pt idx="9">
                  <c:v>43.1</c:v>
                </c:pt>
                <c:pt idx="10">
                  <c:v>45.9</c:v>
                </c:pt>
                <c:pt idx="11">
                  <c:v>50.2</c:v>
                </c:pt>
                <c:pt idx="12">
                  <c:v>52.5</c:v>
                </c:pt>
                <c:pt idx="13">
                  <c:v>53</c:v>
                </c:pt>
                <c:pt idx="14">
                  <c:v>54.2</c:v>
                </c:pt>
                <c:pt idx="15">
                  <c:v>54.4</c:v>
                </c:pt>
                <c:pt idx="16">
                  <c:v>54.7</c:v>
                </c:pt>
                <c:pt idx="17">
                  <c:v>54.6</c:v>
                </c:pt>
                <c:pt idx="18">
                  <c:v>56.3</c:v>
                </c:pt>
                <c:pt idx="19">
                  <c:v>56.7</c:v>
                </c:pt>
                <c:pt idx="20">
                  <c:v>56.6</c:v>
                </c:pt>
                <c:pt idx="21">
                  <c:v>55.8</c:v>
                </c:pt>
                <c:pt idx="22">
                  <c:v>53.7</c:v>
                </c:pt>
                <c:pt idx="23">
                  <c:v>54.7</c:v>
                </c:pt>
                <c:pt idx="24">
                  <c:v>55.4</c:v>
                </c:pt>
                <c:pt idx="25">
                  <c:v>55.2</c:v>
                </c:pt>
                <c:pt idx="26">
                  <c:v>57.5</c:v>
                </c:pt>
                <c:pt idx="27">
                  <c:v>56.3</c:v>
                </c:pt>
                <c:pt idx="28">
                  <c:v>54.3</c:v>
                </c:pt>
                <c:pt idx="29">
                  <c:v>54.9</c:v>
                </c:pt>
                <c:pt idx="30">
                  <c:v>56.6</c:v>
                </c:pt>
                <c:pt idx="31">
                  <c:v>56.9</c:v>
                </c:pt>
                <c:pt idx="32">
                  <c:v>57.5</c:v>
                </c:pt>
                <c:pt idx="33">
                  <c:v>54.9</c:v>
                </c:pt>
                <c:pt idx="34">
                  <c:v>50.1</c:v>
                </c:pt>
                <c:pt idx="35">
                  <c:v>50.5</c:v>
                </c:pt>
                <c:pt idx="36">
                  <c:v>49.1</c:v>
                </c:pt>
                <c:pt idx="37">
                  <c:v>48.2</c:v>
                </c:pt>
                <c:pt idx="38">
                  <c:v>48.5</c:v>
                </c:pt>
                <c:pt idx="39">
                  <c:v>47.3</c:v>
                </c:pt>
                <c:pt idx="40">
                  <c:v>48.9</c:v>
                </c:pt>
                <c:pt idx="41">
                  <c:v>48.5</c:v>
                </c:pt>
                <c:pt idx="42">
                  <c:v>50</c:v>
                </c:pt>
                <c:pt idx="43">
                  <c:v>46.7</c:v>
                </c:pt>
                <c:pt idx="44">
                  <c:v>46.9</c:v>
                </c:pt>
                <c:pt idx="45">
                  <c:v>44.7</c:v>
                </c:pt>
                <c:pt idx="46">
                  <c:v>45.2</c:v>
                </c:pt>
                <c:pt idx="47">
                  <c:v>43.4</c:v>
                </c:pt>
                <c:pt idx="48">
                  <c:v>46</c:v>
                </c:pt>
                <c:pt idx="49">
                  <c:v>42.7</c:v>
                </c:pt>
                <c:pt idx="50">
                  <c:v>43.7</c:v>
                </c:pt>
                <c:pt idx="51">
                  <c:v>44.5</c:v>
                </c:pt>
                <c:pt idx="52">
                  <c:v>44.6</c:v>
                </c:pt>
                <c:pt idx="53">
                  <c:v>42.9</c:v>
                </c:pt>
                <c:pt idx="54">
                  <c:v>43.9</c:v>
                </c:pt>
                <c:pt idx="55">
                  <c:v>44</c:v>
                </c:pt>
                <c:pt idx="56">
                  <c:v>44.4</c:v>
                </c:pt>
                <c:pt idx="57">
                  <c:v>46.4</c:v>
                </c:pt>
                <c:pt idx="58">
                  <c:v>48.4</c:v>
                </c:pt>
                <c:pt idx="59">
                  <c:v>49.7</c:v>
                </c:pt>
                <c:pt idx="60">
                  <c:v>49.7</c:v>
                </c:pt>
                <c:pt idx="61">
                  <c:v>49.8</c:v>
                </c:pt>
                <c:pt idx="62">
                  <c:v>49.1</c:v>
                </c:pt>
                <c:pt idx="63">
                  <c:v>48.4</c:v>
                </c:pt>
                <c:pt idx="64">
                  <c:v>47</c:v>
                </c:pt>
                <c:pt idx="65">
                  <c:v>49.3</c:v>
                </c:pt>
                <c:pt idx="66">
                  <c:v>49.7</c:v>
                </c:pt>
                <c:pt idx="67">
                  <c:v>52.1</c:v>
                </c:pt>
                <c:pt idx="68">
                  <c:v>51.2</c:v>
                </c:pt>
                <c:pt idx="69">
                  <c:v>49.6</c:v>
                </c:pt>
                <c:pt idx="70">
                  <c:v>48.2</c:v>
                </c:pt>
                <c:pt idx="71">
                  <c:v>47.8</c:v>
                </c:pt>
                <c:pt idx="72">
                  <c:v>46.9</c:v>
                </c:pt>
                <c:pt idx="73">
                  <c:v>48.8</c:v>
                </c:pt>
                <c:pt idx="74">
                  <c:v>48.5</c:v>
                </c:pt>
                <c:pt idx="75">
                  <c:v>48.4</c:v>
                </c:pt>
                <c:pt idx="109">
                  <c:v>49.7</c:v>
                </c:pt>
                <c:pt idx="110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00-41B6-AA4B-EAFACD61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48544"/>
        <c:axId val="188750080"/>
      </c:lineChart>
      <c:dateAx>
        <c:axId val="18874854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750080"/>
        <c:crossesAt val="50"/>
        <c:auto val="1"/>
        <c:lblOffset val="100"/>
        <c:baseTimeUnit val="months"/>
        <c:majorUnit val="1"/>
        <c:majorTimeUnit val="years"/>
      </c:dateAx>
      <c:valAx>
        <c:axId val="188750080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748544"/>
        <c:crosses val="autoZero"/>
        <c:crossBetween val="between"/>
        <c:majorUnit val="7"/>
      </c:valAx>
      <c:valAx>
        <c:axId val="188764160"/>
        <c:scaling>
          <c:orientation val="minMax"/>
          <c:max val="1.3000000000000003E-2"/>
          <c:min val="-2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188765696"/>
        <c:crosses val="max"/>
        <c:crossBetween val="between"/>
        <c:majorUnit val="5.000000000000001E-3"/>
      </c:valAx>
      <c:catAx>
        <c:axId val="188765696"/>
        <c:scaling>
          <c:orientation val="minMax"/>
        </c:scaling>
        <c:delete val="1"/>
        <c:axPos val="b"/>
        <c:majorTickMark val="out"/>
        <c:minorTickMark val="none"/>
        <c:tickLblPos val="nextTo"/>
        <c:crossAx val="18876416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4695627190435612"/>
          <c:y val="0.67482656360681892"/>
          <c:w val="0.13334423249409796"/>
          <c:h val="9.7162924213501964E-2"/>
        </c:manualLayout>
      </c:layout>
      <c:overlay val="0"/>
      <c:txPr>
        <a:bodyPr/>
        <a:lstStyle/>
        <a:p>
          <a:pPr>
            <a:defRPr sz="850" baseline="0">
              <a:solidFill>
                <a:schemeClr val="bg1"/>
              </a:solidFill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France Manufacturing PMI</a:t>
            </a:r>
            <a:r>
              <a:rPr lang="en-US" baseline="0"/>
              <a:t> 2011-2014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FR!$B$45</c:f>
              <c:strCache>
                <c:ptCount val="1"/>
                <c:pt idx="0">
                  <c:v>France PMI</c:v>
                </c:pt>
              </c:strCache>
            </c:strRef>
          </c:tx>
          <c:spPr>
            <a:solidFill>
              <a:srgbClr val="00B050"/>
            </a:solidFill>
            <a:ln w="19050">
              <a:noFill/>
            </a:ln>
          </c:spPr>
          <c:invertIfNegative val="1"/>
          <c:dLbls>
            <c:numFmt formatCode="#,##0.0" sourceLinked="0"/>
            <c:spPr>
              <a:noFill/>
            </c:spPr>
            <c:txPr>
              <a:bodyPr/>
              <a:lstStyle/>
              <a:p>
                <a:pPr>
                  <a:defRPr sz="900" u="none" cap="small" normalizeH="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FR!$A$75:$A$115</c:f>
              <c:numCache>
                <c:formatCode>[$-409]mmm\-yy;@</c:formatCode>
                <c:ptCount val="41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</c:numCache>
            </c:numRef>
          </c:cat>
          <c:val>
            <c:numRef>
              <c:f>FR!$B$75:$B$115</c:f>
              <c:numCache>
                <c:formatCode>0.0</c:formatCode>
                <c:ptCount val="41"/>
                <c:pt idx="0">
                  <c:v>54.9</c:v>
                </c:pt>
                <c:pt idx="1">
                  <c:v>56.6</c:v>
                </c:pt>
                <c:pt idx="2">
                  <c:v>56.9</c:v>
                </c:pt>
                <c:pt idx="3">
                  <c:v>57.5</c:v>
                </c:pt>
                <c:pt idx="4">
                  <c:v>54.9</c:v>
                </c:pt>
                <c:pt idx="5">
                  <c:v>50.1</c:v>
                </c:pt>
                <c:pt idx="6">
                  <c:v>50.5</c:v>
                </c:pt>
                <c:pt idx="7">
                  <c:v>49.1</c:v>
                </c:pt>
                <c:pt idx="8">
                  <c:v>48.2</c:v>
                </c:pt>
                <c:pt idx="9">
                  <c:v>48.5</c:v>
                </c:pt>
                <c:pt idx="10">
                  <c:v>47.3</c:v>
                </c:pt>
                <c:pt idx="11">
                  <c:v>48.9</c:v>
                </c:pt>
                <c:pt idx="12">
                  <c:v>48.5</c:v>
                </c:pt>
                <c:pt idx="13">
                  <c:v>50</c:v>
                </c:pt>
                <c:pt idx="14">
                  <c:v>46.7</c:v>
                </c:pt>
                <c:pt idx="15">
                  <c:v>46.9</c:v>
                </c:pt>
                <c:pt idx="16">
                  <c:v>44.7</c:v>
                </c:pt>
                <c:pt idx="17">
                  <c:v>45.2</c:v>
                </c:pt>
                <c:pt idx="18">
                  <c:v>43.4</c:v>
                </c:pt>
                <c:pt idx="19">
                  <c:v>46</c:v>
                </c:pt>
                <c:pt idx="20">
                  <c:v>42.7</c:v>
                </c:pt>
                <c:pt idx="21">
                  <c:v>43.7</c:v>
                </c:pt>
                <c:pt idx="22">
                  <c:v>44.5</c:v>
                </c:pt>
                <c:pt idx="23">
                  <c:v>44.6</c:v>
                </c:pt>
                <c:pt idx="24">
                  <c:v>42.9</c:v>
                </c:pt>
                <c:pt idx="25">
                  <c:v>43.9</c:v>
                </c:pt>
                <c:pt idx="26">
                  <c:v>44</c:v>
                </c:pt>
                <c:pt idx="27">
                  <c:v>44.4</c:v>
                </c:pt>
                <c:pt idx="28">
                  <c:v>46.4</c:v>
                </c:pt>
                <c:pt idx="29">
                  <c:v>48.4</c:v>
                </c:pt>
                <c:pt idx="30">
                  <c:v>49.7</c:v>
                </c:pt>
                <c:pt idx="31">
                  <c:v>49.7</c:v>
                </c:pt>
                <c:pt idx="32">
                  <c:v>49.8</c:v>
                </c:pt>
                <c:pt idx="33">
                  <c:v>49.1</c:v>
                </c:pt>
                <c:pt idx="34">
                  <c:v>48.4</c:v>
                </c:pt>
                <c:pt idx="35">
                  <c:v>47</c:v>
                </c:pt>
                <c:pt idx="36">
                  <c:v>49.3</c:v>
                </c:pt>
                <c:pt idx="37">
                  <c:v>49.7</c:v>
                </c:pt>
                <c:pt idx="38">
                  <c:v>52.1</c:v>
                </c:pt>
                <c:pt idx="39">
                  <c:v>51.2</c:v>
                </c:pt>
                <c:pt idx="40">
                  <c:v>49.6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1905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BF-4887-8782-4D1172BD5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93308160"/>
        <c:axId val="193309696"/>
      </c:barChart>
      <c:lineChart>
        <c:grouping val="standard"/>
        <c:varyColors val="0"/>
        <c:ser>
          <c:idx val="1"/>
          <c:order val="1"/>
          <c:tx>
            <c:strRef>
              <c:f>FR!$E$45</c:f>
              <c:strCache>
                <c:ptCount val="1"/>
                <c:pt idx="0">
                  <c:v>ESI</c:v>
                </c:pt>
              </c:strCache>
            </c:strRef>
          </c:tx>
          <c:spPr>
            <a:ln w="34925" cmpd="dbl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FR!$A$75:$A$115</c:f>
              <c:numCache>
                <c:formatCode>[$-409]mmm\-yy;@</c:formatCode>
                <c:ptCount val="41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  <c:pt idx="36">
                  <c:v>41640</c:v>
                </c:pt>
                <c:pt idx="37">
                  <c:v>41671</c:v>
                </c:pt>
                <c:pt idx="38">
                  <c:v>41699</c:v>
                </c:pt>
                <c:pt idx="39">
                  <c:v>41730</c:v>
                </c:pt>
                <c:pt idx="40">
                  <c:v>41760</c:v>
                </c:pt>
              </c:numCache>
            </c:numRef>
          </c:cat>
          <c:val>
            <c:numRef>
              <c:f>FR!$E$75:$E$150</c:f>
              <c:numCache>
                <c:formatCode>General</c:formatCode>
                <c:ptCount val="76"/>
                <c:pt idx="0">
                  <c:v>110</c:v>
                </c:pt>
                <c:pt idx="1">
                  <c:v>110.6</c:v>
                </c:pt>
                <c:pt idx="2">
                  <c:v>109.8</c:v>
                </c:pt>
                <c:pt idx="3">
                  <c:v>107.9</c:v>
                </c:pt>
                <c:pt idx="4">
                  <c:v>107.7</c:v>
                </c:pt>
                <c:pt idx="5">
                  <c:v>106.2</c:v>
                </c:pt>
                <c:pt idx="6">
                  <c:v>100.2</c:v>
                </c:pt>
                <c:pt idx="7">
                  <c:v>98.4</c:v>
                </c:pt>
                <c:pt idx="8">
                  <c:v>96.7</c:v>
                </c:pt>
                <c:pt idx="9">
                  <c:v>97</c:v>
                </c:pt>
                <c:pt idx="10">
                  <c:v>94.5</c:v>
                </c:pt>
                <c:pt idx="11">
                  <c:v>94.7</c:v>
                </c:pt>
                <c:pt idx="12">
                  <c:v>93.2</c:v>
                </c:pt>
                <c:pt idx="13">
                  <c:v>95.3</c:v>
                </c:pt>
                <c:pt idx="14">
                  <c:v>96.6</c:v>
                </c:pt>
                <c:pt idx="15">
                  <c:v>96.7</c:v>
                </c:pt>
                <c:pt idx="16">
                  <c:v>95</c:v>
                </c:pt>
                <c:pt idx="17">
                  <c:v>93.3</c:v>
                </c:pt>
                <c:pt idx="18">
                  <c:v>90.9</c:v>
                </c:pt>
                <c:pt idx="19">
                  <c:v>90.8</c:v>
                </c:pt>
                <c:pt idx="20">
                  <c:v>89.7</c:v>
                </c:pt>
                <c:pt idx="21">
                  <c:v>87.3</c:v>
                </c:pt>
                <c:pt idx="22">
                  <c:v>88.8</c:v>
                </c:pt>
                <c:pt idx="23">
                  <c:v>89.5</c:v>
                </c:pt>
                <c:pt idx="24">
                  <c:v>89.8</c:v>
                </c:pt>
                <c:pt idx="25">
                  <c:v>90.3</c:v>
                </c:pt>
                <c:pt idx="26">
                  <c:v>88.8</c:v>
                </c:pt>
                <c:pt idx="27">
                  <c:v>86.4</c:v>
                </c:pt>
                <c:pt idx="28">
                  <c:v>87.4</c:v>
                </c:pt>
                <c:pt idx="29">
                  <c:v>88.7</c:v>
                </c:pt>
                <c:pt idx="30">
                  <c:v>89.9</c:v>
                </c:pt>
                <c:pt idx="31">
                  <c:v>91.6</c:v>
                </c:pt>
                <c:pt idx="32">
                  <c:v>93.5</c:v>
                </c:pt>
                <c:pt idx="33">
                  <c:v>96.4</c:v>
                </c:pt>
                <c:pt idx="34">
                  <c:v>95.2</c:v>
                </c:pt>
                <c:pt idx="35">
                  <c:v>96</c:v>
                </c:pt>
                <c:pt idx="36">
                  <c:v>97.5</c:v>
                </c:pt>
                <c:pt idx="37">
                  <c:v>95.9</c:v>
                </c:pt>
                <c:pt idx="38">
                  <c:v>97.1</c:v>
                </c:pt>
                <c:pt idx="39">
                  <c:v>96.8</c:v>
                </c:pt>
                <c:pt idx="40">
                  <c:v>96.3</c:v>
                </c:pt>
                <c:pt idx="41">
                  <c:v>95.3</c:v>
                </c:pt>
                <c:pt idx="42">
                  <c:v>95.7</c:v>
                </c:pt>
                <c:pt idx="43">
                  <c:v>95.1</c:v>
                </c:pt>
                <c:pt idx="44">
                  <c:v>95.3</c:v>
                </c:pt>
                <c:pt idx="45">
                  <c:v>96.6</c:v>
                </c:pt>
                <c:pt idx="46">
                  <c:v>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F-4887-8782-4D1172BD5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05536"/>
        <c:axId val="193504000"/>
      </c:lineChart>
      <c:dateAx>
        <c:axId val="193308160"/>
        <c:scaling>
          <c:orientation val="minMax"/>
          <c:min val="40603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309696"/>
        <c:crossesAt val="50"/>
        <c:auto val="1"/>
        <c:lblOffset val="100"/>
        <c:baseTimeUnit val="months"/>
        <c:majorUnit val="2"/>
        <c:majorTimeUnit val="months"/>
      </c:dateAx>
      <c:valAx>
        <c:axId val="193309696"/>
        <c:scaling>
          <c:orientation val="minMax"/>
          <c:max val="60"/>
          <c:min val="40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308160"/>
        <c:crosses val="autoZero"/>
        <c:crossBetween val="between"/>
        <c:majorUnit val="2"/>
      </c:valAx>
      <c:valAx>
        <c:axId val="193504000"/>
        <c:scaling>
          <c:orientation val="minMax"/>
          <c:max val="120"/>
          <c:min val="8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93505536"/>
        <c:crosses val="max"/>
        <c:crossBetween val="between"/>
      </c:valAx>
      <c:dateAx>
        <c:axId val="19350553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93504000"/>
        <c:crossesAt val="100"/>
        <c:auto val="1"/>
        <c:lblOffset val="100"/>
        <c:baseTimeUnit val="months"/>
      </c:dateAx>
      <c:spPr>
        <a:solidFill>
          <a:sysClr val="windowText" lastClr="000000"/>
        </a:solidFill>
      </c:spPr>
    </c:plotArea>
    <c:legend>
      <c:legendPos val="r"/>
      <c:layout>
        <c:manualLayout>
          <c:xMode val="edge"/>
          <c:yMode val="edge"/>
          <c:x val="0.11194415663843388"/>
          <c:y val="0.7614227909011374"/>
          <c:w val="0.13233628638977252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Italy Manufacturing PMI</a:t>
            </a:r>
            <a:r>
              <a:rPr lang="en-US" baseline="0"/>
              <a:t> 2007-2014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IT!$B$25</c:f>
              <c:strCache>
                <c:ptCount val="1"/>
                <c:pt idx="0">
                  <c:v>Italy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IT!$A$26:$A$224</c:f>
              <c:numCache>
                <c:formatCode>mmm\-yy</c:formatCode>
                <c:ptCount val="199"/>
                <c:pt idx="0">
                  <c:v>39052</c:v>
                </c:pt>
                <c:pt idx="1">
                  <c:v>39083</c:v>
                </c:pt>
                <c:pt idx="2">
                  <c:v>39114</c:v>
                </c:pt>
                <c:pt idx="3">
                  <c:v>39142</c:v>
                </c:pt>
                <c:pt idx="4">
                  <c:v>39173</c:v>
                </c:pt>
                <c:pt idx="5">
                  <c:v>39203</c:v>
                </c:pt>
                <c:pt idx="6">
                  <c:v>39234</c:v>
                </c:pt>
                <c:pt idx="7">
                  <c:v>39264</c:v>
                </c:pt>
                <c:pt idx="8">
                  <c:v>39295</c:v>
                </c:pt>
                <c:pt idx="9">
                  <c:v>39326</c:v>
                </c:pt>
                <c:pt idx="10">
                  <c:v>39356</c:v>
                </c:pt>
                <c:pt idx="11">
                  <c:v>39387</c:v>
                </c:pt>
                <c:pt idx="12">
                  <c:v>39417</c:v>
                </c:pt>
                <c:pt idx="13">
                  <c:v>39448</c:v>
                </c:pt>
                <c:pt idx="14">
                  <c:v>39479</c:v>
                </c:pt>
                <c:pt idx="15">
                  <c:v>39508</c:v>
                </c:pt>
                <c:pt idx="16">
                  <c:v>39539</c:v>
                </c:pt>
                <c:pt idx="17">
                  <c:v>39569</c:v>
                </c:pt>
                <c:pt idx="18">
                  <c:v>39600</c:v>
                </c:pt>
                <c:pt idx="19">
                  <c:v>39630</c:v>
                </c:pt>
                <c:pt idx="20">
                  <c:v>39661</c:v>
                </c:pt>
                <c:pt idx="21">
                  <c:v>39692</c:v>
                </c:pt>
                <c:pt idx="22">
                  <c:v>39722</c:v>
                </c:pt>
                <c:pt idx="23">
                  <c:v>39753</c:v>
                </c:pt>
                <c:pt idx="24">
                  <c:v>39783</c:v>
                </c:pt>
                <c:pt idx="25">
                  <c:v>39814</c:v>
                </c:pt>
                <c:pt idx="26">
                  <c:v>39845</c:v>
                </c:pt>
                <c:pt idx="27">
                  <c:v>39873</c:v>
                </c:pt>
                <c:pt idx="28">
                  <c:v>39904</c:v>
                </c:pt>
                <c:pt idx="29">
                  <c:v>39934</c:v>
                </c:pt>
                <c:pt idx="30">
                  <c:v>39965</c:v>
                </c:pt>
                <c:pt idx="31">
                  <c:v>39995</c:v>
                </c:pt>
                <c:pt idx="32">
                  <c:v>40026</c:v>
                </c:pt>
                <c:pt idx="33">
                  <c:v>40057</c:v>
                </c:pt>
                <c:pt idx="34">
                  <c:v>40087</c:v>
                </c:pt>
                <c:pt idx="35">
                  <c:v>40118</c:v>
                </c:pt>
                <c:pt idx="36">
                  <c:v>40148</c:v>
                </c:pt>
                <c:pt idx="37">
                  <c:v>40179</c:v>
                </c:pt>
                <c:pt idx="38">
                  <c:v>40210</c:v>
                </c:pt>
                <c:pt idx="39">
                  <c:v>40238</c:v>
                </c:pt>
                <c:pt idx="40">
                  <c:v>40269</c:v>
                </c:pt>
                <c:pt idx="41">
                  <c:v>40299</c:v>
                </c:pt>
                <c:pt idx="42">
                  <c:v>40330</c:v>
                </c:pt>
                <c:pt idx="43">
                  <c:v>40360</c:v>
                </c:pt>
                <c:pt idx="44">
                  <c:v>40391</c:v>
                </c:pt>
                <c:pt idx="45">
                  <c:v>40422</c:v>
                </c:pt>
                <c:pt idx="46">
                  <c:v>40452</c:v>
                </c:pt>
                <c:pt idx="47">
                  <c:v>40483</c:v>
                </c:pt>
                <c:pt idx="48">
                  <c:v>40513</c:v>
                </c:pt>
                <c:pt idx="49">
                  <c:v>40544</c:v>
                </c:pt>
                <c:pt idx="50">
                  <c:v>40575</c:v>
                </c:pt>
                <c:pt idx="51">
                  <c:v>40603</c:v>
                </c:pt>
                <c:pt idx="52">
                  <c:v>40634</c:v>
                </c:pt>
                <c:pt idx="53">
                  <c:v>40664</c:v>
                </c:pt>
                <c:pt idx="54">
                  <c:v>40695</c:v>
                </c:pt>
                <c:pt idx="55">
                  <c:v>40725</c:v>
                </c:pt>
                <c:pt idx="56">
                  <c:v>40756</c:v>
                </c:pt>
                <c:pt idx="57">
                  <c:v>40787</c:v>
                </c:pt>
                <c:pt idx="58">
                  <c:v>40817</c:v>
                </c:pt>
                <c:pt idx="59">
                  <c:v>40848</c:v>
                </c:pt>
                <c:pt idx="60">
                  <c:v>40878</c:v>
                </c:pt>
                <c:pt idx="61">
                  <c:v>40909</c:v>
                </c:pt>
                <c:pt idx="62">
                  <c:v>40940</c:v>
                </c:pt>
                <c:pt idx="63">
                  <c:v>40969</c:v>
                </c:pt>
                <c:pt idx="64">
                  <c:v>41000</c:v>
                </c:pt>
                <c:pt idx="65">
                  <c:v>41030</c:v>
                </c:pt>
                <c:pt idx="66">
                  <c:v>41061</c:v>
                </c:pt>
                <c:pt idx="67">
                  <c:v>41091</c:v>
                </c:pt>
                <c:pt idx="68">
                  <c:v>41122</c:v>
                </c:pt>
                <c:pt idx="69">
                  <c:v>41153</c:v>
                </c:pt>
                <c:pt idx="70">
                  <c:v>41183</c:v>
                </c:pt>
                <c:pt idx="71">
                  <c:v>41214</c:v>
                </c:pt>
                <c:pt idx="72">
                  <c:v>41244</c:v>
                </c:pt>
                <c:pt idx="73">
                  <c:v>41275</c:v>
                </c:pt>
                <c:pt idx="74">
                  <c:v>41306</c:v>
                </c:pt>
                <c:pt idx="75">
                  <c:v>41334</c:v>
                </c:pt>
                <c:pt idx="76">
                  <c:v>41365</c:v>
                </c:pt>
                <c:pt idx="77">
                  <c:v>41395</c:v>
                </c:pt>
                <c:pt idx="78">
                  <c:v>41426</c:v>
                </c:pt>
                <c:pt idx="79">
                  <c:v>41456</c:v>
                </c:pt>
                <c:pt idx="80">
                  <c:v>41487</c:v>
                </c:pt>
                <c:pt idx="81">
                  <c:v>41518</c:v>
                </c:pt>
                <c:pt idx="82">
                  <c:v>41548</c:v>
                </c:pt>
                <c:pt idx="83">
                  <c:v>41579</c:v>
                </c:pt>
                <c:pt idx="84">
                  <c:v>41609</c:v>
                </c:pt>
                <c:pt idx="85">
                  <c:v>41640</c:v>
                </c:pt>
                <c:pt idx="86">
                  <c:v>41671</c:v>
                </c:pt>
                <c:pt idx="87">
                  <c:v>41699</c:v>
                </c:pt>
                <c:pt idx="88">
                  <c:v>41730</c:v>
                </c:pt>
                <c:pt idx="89">
                  <c:v>41760</c:v>
                </c:pt>
                <c:pt idx="90">
                  <c:v>41791</c:v>
                </c:pt>
                <c:pt idx="91">
                  <c:v>41821</c:v>
                </c:pt>
                <c:pt idx="92">
                  <c:v>41852</c:v>
                </c:pt>
                <c:pt idx="93">
                  <c:v>41883</c:v>
                </c:pt>
                <c:pt idx="94">
                  <c:v>41913</c:v>
                </c:pt>
                <c:pt idx="95">
                  <c:v>41944</c:v>
                </c:pt>
                <c:pt idx="96">
                  <c:v>41974</c:v>
                </c:pt>
                <c:pt idx="97">
                  <c:v>42005</c:v>
                </c:pt>
                <c:pt idx="98">
                  <c:v>42036</c:v>
                </c:pt>
                <c:pt idx="99">
                  <c:v>42064</c:v>
                </c:pt>
                <c:pt idx="100">
                  <c:v>42095</c:v>
                </c:pt>
                <c:pt idx="101">
                  <c:v>42125</c:v>
                </c:pt>
                <c:pt idx="102">
                  <c:v>42156</c:v>
                </c:pt>
                <c:pt idx="103">
                  <c:v>42186</c:v>
                </c:pt>
                <c:pt idx="104">
                  <c:v>42217</c:v>
                </c:pt>
                <c:pt idx="105">
                  <c:v>42248</c:v>
                </c:pt>
                <c:pt idx="106">
                  <c:v>42278</c:v>
                </c:pt>
                <c:pt idx="107">
                  <c:v>42309</c:v>
                </c:pt>
                <c:pt idx="108">
                  <c:v>42339</c:v>
                </c:pt>
                <c:pt idx="109">
                  <c:v>42370</c:v>
                </c:pt>
                <c:pt idx="110">
                  <c:v>42401</c:v>
                </c:pt>
                <c:pt idx="111">
                  <c:v>42430</c:v>
                </c:pt>
                <c:pt idx="112">
                  <c:v>42461</c:v>
                </c:pt>
                <c:pt idx="113">
                  <c:v>42491</c:v>
                </c:pt>
                <c:pt idx="114">
                  <c:v>42522</c:v>
                </c:pt>
                <c:pt idx="115">
                  <c:v>42552</c:v>
                </c:pt>
                <c:pt idx="116">
                  <c:v>42583</c:v>
                </c:pt>
                <c:pt idx="117">
                  <c:v>42614</c:v>
                </c:pt>
                <c:pt idx="118">
                  <c:v>42644</c:v>
                </c:pt>
                <c:pt idx="119">
                  <c:v>42675</c:v>
                </c:pt>
                <c:pt idx="120">
                  <c:v>42705</c:v>
                </c:pt>
                <c:pt idx="121">
                  <c:v>42736</c:v>
                </c:pt>
                <c:pt idx="122">
                  <c:v>42767</c:v>
                </c:pt>
                <c:pt idx="123">
                  <c:v>42795</c:v>
                </c:pt>
                <c:pt idx="124">
                  <c:v>42826</c:v>
                </c:pt>
                <c:pt idx="125">
                  <c:v>42856</c:v>
                </c:pt>
                <c:pt idx="126">
                  <c:v>42887</c:v>
                </c:pt>
                <c:pt idx="127">
                  <c:v>42917</c:v>
                </c:pt>
                <c:pt idx="128">
                  <c:v>42948</c:v>
                </c:pt>
                <c:pt idx="129" formatCode="yyyy/mm/dd">
                  <c:v>46143</c:v>
                </c:pt>
                <c:pt idx="130" formatCode="yyyy/mm/dd">
                  <c:v>46174</c:v>
                </c:pt>
              </c:numCache>
            </c:numRef>
          </c:cat>
          <c:val>
            <c:numRef>
              <c:f>IT!$B$26:$B$224</c:f>
              <c:numCache>
                <c:formatCode>0.0</c:formatCode>
                <c:ptCount val="199"/>
                <c:pt idx="0">
                  <c:v>55</c:v>
                </c:pt>
                <c:pt idx="1">
                  <c:v>53.5</c:v>
                </c:pt>
                <c:pt idx="2">
                  <c:v>54.2</c:v>
                </c:pt>
                <c:pt idx="3">
                  <c:v>53.8</c:v>
                </c:pt>
                <c:pt idx="4">
                  <c:v>53.9</c:v>
                </c:pt>
                <c:pt idx="5">
                  <c:v>55</c:v>
                </c:pt>
                <c:pt idx="6">
                  <c:v>54</c:v>
                </c:pt>
                <c:pt idx="7">
                  <c:v>53.3</c:v>
                </c:pt>
                <c:pt idx="8">
                  <c:v>53.6</c:v>
                </c:pt>
                <c:pt idx="9">
                  <c:v>52.4</c:v>
                </c:pt>
                <c:pt idx="10">
                  <c:v>51.3</c:v>
                </c:pt>
                <c:pt idx="11">
                  <c:v>51.3</c:v>
                </c:pt>
                <c:pt idx="12">
                  <c:v>50.7</c:v>
                </c:pt>
                <c:pt idx="13">
                  <c:v>50.8</c:v>
                </c:pt>
                <c:pt idx="14">
                  <c:v>50.6</c:v>
                </c:pt>
                <c:pt idx="15">
                  <c:v>49.4</c:v>
                </c:pt>
                <c:pt idx="16">
                  <c:v>48.2</c:v>
                </c:pt>
                <c:pt idx="17">
                  <c:v>48</c:v>
                </c:pt>
                <c:pt idx="18">
                  <c:v>46.9</c:v>
                </c:pt>
                <c:pt idx="19">
                  <c:v>45.3</c:v>
                </c:pt>
                <c:pt idx="20">
                  <c:v>47.1</c:v>
                </c:pt>
                <c:pt idx="21">
                  <c:v>44.4</c:v>
                </c:pt>
                <c:pt idx="22">
                  <c:v>39.700000000000003</c:v>
                </c:pt>
                <c:pt idx="23">
                  <c:v>34.9</c:v>
                </c:pt>
                <c:pt idx="24">
                  <c:v>35.5</c:v>
                </c:pt>
                <c:pt idx="25">
                  <c:v>36.1</c:v>
                </c:pt>
                <c:pt idx="26">
                  <c:v>35</c:v>
                </c:pt>
                <c:pt idx="27">
                  <c:v>34.6</c:v>
                </c:pt>
                <c:pt idx="28">
                  <c:v>37.200000000000003</c:v>
                </c:pt>
                <c:pt idx="29">
                  <c:v>41.1</c:v>
                </c:pt>
                <c:pt idx="30">
                  <c:v>42.7</c:v>
                </c:pt>
                <c:pt idx="31">
                  <c:v>45.4</c:v>
                </c:pt>
                <c:pt idx="32">
                  <c:v>44.2</c:v>
                </c:pt>
                <c:pt idx="33">
                  <c:v>47.6</c:v>
                </c:pt>
                <c:pt idx="34">
                  <c:v>49.2</c:v>
                </c:pt>
                <c:pt idx="35">
                  <c:v>50.1</c:v>
                </c:pt>
                <c:pt idx="36">
                  <c:v>50.8</c:v>
                </c:pt>
                <c:pt idx="37">
                  <c:v>51.7</c:v>
                </c:pt>
                <c:pt idx="38">
                  <c:v>51.6</c:v>
                </c:pt>
                <c:pt idx="39">
                  <c:v>53.7</c:v>
                </c:pt>
                <c:pt idx="40">
                  <c:v>54.3</c:v>
                </c:pt>
                <c:pt idx="41">
                  <c:v>54</c:v>
                </c:pt>
                <c:pt idx="42">
                  <c:v>54.3</c:v>
                </c:pt>
                <c:pt idx="43">
                  <c:v>54.4</c:v>
                </c:pt>
                <c:pt idx="44">
                  <c:v>52.8</c:v>
                </c:pt>
                <c:pt idx="45">
                  <c:v>52.6</c:v>
                </c:pt>
                <c:pt idx="46">
                  <c:v>53</c:v>
                </c:pt>
                <c:pt idx="47">
                  <c:v>52</c:v>
                </c:pt>
                <c:pt idx="48">
                  <c:v>54.7</c:v>
                </c:pt>
                <c:pt idx="49">
                  <c:v>56.6</c:v>
                </c:pt>
                <c:pt idx="50">
                  <c:v>59</c:v>
                </c:pt>
                <c:pt idx="51">
                  <c:v>56.2</c:v>
                </c:pt>
                <c:pt idx="52">
                  <c:v>55.5</c:v>
                </c:pt>
                <c:pt idx="53">
                  <c:v>52.8</c:v>
                </c:pt>
                <c:pt idx="54">
                  <c:v>49.9</c:v>
                </c:pt>
                <c:pt idx="55">
                  <c:v>50.1</c:v>
                </c:pt>
                <c:pt idx="56">
                  <c:v>47</c:v>
                </c:pt>
                <c:pt idx="57">
                  <c:v>48.3</c:v>
                </c:pt>
                <c:pt idx="58">
                  <c:v>43.3</c:v>
                </c:pt>
                <c:pt idx="59">
                  <c:v>44</c:v>
                </c:pt>
                <c:pt idx="60">
                  <c:v>44.3</c:v>
                </c:pt>
                <c:pt idx="61">
                  <c:v>46.8</c:v>
                </c:pt>
                <c:pt idx="62">
                  <c:v>47.8</c:v>
                </c:pt>
                <c:pt idx="63">
                  <c:v>47.9</c:v>
                </c:pt>
                <c:pt idx="64">
                  <c:v>43.8</c:v>
                </c:pt>
                <c:pt idx="65">
                  <c:v>44.8</c:v>
                </c:pt>
                <c:pt idx="66">
                  <c:v>44.6</c:v>
                </c:pt>
                <c:pt idx="67">
                  <c:v>44.3</c:v>
                </c:pt>
                <c:pt idx="68">
                  <c:v>43.6</c:v>
                </c:pt>
                <c:pt idx="69">
                  <c:v>45.7</c:v>
                </c:pt>
                <c:pt idx="70">
                  <c:v>45.5</c:v>
                </c:pt>
                <c:pt idx="71">
                  <c:v>45.1</c:v>
                </c:pt>
                <c:pt idx="72">
                  <c:v>46.7</c:v>
                </c:pt>
                <c:pt idx="73">
                  <c:v>47.8</c:v>
                </c:pt>
                <c:pt idx="74">
                  <c:v>45.8</c:v>
                </c:pt>
                <c:pt idx="75">
                  <c:v>44.5</c:v>
                </c:pt>
                <c:pt idx="76">
                  <c:v>45.5</c:v>
                </c:pt>
                <c:pt idx="77">
                  <c:v>47.3</c:v>
                </c:pt>
                <c:pt idx="78">
                  <c:v>49.1</c:v>
                </c:pt>
                <c:pt idx="79">
                  <c:v>50.4</c:v>
                </c:pt>
                <c:pt idx="80">
                  <c:v>51.3</c:v>
                </c:pt>
                <c:pt idx="81">
                  <c:v>50.8</c:v>
                </c:pt>
                <c:pt idx="82">
                  <c:v>50.7</c:v>
                </c:pt>
                <c:pt idx="83">
                  <c:v>51.4</c:v>
                </c:pt>
                <c:pt idx="84">
                  <c:v>53.3</c:v>
                </c:pt>
                <c:pt idx="85">
                  <c:v>53.1</c:v>
                </c:pt>
                <c:pt idx="86">
                  <c:v>52.3</c:v>
                </c:pt>
                <c:pt idx="87">
                  <c:v>52.4</c:v>
                </c:pt>
                <c:pt idx="88">
                  <c:v>54</c:v>
                </c:pt>
                <c:pt idx="89">
                  <c:v>53.2</c:v>
                </c:pt>
                <c:pt idx="90">
                  <c:v>52.6</c:v>
                </c:pt>
                <c:pt idx="91">
                  <c:v>51.9</c:v>
                </c:pt>
                <c:pt idx="92">
                  <c:v>49.8</c:v>
                </c:pt>
                <c:pt idx="93">
                  <c:v>50.7</c:v>
                </c:pt>
                <c:pt idx="94">
                  <c:v>49</c:v>
                </c:pt>
                <c:pt idx="95">
                  <c:v>49</c:v>
                </c:pt>
                <c:pt idx="129">
                  <c:v>52.9</c:v>
                </c:pt>
                <c:pt idx="130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D-43D5-B709-EE8B2AB2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07328"/>
        <c:axId val="215508864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IT!$B$26:$B$224</c:f>
              <c:numCache>
                <c:formatCode>0.0</c:formatCode>
                <c:ptCount val="199"/>
                <c:pt idx="0">
                  <c:v>55</c:v>
                </c:pt>
                <c:pt idx="1">
                  <c:v>53.5</c:v>
                </c:pt>
                <c:pt idx="2">
                  <c:v>54.2</c:v>
                </c:pt>
                <c:pt idx="3">
                  <c:v>53.8</c:v>
                </c:pt>
                <c:pt idx="4">
                  <c:v>53.9</c:v>
                </c:pt>
                <c:pt idx="5">
                  <c:v>55</c:v>
                </c:pt>
                <c:pt idx="6">
                  <c:v>54</c:v>
                </c:pt>
                <c:pt idx="7">
                  <c:v>53.3</c:v>
                </c:pt>
                <c:pt idx="8">
                  <c:v>53.6</c:v>
                </c:pt>
                <c:pt idx="9">
                  <c:v>52.4</c:v>
                </c:pt>
                <c:pt idx="10">
                  <c:v>51.3</c:v>
                </c:pt>
                <c:pt idx="11">
                  <c:v>51.3</c:v>
                </c:pt>
                <c:pt idx="12">
                  <c:v>50.7</c:v>
                </c:pt>
                <c:pt idx="13">
                  <c:v>50.8</c:v>
                </c:pt>
                <c:pt idx="14">
                  <c:v>50.6</c:v>
                </c:pt>
                <c:pt idx="15">
                  <c:v>49.4</c:v>
                </c:pt>
                <c:pt idx="16">
                  <c:v>48.2</c:v>
                </c:pt>
                <c:pt idx="17">
                  <c:v>48</c:v>
                </c:pt>
                <c:pt idx="18">
                  <c:v>46.9</c:v>
                </c:pt>
                <c:pt idx="19">
                  <c:v>45.3</c:v>
                </c:pt>
                <c:pt idx="20">
                  <c:v>47.1</c:v>
                </c:pt>
                <c:pt idx="21">
                  <c:v>44.4</c:v>
                </c:pt>
                <c:pt idx="22">
                  <c:v>39.700000000000003</c:v>
                </c:pt>
                <c:pt idx="23">
                  <c:v>34.9</c:v>
                </c:pt>
                <c:pt idx="24">
                  <c:v>35.5</c:v>
                </c:pt>
                <c:pt idx="25">
                  <c:v>36.1</c:v>
                </c:pt>
                <c:pt idx="26">
                  <c:v>35</c:v>
                </c:pt>
                <c:pt idx="27">
                  <c:v>34.6</c:v>
                </c:pt>
                <c:pt idx="28">
                  <c:v>37.200000000000003</c:v>
                </c:pt>
                <c:pt idx="29">
                  <c:v>41.1</c:v>
                </c:pt>
                <c:pt idx="30">
                  <c:v>42.7</c:v>
                </c:pt>
                <c:pt idx="31">
                  <c:v>45.4</c:v>
                </c:pt>
                <c:pt idx="32">
                  <c:v>44.2</c:v>
                </c:pt>
                <c:pt idx="33">
                  <c:v>47.6</c:v>
                </c:pt>
                <c:pt idx="34">
                  <c:v>49.2</c:v>
                </c:pt>
                <c:pt idx="35">
                  <c:v>50.1</c:v>
                </c:pt>
                <c:pt idx="36">
                  <c:v>50.8</c:v>
                </c:pt>
                <c:pt idx="37">
                  <c:v>51.7</c:v>
                </c:pt>
                <c:pt idx="38">
                  <c:v>51.6</c:v>
                </c:pt>
                <c:pt idx="39">
                  <c:v>53.7</c:v>
                </c:pt>
                <c:pt idx="40">
                  <c:v>54.3</c:v>
                </c:pt>
                <c:pt idx="41">
                  <c:v>54</c:v>
                </c:pt>
                <c:pt idx="42">
                  <c:v>54.3</c:v>
                </c:pt>
                <c:pt idx="43">
                  <c:v>54.4</c:v>
                </c:pt>
                <c:pt idx="44">
                  <c:v>52.8</c:v>
                </c:pt>
                <c:pt idx="45">
                  <c:v>52.6</c:v>
                </c:pt>
                <c:pt idx="46">
                  <c:v>53</c:v>
                </c:pt>
                <c:pt idx="47">
                  <c:v>52</c:v>
                </c:pt>
                <c:pt idx="48">
                  <c:v>54.7</c:v>
                </c:pt>
                <c:pt idx="49">
                  <c:v>56.6</c:v>
                </c:pt>
                <c:pt idx="50">
                  <c:v>59</c:v>
                </c:pt>
                <c:pt idx="51">
                  <c:v>56.2</c:v>
                </c:pt>
                <c:pt idx="52">
                  <c:v>55.5</c:v>
                </c:pt>
                <c:pt idx="53">
                  <c:v>52.8</c:v>
                </c:pt>
                <c:pt idx="54">
                  <c:v>49.9</c:v>
                </c:pt>
                <c:pt idx="55">
                  <c:v>50.1</c:v>
                </c:pt>
                <c:pt idx="56">
                  <c:v>47</c:v>
                </c:pt>
                <c:pt idx="57">
                  <c:v>48.3</c:v>
                </c:pt>
                <c:pt idx="58">
                  <c:v>43.3</c:v>
                </c:pt>
                <c:pt idx="59">
                  <c:v>44</c:v>
                </c:pt>
                <c:pt idx="60">
                  <c:v>44.3</c:v>
                </c:pt>
                <c:pt idx="61">
                  <c:v>46.8</c:v>
                </c:pt>
                <c:pt idx="62">
                  <c:v>47.8</c:v>
                </c:pt>
                <c:pt idx="63">
                  <c:v>47.9</c:v>
                </c:pt>
                <c:pt idx="64">
                  <c:v>43.8</c:v>
                </c:pt>
                <c:pt idx="65">
                  <c:v>44.8</c:v>
                </c:pt>
                <c:pt idx="66">
                  <c:v>44.6</c:v>
                </c:pt>
                <c:pt idx="67">
                  <c:v>44.3</c:v>
                </c:pt>
                <c:pt idx="68">
                  <c:v>43.6</c:v>
                </c:pt>
                <c:pt idx="69">
                  <c:v>45.7</c:v>
                </c:pt>
                <c:pt idx="70">
                  <c:v>45.5</c:v>
                </c:pt>
                <c:pt idx="71">
                  <c:v>45.1</c:v>
                </c:pt>
                <c:pt idx="72">
                  <c:v>46.7</c:v>
                </c:pt>
                <c:pt idx="73">
                  <c:v>47.8</c:v>
                </c:pt>
                <c:pt idx="74">
                  <c:v>45.8</c:v>
                </c:pt>
                <c:pt idx="75">
                  <c:v>44.5</c:v>
                </c:pt>
                <c:pt idx="76">
                  <c:v>45.5</c:v>
                </c:pt>
                <c:pt idx="77">
                  <c:v>47.3</c:v>
                </c:pt>
                <c:pt idx="78">
                  <c:v>49.1</c:v>
                </c:pt>
                <c:pt idx="79">
                  <c:v>50.4</c:v>
                </c:pt>
                <c:pt idx="80">
                  <c:v>51.3</c:v>
                </c:pt>
                <c:pt idx="81">
                  <c:v>50.8</c:v>
                </c:pt>
                <c:pt idx="82">
                  <c:v>50.7</c:v>
                </c:pt>
                <c:pt idx="83">
                  <c:v>51.4</c:v>
                </c:pt>
                <c:pt idx="84">
                  <c:v>53.3</c:v>
                </c:pt>
                <c:pt idx="85">
                  <c:v>53.1</c:v>
                </c:pt>
                <c:pt idx="86">
                  <c:v>52.3</c:v>
                </c:pt>
                <c:pt idx="87">
                  <c:v>52.4</c:v>
                </c:pt>
                <c:pt idx="88">
                  <c:v>54</c:v>
                </c:pt>
                <c:pt idx="89">
                  <c:v>53.2</c:v>
                </c:pt>
                <c:pt idx="90">
                  <c:v>52.6</c:v>
                </c:pt>
                <c:pt idx="91">
                  <c:v>51.9</c:v>
                </c:pt>
                <c:pt idx="92">
                  <c:v>49.8</c:v>
                </c:pt>
                <c:pt idx="93">
                  <c:v>50.7</c:v>
                </c:pt>
                <c:pt idx="94">
                  <c:v>49</c:v>
                </c:pt>
                <c:pt idx="95">
                  <c:v>49</c:v>
                </c:pt>
                <c:pt idx="129">
                  <c:v>52.9</c:v>
                </c:pt>
                <c:pt idx="130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D-43D5-B709-EE8B2AB2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507328"/>
        <c:axId val="215508864"/>
      </c:lineChart>
      <c:dateAx>
        <c:axId val="215507328"/>
        <c:scaling>
          <c:orientation val="minMax"/>
          <c:min val="39083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508864"/>
        <c:crossesAt val="50"/>
        <c:auto val="1"/>
        <c:lblOffset val="100"/>
        <c:baseTimeUnit val="months"/>
        <c:majorUnit val="1"/>
        <c:majorTimeUnit val="years"/>
      </c:dateAx>
      <c:valAx>
        <c:axId val="215508864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507328"/>
        <c:crosses val="autoZero"/>
        <c:crossBetween val="between"/>
        <c:majorUnit val="7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53E-2"/>
          <c:y val="0.13663060292737222"/>
          <c:w val="0.17144935767426805"/>
          <c:h val="7.3404288822653735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Italy vs Spain Manufacturing PMI</a:t>
            </a:r>
            <a:r>
              <a:rPr lang="en-US" baseline="0"/>
              <a:t> 2007-2014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IT!$B$25</c:f>
              <c:strCache>
                <c:ptCount val="1"/>
                <c:pt idx="0">
                  <c:v>Italy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IT!$A$26:$A$224</c:f>
              <c:numCache>
                <c:formatCode>mmm\-yy</c:formatCode>
                <c:ptCount val="199"/>
                <c:pt idx="0">
                  <c:v>39052</c:v>
                </c:pt>
                <c:pt idx="1">
                  <c:v>39083</c:v>
                </c:pt>
                <c:pt idx="2">
                  <c:v>39114</c:v>
                </c:pt>
                <c:pt idx="3">
                  <c:v>39142</c:v>
                </c:pt>
                <c:pt idx="4">
                  <c:v>39173</c:v>
                </c:pt>
                <c:pt idx="5">
                  <c:v>39203</c:v>
                </c:pt>
                <c:pt idx="6">
                  <c:v>39234</c:v>
                </c:pt>
                <c:pt idx="7">
                  <c:v>39264</c:v>
                </c:pt>
                <c:pt idx="8">
                  <c:v>39295</c:v>
                </c:pt>
                <c:pt idx="9">
                  <c:v>39326</c:v>
                </c:pt>
                <c:pt idx="10">
                  <c:v>39356</c:v>
                </c:pt>
                <c:pt idx="11">
                  <c:v>39387</c:v>
                </c:pt>
                <c:pt idx="12">
                  <c:v>39417</c:v>
                </c:pt>
                <c:pt idx="13">
                  <c:v>39448</c:v>
                </c:pt>
                <c:pt idx="14">
                  <c:v>39479</c:v>
                </c:pt>
                <c:pt idx="15">
                  <c:v>39508</c:v>
                </c:pt>
                <c:pt idx="16">
                  <c:v>39539</c:v>
                </c:pt>
                <c:pt idx="17">
                  <c:v>39569</c:v>
                </c:pt>
                <c:pt idx="18">
                  <c:v>39600</c:v>
                </c:pt>
                <c:pt idx="19">
                  <c:v>39630</c:v>
                </c:pt>
                <c:pt idx="20">
                  <c:v>39661</c:v>
                </c:pt>
                <c:pt idx="21">
                  <c:v>39692</c:v>
                </c:pt>
                <c:pt idx="22">
                  <c:v>39722</c:v>
                </c:pt>
                <c:pt idx="23">
                  <c:v>39753</c:v>
                </c:pt>
                <c:pt idx="24">
                  <c:v>39783</c:v>
                </c:pt>
                <c:pt idx="25">
                  <c:v>39814</c:v>
                </c:pt>
                <c:pt idx="26">
                  <c:v>39845</c:v>
                </c:pt>
                <c:pt idx="27">
                  <c:v>39873</c:v>
                </c:pt>
                <c:pt idx="28">
                  <c:v>39904</c:v>
                </c:pt>
                <c:pt idx="29">
                  <c:v>39934</c:v>
                </c:pt>
                <c:pt idx="30">
                  <c:v>39965</c:v>
                </c:pt>
                <c:pt idx="31">
                  <c:v>39995</c:v>
                </c:pt>
                <c:pt idx="32">
                  <c:v>40026</c:v>
                </c:pt>
                <c:pt idx="33">
                  <c:v>40057</c:v>
                </c:pt>
                <c:pt idx="34">
                  <c:v>40087</c:v>
                </c:pt>
                <c:pt idx="35">
                  <c:v>40118</c:v>
                </c:pt>
                <c:pt idx="36">
                  <c:v>40148</c:v>
                </c:pt>
                <c:pt idx="37">
                  <c:v>40179</c:v>
                </c:pt>
                <c:pt idx="38">
                  <c:v>40210</c:v>
                </c:pt>
                <c:pt idx="39">
                  <c:v>40238</c:v>
                </c:pt>
                <c:pt idx="40">
                  <c:v>40269</c:v>
                </c:pt>
                <c:pt idx="41">
                  <c:v>40299</c:v>
                </c:pt>
                <c:pt idx="42">
                  <c:v>40330</c:v>
                </c:pt>
                <c:pt idx="43">
                  <c:v>40360</c:v>
                </c:pt>
                <c:pt idx="44">
                  <c:v>40391</c:v>
                </c:pt>
                <c:pt idx="45">
                  <c:v>40422</c:v>
                </c:pt>
                <c:pt idx="46">
                  <c:v>40452</c:v>
                </c:pt>
                <c:pt idx="47">
                  <c:v>40483</c:v>
                </c:pt>
                <c:pt idx="48">
                  <c:v>40513</c:v>
                </c:pt>
                <c:pt idx="49">
                  <c:v>40544</c:v>
                </c:pt>
                <c:pt idx="50">
                  <c:v>40575</c:v>
                </c:pt>
                <c:pt idx="51">
                  <c:v>40603</c:v>
                </c:pt>
                <c:pt idx="52">
                  <c:v>40634</c:v>
                </c:pt>
                <c:pt idx="53">
                  <c:v>40664</c:v>
                </c:pt>
                <c:pt idx="54">
                  <c:v>40695</c:v>
                </c:pt>
                <c:pt idx="55">
                  <c:v>40725</c:v>
                </c:pt>
                <c:pt idx="56">
                  <c:v>40756</c:v>
                </c:pt>
                <c:pt idx="57">
                  <c:v>40787</c:v>
                </c:pt>
                <c:pt idx="58">
                  <c:v>40817</c:v>
                </c:pt>
                <c:pt idx="59">
                  <c:v>40848</c:v>
                </c:pt>
                <c:pt idx="60">
                  <c:v>40878</c:v>
                </c:pt>
                <c:pt idx="61">
                  <c:v>40909</c:v>
                </c:pt>
                <c:pt idx="62">
                  <c:v>40940</c:v>
                </c:pt>
                <c:pt idx="63">
                  <c:v>40969</c:v>
                </c:pt>
                <c:pt idx="64">
                  <c:v>41000</c:v>
                </c:pt>
                <c:pt idx="65">
                  <c:v>41030</c:v>
                </c:pt>
                <c:pt idx="66">
                  <c:v>41061</c:v>
                </c:pt>
                <c:pt idx="67">
                  <c:v>41091</c:v>
                </c:pt>
                <c:pt idx="68">
                  <c:v>41122</c:v>
                </c:pt>
                <c:pt idx="69">
                  <c:v>41153</c:v>
                </c:pt>
                <c:pt idx="70">
                  <c:v>41183</c:v>
                </c:pt>
                <c:pt idx="71">
                  <c:v>41214</c:v>
                </c:pt>
                <c:pt idx="72">
                  <c:v>41244</c:v>
                </c:pt>
                <c:pt idx="73">
                  <c:v>41275</c:v>
                </c:pt>
                <c:pt idx="74">
                  <c:v>41306</c:v>
                </c:pt>
                <c:pt idx="75">
                  <c:v>41334</c:v>
                </c:pt>
                <c:pt idx="76">
                  <c:v>41365</c:v>
                </c:pt>
                <c:pt idx="77">
                  <c:v>41395</c:v>
                </c:pt>
                <c:pt idx="78">
                  <c:v>41426</c:v>
                </c:pt>
                <c:pt idx="79">
                  <c:v>41456</c:v>
                </c:pt>
                <c:pt idx="80">
                  <c:v>41487</c:v>
                </c:pt>
                <c:pt idx="81">
                  <c:v>41518</c:v>
                </c:pt>
                <c:pt idx="82">
                  <c:v>41548</c:v>
                </c:pt>
                <c:pt idx="83">
                  <c:v>41579</c:v>
                </c:pt>
                <c:pt idx="84">
                  <c:v>41609</c:v>
                </c:pt>
                <c:pt idx="85">
                  <c:v>41640</c:v>
                </c:pt>
                <c:pt idx="86">
                  <c:v>41671</c:v>
                </c:pt>
                <c:pt idx="87">
                  <c:v>41699</c:v>
                </c:pt>
                <c:pt idx="88">
                  <c:v>41730</c:v>
                </c:pt>
                <c:pt idx="89">
                  <c:v>41760</c:v>
                </c:pt>
                <c:pt idx="90">
                  <c:v>41791</c:v>
                </c:pt>
                <c:pt idx="91">
                  <c:v>41821</c:v>
                </c:pt>
                <c:pt idx="92">
                  <c:v>41852</c:v>
                </c:pt>
                <c:pt idx="93">
                  <c:v>41883</c:v>
                </c:pt>
                <c:pt idx="94">
                  <c:v>41913</c:v>
                </c:pt>
                <c:pt idx="95">
                  <c:v>41944</c:v>
                </c:pt>
                <c:pt idx="96">
                  <c:v>41974</c:v>
                </c:pt>
                <c:pt idx="97">
                  <c:v>42005</c:v>
                </c:pt>
                <c:pt idx="98">
                  <c:v>42036</c:v>
                </c:pt>
                <c:pt idx="99">
                  <c:v>42064</c:v>
                </c:pt>
                <c:pt idx="100">
                  <c:v>42095</c:v>
                </c:pt>
                <c:pt idx="101">
                  <c:v>42125</c:v>
                </c:pt>
                <c:pt idx="102">
                  <c:v>42156</c:v>
                </c:pt>
                <c:pt idx="103">
                  <c:v>42186</c:v>
                </c:pt>
                <c:pt idx="104">
                  <c:v>42217</c:v>
                </c:pt>
                <c:pt idx="105">
                  <c:v>42248</c:v>
                </c:pt>
                <c:pt idx="106">
                  <c:v>42278</c:v>
                </c:pt>
                <c:pt idx="107">
                  <c:v>42309</c:v>
                </c:pt>
                <c:pt idx="108">
                  <c:v>42339</c:v>
                </c:pt>
                <c:pt idx="109">
                  <c:v>42370</c:v>
                </c:pt>
                <c:pt idx="110">
                  <c:v>42401</c:v>
                </c:pt>
                <c:pt idx="111">
                  <c:v>42430</c:v>
                </c:pt>
                <c:pt idx="112">
                  <c:v>42461</c:v>
                </c:pt>
                <c:pt idx="113">
                  <c:v>42491</c:v>
                </c:pt>
                <c:pt idx="114">
                  <c:v>42522</c:v>
                </c:pt>
                <c:pt idx="115">
                  <c:v>42552</c:v>
                </c:pt>
                <c:pt idx="116">
                  <c:v>42583</c:v>
                </c:pt>
                <c:pt idx="117">
                  <c:v>42614</c:v>
                </c:pt>
                <c:pt idx="118">
                  <c:v>42644</c:v>
                </c:pt>
                <c:pt idx="119">
                  <c:v>42675</c:v>
                </c:pt>
                <c:pt idx="120">
                  <c:v>42705</c:v>
                </c:pt>
                <c:pt idx="121">
                  <c:v>42736</c:v>
                </c:pt>
                <c:pt idx="122">
                  <c:v>42767</c:v>
                </c:pt>
                <c:pt idx="123">
                  <c:v>42795</c:v>
                </c:pt>
                <c:pt idx="124">
                  <c:v>42826</c:v>
                </c:pt>
                <c:pt idx="125">
                  <c:v>42856</c:v>
                </c:pt>
                <c:pt idx="126">
                  <c:v>42887</c:v>
                </c:pt>
                <c:pt idx="127">
                  <c:v>42917</c:v>
                </c:pt>
                <c:pt idx="128">
                  <c:v>42948</c:v>
                </c:pt>
                <c:pt idx="129" formatCode="yyyy/mm/dd">
                  <c:v>46143</c:v>
                </c:pt>
                <c:pt idx="130" formatCode="yyyy/mm/dd">
                  <c:v>46174</c:v>
                </c:pt>
              </c:numCache>
            </c:numRef>
          </c:cat>
          <c:val>
            <c:numRef>
              <c:f>IT!$B$26:$B$224</c:f>
              <c:numCache>
                <c:formatCode>0.0</c:formatCode>
                <c:ptCount val="199"/>
                <c:pt idx="0">
                  <c:v>55</c:v>
                </c:pt>
                <c:pt idx="1">
                  <c:v>53.5</c:v>
                </c:pt>
                <c:pt idx="2">
                  <c:v>54.2</c:v>
                </c:pt>
                <c:pt idx="3">
                  <c:v>53.8</c:v>
                </c:pt>
                <c:pt idx="4">
                  <c:v>53.9</c:v>
                </c:pt>
                <c:pt idx="5">
                  <c:v>55</c:v>
                </c:pt>
                <c:pt idx="6">
                  <c:v>54</c:v>
                </c:pt>
                <c:pt idx="7">
                  <c:v>53.3</c:v>
                </c:pt>
                <c:pt idx="8">
                  <c:v>53.6</c:v>
                </c:pt>
                <c:pt idx="9">
                  <c:v>52.4</c:v>
                </c:pt>
                <c:pt idx="10">
                  <c:v>51.3</c:v>
                </c:pt>
                <c:pt idx="11">
                  <c:v>51.3</c:v>
                </c:pt>
                <c:pt idx="12">
                  <c:v>50.7</c:v>
                </c:pt>
                <c:pt idx="13">
                  <c:v>50.8</c:v>
                </c:pt>
                <c:pt idx="14">
                  <c:v>50.6</c:v>
                </c:pt>
                <c:pt idx="15">
                  <c:v>49.4</c:v>
                </c:pt>
                <c:pt idx="16">
                  <c:v>48.2</c:v>
                </c:pt>
                <c:pt idx="17">
                  <c:v>48</c:v>
                </c:pt>
                <c:pt idx="18">
                  <c:v>46.9</c:v>
                </c:pt>
                <c:pt idx="19">
                  <c:v>45.3</c:v>
                </c:pt>
                <c:pt idx="20">
                  <c:v>47.1</c:v>
                </c:pt>
                <c:pt idx="21">
                  <c:v>44.4</c:v>
                </c:pt>
                <c:pt idx="22">
                  <c:v>39.700000000000003</c:v>
                </c:pt>
                <c:pt idx="23">
                  <c:v>34.9</c:v>
                </c:pt>
                <c:pt idx="24">
                  <c:v>35.5</c:v>
                </c:pt>
                <c:pt idx="25">
                  <c:v>36.1</c:v>
                </c:pt>
                <c:pt idx="26">
                  <c:v>35</c:v>
                </c:pt>
                <c:pt idx="27">
                  <c:v>34.6</c:v>
                </c:pt>
                <c:pt idx="28">
                  <c:v>37.200000000000003</c:v>
                </c:pt>
                <c:pt idx="29">
                  <c:v>41.1</c:v>
                </c:pt>
                <c:pt idx="30">
                  <c:v>42.7</c:v>
                </c:pt>
                <c:pt idx="31">
                  <c:v>45.4</c:v>
                </c:pt>
                <c:pt idx="32">
                  <c:v>44.2</c:v>
                </c:pt>
                <c:pt idx="33">
                  <c:v>47.6</c:v>
                </c:pt>
                <c:pt idx="34">
                  <c:v>49.2</c:v>
                </c:pt>
                <c:pt idx="35">
                  <c:v>50.1</c:v>
                </c:pt>
                <c:pt idx="36">
                  <c:v>50.8</c:v>
                </c:pt>
                <c:pt idx="37">
                  <c:v>51.7</c:v>
                </c:pt>
                <c:pt idx="38">
                  <c:v>51.6</c:v>
                </c:pt>
                <c:pt idx="39">
                  <c:v>53.7</c:v>
                </c:pt>
                <c:pt idx="40">
                  <c:v>54.3</c:v>
                </c:pt>
                <c:pt idx="41">
                  <c:v>54</c:v>
                </c:pt>
                <c:pt idx="42">
                  <c:v>54.3</c:v>
                </c:pt>
                <c:pt idx="43">
                  <c:v>54.4</c:v>
                </c:pt>
                <c:pt idx="44">
                  <c:v>52.8</c:v>
                </c:pt>
                <c:pt idx="45">
                  <c:v>52.6</c:v>
                </c:pt>
                <c:pt idx="46">
                  <c:v>53</c:v>
                </c:pt>
                <c:pt idx="47">
                  <c:v>52</c:v>
                </c:pt>
                <c:pt idx="48">
                  <c:v>54.7</c:v>
                </c:pt>
                <c:pt idx="49">
                  <c:v>56.6</c:v>
                </c:pt>
                <c:pt idx="50">
                  <c:v>59</c:v>
                </c:pt>
                <c:pt idx="51">
                  <c:v>56.2</c:v>
                </c:pt>
                <c:pt idx="52">
                  <c:v>55.5</c:v>
                </c:pt>
                <c:pt idx="53">
                  <c:v>52.8</c:v>
                </c:pt>
                <c:pt idx="54">
                  <c:v>49.9</c:v>
                </c:pt>
                <c:pt idx="55">
                  <c:v>50.1</c:v>
                </c:pt>
                <c:pt idx="56">
                  <c:v>47</c:v>
                </c:pt>
                <c:pt idx="57">
                  <c:v>48.3</c:v>
                </c:pt>
                <c:pt idx="58">
                  <c:v>43.3</c:v>
                </c:pt>
                <c:pt idx="59">
                  <c:v>44</c:v>
                </c:pt>
                <c:pt idx="60">
                  <c:v>44.3</c:v>
                </c:pt>
                <c:pt idx="61">
                  <c:v>46.8</c:v>
                </c:pt>
                <c:pt idx="62">
                  <c:v>47.8</c:v>
                </c:pt>
                <c:pt idx="63">
                  <c:v>47.9</c:v>
                </c:pt>
                <c:pt idx="64">
                  <c:v>43.8</c:v>
                </c:pt>
                <c:pt idx="65">
                  <c:v>44.8</c:v>
                </c:pt>
                <c:pt idx="66">
                  <c:v>44.6</c:v>
                </c:pt>
                <c:pt idx="67">
                  <c:v>44.3</c:v>
                </c:pt>
                <c:pt idx="68">
                  <c:v>43.6</c:v>
                </c:pt>
                <c:pt idx="69">
                  <c:v>45.7</c:v>
                </c:pt>
                <c:pt idx="70">
                  <c:v>45.5</c:v>
                </c:pt>
                <c:pt idx="71">
                  <c:v>45.1</c:v>
                </c:pt>
                <c:pt idx="72">
                  <c:v>46.7</c:v>
                </c:pt>
                <c:pt idx="73">
                  <c:v>47.8</c:v>
                </c:pt>
                <c:pt idx="74">
                  <c:v>45.8</c:v>
                </c:pt>
                <c:pt idx="75">
                  <c:v>44.5</c:v>
                </c:pt>
                <c:pt idx="76">
                  <c:v>45.5</c:v>
                </c:pt>
                <c:pt idx="77">
                  <c:v>47.3</c:v>
                </c:pt>
                <c:pt idx="78">
                  <c:v>49.1</c:v>
                </c:pt>
                <c:pt idx="79">
                  <c:v>50.4</c:v>
                </c:pt>
                <c:pt idx="80">
                  <c:v>51.3</c:v>
                </c:pt>
                <c:pt idx="81">
                  <c:v>50.8</c:v>
                </c:pt>
                <c:pt idx="82">
                  <c:v>50.7</c:v>
                </c:pt>
                <c:pt idx="83">
                  <c:v>51.4</c:v>
                </c:pt>
                <c:pt idx="84">
                  <c:v>53.3</c:v>
                </c:pt>
                <c:pt idx="85">
                  <c:v>53.1</c:v>
                </c:pt>
                <c:pt idx="86">
                  <c:v>52.3</c:v>
                </c:pt>
                <c:pt idx="87">
                  <c:v>52.4</c:v>
                </c:pt>
                <c:pt idx="88">
                  <c:v>54</c:v>
                </c:pt>
                <c:pt idx="89">
                  <c:v>53.2</c:v>
                </c:pt>
                <c:pt idx="90">
                  <c:v>52.6</c:v>
                </c:pt>
                <c:pt idx="91">
                  <c:v>51.9</c:v>
                </c:pt>
                <c:pt idx="92">
                  <c:v>49.8</c:v>
                </c:pt>
                <c:pt idx="93">
                  <c:v>50.7</c:v>
                </c:pt>
                <c:pt idx="94">
                  <c:v>49</c:v>
                </c:pt>
                <c:pt idx="95">
                  <c:v>49</c:v>
                </c:pt>
                <c:pt idx="129">
                  <c:v>52.9</c:v>
                </c:pt>
                <c:pt idx="130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6-47A1-A30D-F0C604D9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348864"/>
        <c:axId val="249350400"/>
      </c:areaChart>
      <c:barChart>
        <c:barDir val="col"/>
        <c:grouping val="clustered"/>
        <c:varyColors val="0"/>
        <c:ser>
          <c:idx val="2"/>
          <c:order val="2"/>
          <c:tx>
            <c:strRef>
              <c:f>ES!$B$25</c:f>
              <c:strCache>
                <c:ptCount val="1"/>
                <c:pt idx="0">
                  <c:v>Spanish PMI</c:v>
                </c:pt>
              </c:strCache>
            </c:strRef>
          </c:tx>
          <c:spPr>
            <a:solidFill>
              <a:srgbClr val="FF0000"/>
            </a:solidFill>
            <a:ln w="19050">
              <a:noFill/>
            </a:ln>
          </c:spPr>
          <c:invertIfNegative val="0"/>
          <c:val>
            <c:numRef>
              <c:f>ES!$B$26:$B$124</c:f>
              <c:numCache>
                <c:formatCode>0.0</c:formatCode>
                <c:ptCount val="99"/>
                <c:pt idx="0">
                  <c:v>57.2</c:v>
                </c:pt>
                <c:pt idx="1">
                  <c:v>56.2</c:v>
                </c:pt>
                <c:pt idx="2">
                  <c:v>56.2</c:v>
                </c:pt>
                <c:pt idx="3">
                  <c:v>55.4</c:v>
                </c:pt>
                <c:pt idx="4">
                  <c:v>56</c:v>
                </c:pt>
                <c:pt idx="5">
                  <c:v>53.3</c:v>
                </c:pt>
                <c:pt idx="6">
                  <c:v>55.1</c:v>
                </c:pt>
                <c:pt idx="7">
                  <c:v>53.2</c:v>
                </c:pt>
                <c:pt idx="8">
                  <c:v>52.2</c:v>
                </c:pt>
                <c:pt idx="9">
                  <c:v>50.8</c:v>
                </c:pt>
                <c:pt idx="10">
                  <c:v>49.6</c:v>
                </c:pt>
                <c:pt idx="11">
                  <c:v>50.7</c:v>
                </c:pt>
                <c:pt idx="12">
                  <c:v>49.5</c:v>
                </c:pt>
                <c:pt idx="13">
                  <c:v>49.8</c:v>
                </c:pt>
                <c:pt idx="14">
                  <c:v>46.7</c:v>
                </c:pt>
                <c:pt idx="15">
                  <c:v>46.4</c:v>
                </c:pt>
                <c:pt idx="16">
                  <c:v>45.2</c:v>
                </c:pt>
                <c:pt idx="17">
                  <c:v>43.8</c:v>
                </c:pt>
                <c:pt idx="18">
                  <c:v>40.6</c:v>
                </c:pt>
                <c:pt idx="19">
                  <c:v>39.200000000000003</c:v>
                </c:pt>
                <c:pt idx="20">
                  <c:v>42.4</c:v>
                </c:pt>
                <c:pt idx="21">
                  <c:v>38.299999999999997</c:v>
                </c:pt>
                <c:pt idx="22">
                  <c:v>34.6</c:v>
                </c:pt>
                <c:pt idx="23">
                  <c:v>29.4</c:v>
                </c:pt>
                <c:pt idx="24">
                  <c:v>28.5</c:v>
                </c:pt>
                <c:pt idx="25">
                  <c:v>31.5</c:v>
                </c:pt>
                <c:pt idx="26">
                  <c:v>31.8</c:v>
                </c:pt>
                <c:pt idx="27">
                  <c:v>32.9</c:v>
                </c:pt>
                <c:pt idx="28">
                  <c:v>34.6</c:v>
                </c:pt>
                <c:pt idx="29">
                  <c:v>39.799999999999997</c:v>
                </c:pt>
                <c:pt idx="30">
                  <c:v>42.8</c:v>
                </c:pt>
                <c:pt idx="31">
                  <c:v>47.3</c:v>
                </c:pt>
                <c:pt idx="32">
                  <c:v>47.2</c:v>
                </c:pt>
                <c:pt idx="33">
                  <c:v>45.8</c:v>
                </c:pt>
                <c:pt idx="34">
                  <c:v>46.3</c:v>
                </c:pt>
                <c:pt idx="35">
                  <c:v>45.3</c:v>
                </c:pt>
                <c:pt idx="36">
                  <c:v>45.2</c:v>
                </c:pt>
                <c:pt idx="37">
                  <c:v>45.3</c:v>
                </c:pt>
                <c:pt idx="38">
                  <c:v>49.1</c:v>
                </c:pt>
                <c:pt idx="39">
                  <c:v>51.8</c:v>
                </c:pt>
                <c:pt idx="40">
                  <c:v>53.3</c:v>
                </c:pt>
                <c:pt idx="41">
                  <c:v>51.5</c:v>
                </c:pt>
                <c:pt idx="42">
                  <c:v>51.2</c:v>
                </c:pt>
                <c:pt idx="43">
                  <c:v>51.6</c:v>
                </c:pt>
                <c:pt idx="44">
                  <c:v>51.2</c:v>
                </c:pt>
                <c:pt idx="45">
                  <c:v>49.6</c:v>
                </c:pt>
                <c:pt idx="46">
                  <c:v>51.2</c:v>
                </c:pt>
                <c:pt idx="47">
                  <c:v>50</c:v>
                </c:pt>
                <c:pt idx="48">
                  <c:v>51.5</c:v>
                </c:pt>
                <c:pt idx="49">
                  <c:v>52</c:v>
                </c:pt>
                <c:pt idx="50">
                  <c:v>52.1</c:v>
                </c:pt>
                <c:pt idx="51">
                  <c:v>51.6</c:v>
                </c:pt>
                <c:pt idx="52">
                  <c:v>50.6</c:v>
                </c:pt>
                <c:pt idx="53">
                  <c:v>48.2</c:v>
                </c:pt>
                <c:pt idx="54">
                  <c:v>47.3</c:v>
                </c:pt>
                <c:pt idx="55">
                  <c:v>45.6</c:v>
                </c:pt>
                <c:pt idx="56">
                  <c:v>45.3</c:v>
                </c:pt>
                <c:pt idx="57">
                  <c:v>43.7</c:v>
                </c:pt>
                <c:pt idx="58">
                  <c:v>43.9</c:v>
                </c:pt>
                <c:pt idx="59">
                  <c:v>43.8</c:v>
                </c:pt>
                <c:pt idx="60">
                  <c:v>43.7</c:v>
                </c:pt>
                <c:pt idx="61">
                  <c:v>45.1</c:v>
                </c:pt>
                <c:pt idx="62">
                  <c:v>45</c:v>
                </c:pt>
                <c:pt idx="63">
                  <c:v>44.5</c:v>
                </c:pt>
                <c:pt idx="64">
                  <c:v>43.5</c:v>
                </c:pt>
                <c:pt idx="65">
                  <c:v>42</c:v>
                </c:pt>
                <c:pt idx="66">
                  <c:v>41.1</c:v>
                </c:pt>
                <c:pt idx="67">
                  <c:v>42.3</c:v>
                </c:pt>
                <c:pt idx="68">
                  <c:v>44</c:v>
                </c:pt>
                <c:pt idx="69">
                  <c:v>44.5</c:v>
                </c:pt>
                <c:pt idx="70">
                  <c:v>43.5</c:v>
                </c:pt>
                <c:pt idx="71">
                  <c:v>45.3</c:v>
                </c:pt>
                <c:pt idx="72">
                  <c:v>44.6</c:v>
                </c:pt>
                <c:pt idx="73">
                  <c:v>46.1</c:v>
                </c:pt>
                <c:pt idx="74">
                  <c:v>46.8</c:v>
                </c:pt>
                <c:pt idx="75">
                  <c:v>44.2</c:v>
                </c:pt>
                <c:pt idx="76">
                  <c:v>44.7</c:v>
                </c:pt>
                <c:pt idx="77">
                  <c:v>48.1</c:v>
                </c:pt>
                <c:pt idx="78">
                  <c:v>50</c:v>
                </c:pt>
                <c:pt idx="79">
                  <c:v>49.8</c:v>
                </c:pt>
                <c:pt idx="80">
                  <c:v>51.1</c:v>
                </c:pt>
                <c:pt idx="81">
                  <c:v>50.7</c:v>
                </c:pt>
                <c:pt idx="82">
                  <c:v>50.9</c:v>
                </c:pt>
                <c:pt idx="83">
                  <c:v>48.6</c:v>
                </c:pt>
                <c:pt idx="84">
                  <c:v>50.8</c:v>
                </c:pt>
                <c:pt idx="85">
                  <c:v>52.2</c:v>
                </c:pt>
                <c:pt idx="86">
                  <c:v>52.5</c:v>
                </c:pt>
                <c:pt idx="87">
                  <c:v>52.8</c:v>
                </c:pt>
                <c:pt idx="88">
                  <c:v>52.7</c:v>
                </c:pt>
                <c:pt idx="89">
                  <c:v>52.9</c:v>
                </c:pt>
                <c:pt idx="90">
                  <c:v>54.6</c:v>
                </c:pt>
                <c:pt idx="91">
                  <c:v>53.9</c:v>
                </c:pt>
                <c:pt idx="92">
                  <c:v>52.8</c:v>
                </c:pt>
                <c:pt idx="93">
                  <c:v>52.6</c:v>
                </c:pt>
                <c:pt idx="94">
                  <c:v>52.6</c:v>
                </c:pt>
                <c:pt idx="95">
                  <c:v>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6-47A1-A30D-F0C604D9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49348864"/>
        <c:axId val="249350400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IT!$B$26:$B$224</c:f>
              <c:numCache>
                <c:formatCode>0.0</c:formatCode>
                <c:ptCount val="199"/>
                <c:pt idx="0">
                  <c:v>55</c:v>
                </c:pt>
                <c:pt idx="1">
                  <c:v>53.5</c:v>
                </c:pt>
                <c:pt idx="2">
                  <c:v>54.2</c:v>
                </c:pt>
                <c:pt idx="3">
                  <c:v>53.8</c:v>
                </c:pt>
                <c:pt idx="4">
                  <c:v>53.9</c:v>
                </c:pt>
                <c:pt idx="5">
                  <c:v>55</c:v>
                </c:pt>
                <c:pt idx="6">
                  <c:v>54</c:v>
                </c:pt>
                <c:pt idx="7">
                  <c:v>53.3</c:v>
                </c:pt>
                <c:pt idx="8">
                  <c:v>53.6</c:v>
                </c:pt>
                <c:pt idx="9">
                  <c:v>52.4</c:v>
                </c:pt>
                <c:pt idx="10">
                  <c:v>51.3</c:v>
                </c:pt>
                <c:pt idx="11">
                  <c:v>51.3</c:v>
                </c:pt>
                <c:pt idx="12">
                  <c:v>50.7</c:v>
                </c:pt>
                <c:pt idx="13">
                  <c:v>50.8</c:v>
                </c:pt>
                <c:pt idx="14">
                  <c:v>50.6</c:v>
                </c:pt>
                <c:pt idx="15">
                  <c:v>49.4</c:v>
                </c:pt>
                <c:pt idx="16">
                  <c:v>48.2</c:v>
                </c:pt>
                <c:pt idx="17">
                  <c:v>48</c:v>
                </c:pt>
                <c:pt idx="18">
                  <c:v>46.9</c:v>
                </c:pt>
                <c:pt idx="19">
                  <c:v>45.3</c:v>
                </c:pt>
                <c:pt idx="20">
                  <c:v>47.1</c:v>
                </c:pt>
                <c:pt idx="21">
                  <c:v>44.4</c:v>
                </c:pt>
                <c:pt idx="22">
                  <c:v>39.700000000000003</c:v>
                </c:pt>
                <c:pt idx="23">
                  <c:v>34.9</c:v>
                </c:pt>
                <c:pt idx="24">
                  <c:v>35.5</c:v>
                </c:pt>
                <c:pt idx="25">
                  <c:v>36.1</c:v>
                </c:pt>
                <c:pt idx="26">
                  <c:v>35</c:v>
                </c:pt>
                <c:pt idx="27">
                  <c:v>34.6</c:v>
                </c:pt>
                <c:pt idx="28">
                  <c:v>37.200000000000003</c:v>
                </c:pt>
                <c:pt idx="29">
                  <c:v>41.1</c:v>
                </c:pt>
                <c:pt idx="30">
                  <c:v>42.7</c:v>
                </c:pt>
                <c:pt idx="31">
                  <c:v>45.4</c:v>
                </c:pt>
                <c:pt idx="32">
                  <c:v>44.2</c:v>
                </c:pt>
                <c:pt idx="33">
                  <c:v>47.6</c:v>
                </c:pt>
                <c:pt idx="34">
                  <c:v>49.2</c:v>
                </c:pt>
                <c:pt idx="35">
                  <c:v>50.1</c:v>
                </c:pt>
                <c:pt idx="36">
                  <c:v>50.8</c:v>
                </c:pt>
                <c:pt idx="37">
                  <c:v>51.7</c:v>
                </c:pt>
                <c:pt idx="38">
                  <c:v>51.6</c:v>
                </c:pt>
                <c:pt idx="39">
                  <c:v>53.7</c:v>
                </c:pt>
                <c:pt idx="40">
                  <c:v>54.3</c:v>
                </c:pt>
                <c:pt idx="41">
                  <c:v>54</c:v>
                </c:pt>
                <c:pt idx="42">
                  <c:v>54.3</c:v>
                </c:pt>
                <c:pt idx="43">
                  <c:v>54.4</c:v>
                </c:pt>
                <c:pt idx="44">
                  <c:v>52.8</c:v>
                </c:pt>
                <c:pt idx="45">
                  <c:v>52.6</c:v>
                </c:pt>
                <c:pt idx="46">
                  <c:v>53</c:v>
                </c:pt>
                <c:pt idx="47">
                  <c:v>52</c:v>
                </c:pt>
                <c:pt idx="48">
                  <c:v>54.7</c:v>
                </c:pt>
                <c:pt idx="49">
                  <c:v>56.6</c:v>
                </c:pt>
                <c:pt idx="50">
                  <c:v>59</c:v>
                </c:pt>
                <c:pt idx="51">
                  <c:v>56.2</c:v>
                </c:pt>
                <c:pt idx="52">
                  <c:v>55.5</c:v>
                </c:pt>
                <c:pt idx="53">
                  <c:v>52.8</c:v>
                </c:pt>
                <c:pt idx="54">
                  <c:v>49.9</c:v>
                </c:pt>
                <c:pt idx="55">
                  <c:v>50.1</c:v>
                </c:pt>
                <c:pt idx="56">
                  <c:v>47</c:v>
                </c:pt>
                <c:pt idx="57">
                  <c:v>48.3</c:v>
                </c:pt>
                <c:pt idx="58">
                  <c:v>43.3</c:v>
                </c:pt>
                <c:pt idx="59">
                  <c:v>44</c:v>
                </c:pt>
                <c:pt idx="60">
                  <c:v>44.3</c:v>
                </c:pt>
                <c:pt idx="61">
                  <c:v>46.8</c:v>
                </c:pt>
                <c:pt idx="62">
                  <c:v>47.8</c:v>
                </c:pt>
                <c:pt idx="63">
                  <c:v>47.9</c:v>
                </c:pt>
                <c:pt idx="64">
                  <c:v>43.8</c:v>
                </c:pt>
                <c:pt idx="65">
                  <c:v>44.8</c:v>
                </c:pt>
                <c:pt idx="66">
                  <c:v>44.6</c:v>
                </c:pt>
                <c:pt idx="67">
                  <c:v>44.3</c:v>
                </c:pt>
                <c:pt idx="68">
                  <c:v>43.6</c:v>
                </c:pt>
                <c:pt idx="69">
                  <c:v>45.7</c:v>
                </c:pt>
                <c:pt idx="70">
                  <c:v>45.5</c:v>
                </c:pt>
                <c:pt idx="71">
                  <c:v>45.1</c:v>
                </c:pt>
                <c:pt idx="72">
                  <c:v>46.7</c:v>
                </c:pt>
                <c:pt idx="73">
                  <c:v>47.8</c:v>
                </c:pt>
                <c:pt idx="74">
                  <c:v>45.8</c:v>
                </c:pt>
                <c:pt idx="75">
                  <c:v>44.5</c:v>
                </c:pt>
                <c:pt idx="76">
                  <c:v>45.5</c:v>
                </c:pt>
                <c:pt idx="77">
                  <c:v>47.3</c:v>
                </c:pt>
                <c:pt idx="78">
                  <c:v>49.1</c:v>
                </c:pt>
                <c:pt idx="79">
                  <c:v>50.4</c:v>
                </c:pt>
                <c:pt idx="80">
                  <c:v>51.3</c:v>
                </c:pt>
                <c:pt idx="81">
                  <c:v>50.8</c:v>
                </c:pt>
                <c:pt idx="82">
                  <c:v>50.7</c:v>
                </c:pt>
                <c:pt idx="83">
                  <c:v>51.4</c:v>
                </c:pt>
                <c:pt idx="84">
                  <c:v>53.3</c:v>
                </c:pt>
                <c:pt idx="85">
                  <c:v>53.1</c:v>
                </c:pt>
                <c:pt idx="86">
                  <c:v>52.3</c:v>
                </c:pt>
                <c:pt idx="87">
                  <c:v>52.4</c:v>
                </c:pt>
                <c:pt idx="88">
                  <c:v>54</c:v>
                </c:pt>
                <c:pt idx="89">
                  <c:v>53.2</c:v>
                </c:pt>
                <c:pt idx="90">
                  <c:v>52.6</c:v>
                </c:pt>
                <c:pt idx="91">
                  <c:v>51.9</c:v>
                </c:pt>
                <c:pt idx="92">
                  <c:v>49.8</c:v>
                </c:pt>
                <c:pt idx="93">
                  <c:v>50.7</c:v>
                </c:pt>
                <c:pt idx="94">
                  <c:v>49</c:v>
                </c:pt>
                <c:pt idx="95">
                  <c:v>49</c:v>
                </c:pt>
                <c:pt idx="129">
                  <c:v>52.9</c:v>
                </c:pt>
                <c:pt idx="130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6-47A1-A30D-F0C604D9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348864"/>
        <c:axId val="249350400"/>
      </c:lineChart>
      <c:dateAx>
        <c:axId val="2493488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9350400"/>
        <c:crossesAt val="50"/>
        <c:auto val="1"/>
        <c:lblOffset val="100"/>
        <c:baseTimeUnit val="months"/>
        <c:majorUnit val="3"/>
        <c:majorTimeUnit val="months"/>
      </c:dateAx>
      <c:valAx>
        <c:axId val="249350400"/>
        <c:scaling>
          <c:orientation val="minMax"/>
          <c:max val="65"/>
          <c:min val="26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9348864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1049205775779404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Italy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IT!$B$25</c:f>
              <c:strCache>
                <c:ptCount val="1"/>
                <c:pt idx="0">
                  <c:v>Italy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IT!$A$26:$A$224</c:f>
              <c:numCache>
                <c:formatCode>mmm\-yy</c:formatCode>
                <c:ptCount val="199"/>
                <c:pt idx="0">
                  <c:v>39052</c:v>
                </c:pt>
                <c:pt idx="1">
                  <c:v>39083</c:v>
                </c:pt>
                <c:pt idx="2">
                  <c:v>39114</c:v>
                </c:pt>
                <c:pt idx="3">
                  <c:v>39142</c:v>
                </c:pt>
                <c:pt idx="4">
                  <c:v>39173</c:v>
                </c:pt>
                <c:pt idx="5">
                  <c:v>39203</c:v>
                </c:pt>
                <c:pt idx="6">
                  <c:v>39234</c:v>
                </c:pt>
                <c:pt idx="7">
                  <c:v>39264</c:v>
                </c:pt>
                <c:pt idx="8">
                  <c:v>39295</c:v>
                </c:pt>
                <c:pt idx="9">
                  <c:v>39326</c:v>
                </c:pt>
                <c:pt idx="10">
                  <c:v>39356</c:v>
                </c:pt>
                <c:pt idx="11">
                  <c:v>39387</c:v>
                </c:pt>
                <c:pt idx="12">
                  <c:v>39417</c:v>
                </c:pt>
                <c:pt idx="13">
                  <c:v>39448</c:v>
                </c:pt>
                <c:pt idx="14">
                  <c:v>39479</c:v>
                </c:pt>
                <c:pt idx="15">
                  <c:v>39508</c:v>
                </c:pt>
                <c:pt idx="16">
                  <c:v>39539</c:v>
                </c:pt>
                <c:pt idx="17">
                  <c:v>39569</c:v>
                </c:pt>
                <c:pt idx="18">
                  <c:v>39600</c:v>
                </c:pt>
                <c:pt idx="19">
                  <c:v>39630</c:v>
                </c:pt>
                <c:pt idx="20">
                  <c:v>39661</c:v>
                </c:pt>
                <c:pt idx="21">
                  <c:v>39692</c:v>
                </c:pt>
                <c:pt idx="22">
                  <c:v>39722</c:v>
                </c:pt>
                <c:pt idx="23">
                  <c:v>39753</c:v>
                </c:pt>
                <c:pt idx="24">
                  <c:v>39783</c:v>
                </c:pt>
                <c:pt idx="25">
                  <c:v>39814</c:v>
                </c:pt>
                <c:pt idx="26">
                  <c:v>39845</c:v>
                </c:pt>
                <c:pt idx="27">
                  <c:v>39873</c:v>
                </c:pt>
                <c:pt idx="28">
                  <c:v>39904</c:v>
                </c:pt>
                <c:pt idx="29">
                  <c:v>39934</c:v>
                </c:pt>
                <c:pt idx="30">
                  <c:v>39965</c:v>
                </c:pt>
                <c:pt idx="31">
                  <c:v>39995</c:v>
                </c:pt>
                <c:pt idx="32">
                  <c:v>40026</c:v>
                </c:pt>
                <c:pt idx="33">
                  <c:v>40057</c:v>
                </c:pt>
                <c:pt idx="34">
                  <c:v>40087</c:v>
                </c:pt>
                <c:pt idx="35">
                  <c:v>40118</c:v>
                </c:pt>
                <c:pt idx="36">
                  <c:v>40148</c:v>
                </c:pt>
                <c:pt idx="37">
                  <c:v>40179</c:v>
                </c:pt>
                <c:pt idx="38">
                  <c:v>40210</c:v>
                </c:pt>
                <c:pt idx="39">
                  <c:v>40238</c:v>
                </c:pt>
                <c:pt idx="40">
                  <c:v>40269</c:v>
                </c:pt>
                <c:pt idx="41">
                  <c:v>40299</c:v>
                </c:pt>
                <c:pt idx="42">
                  <c:v>40330</c:v>
                </c:pt>
                <c:pt idx="43">
                  <c:v>40360</c:v>
                </c:pt>
                <c:pt idx="44">
                  <c:v>40391</c:v>
                </c:pt>
                <c:pt idx="45">
                  <c:v>40422</c:v>
                </c:pt>
                <c:pt idx="46">
                  <c:v>40452</c:v>
                </c:pt>
                <c:pt idx="47">
                  <c:v>40483</c:v>
                </c:pt>
                <c:pt idx="48">
                  <c:v>40513</c:v>
                </c:pt>
                <c:pt idx="49">
                  <c:v>40544</c:v>
                </c:pt>
                <c:pt idx="50">
                  <c:v>40575</c:v>
                </c:pt>
                <c:pt idx="51">
                  <c:v>40603</c:v>
                </c:pt>
                <c:pt idx="52">
                  <c:v>40634</c:v>
                </c:pt>
                <c:pt idx="53">
                  <c:v>40664</c:v>
                </c:pt>
                <c:pt idx="54">
                  <c:v>40695</c:v>
                </c:pt>
                <c:pt idx="55">
                  <c:v>40725</c:v>
                </c:pt>
                <c:pt idx="56">
                  <c:v>40756</c:v>
                </c:pt>
                <c:pt idx="57">
                  <c:v>40787</c:v>
                </c:pt>
                <c:pt idx="58">
                  <c:v>40817</c:v>
                </c:pt>
                <c:pt idx="59">
                  <c:v>40848</c:v>
                </c:pt>
                <c:pt idx="60">
                  <c:v>40878</c:v>
                </c:pt>
                <c:pt idx="61">
                  <c:v>40909</c:v>
                </c:pt>
                <c:pt idx="62">
                  <c:v>40940</c:v>
                </c:pt>
                <c:pt idx="63">
                  <c:v>40969</c:v>
                </c:pt>
                <c:pt idx="64">
                  <c:v>41000</c:v>
                </c:pt>
                <c:pt idx="65">
                  <c:v>41030</c:v>
                </c:pt>
                <c:pt idx="66">
                  <c:v>41061</c:v>
                </c:pt>
                <c:pt idx="67">
                  <c:v>41091</c:v>
                </c:pt>
                <c:pt idx="68">
                  <c:v>41122</c:v>
                </c:pt>
                <c:pt idx="69">
                  <c:v>41153</c:v>
                </c:pt>
                <c:pt idx="70">
                  <c:v>41183</c:v>
                </c:pt>
                <c:pt idx="71">
                  <c:v>41214</c:v>
                </c:pt>
                <c:pt idx="72">
                  <c:v>41244</c:v>
                </c:pt>
                <c:pt idx="73">
                  <c:v>41275</c:v>
                </c:pt>
                <c:pt idx="74">
                  <c:v>41306</c:v>
                </c:pt>
                <c:pt idx="75">
                  <c:v>41334</c:v>
                </c:pt>
                <c:pt idx="76">
                  <c:v>41365</c:v>
                </c:pt>
                <c:pt idx="77">
                  <c:v>41395</c:v>
                </c:pt>
                <c:pt idx="78">
                  <c:v>41426</c:v>
                </c:pt>
                <c:pt idx="79">
                  <c:v>41456</c:v>
                </c:pt>
                <c:pt idx="80">
                  <c:v>41487</c:v>
                </c:pt>
                <c:pt idx="81">
                  <c:v>41518</c:v>
                </c:pt>
                <c:pt idx="82">
                  <c:v>41548</c:v>
                </c:pt>
                <c:pt idx="83">
                  <c:v>41579</c:v>
                </c:pt>
                <c:pt idx="84">
                  <c:v>41609</c:v>
                </c:pt>
                <c:pt idx="85">
                  <c:v>41640</c:v>
                </c:pt>
                <c:pt idx="86">
                  <c:v>41671</c:v>
                </c:pt>
                <c:pt idx="87">
                  <c:v>41699</c:v>
                </c:pt>
                <c:pt idx="88">
                  <c:v>41730</c:v>
                </c:pt>
                <c:pt idx="89">
                  <c:v>41760</c:v>
                </c:pt>
                <c:pt idx="90">
                  <c:v>41791</c:v>
                </c:pt>
                <c:pt idx="91">
                  <c:v>41821</c:v>
                </c:pt>
                <c:pt idx="92">
                  <c:v>41852</c:v>
                </c:pt>
                <c:pt idx="93">
                  <c:v>41883</c:v>
                </c:pt>
                <c:pt idx="94">
                  <c:v>41913</c:v>
                </c:pt>
                <c:pt idx="95">
                  <c:v>41944</c:v>
                </c:pt>
                <c:pt idx="96">
                  <c:v>41974</c:v>
                </c:pt>
                <c:pt idx="97">
                  <c:v>42005</c:v>
                </c:pt>
                <c:pt idx="98">
                  <c:v>42036</c:v>
                </c:pt>
                <c:pt idx="99">
                  <c:v>42064</c:v>
                </c:pt>
                <c:pt idx="100">
                  <c:v>42095</c:v>
                </c:pt>
                <c:pt idx="101">
                  <c:v>42125</c:v>
                </c:pt>
                <c:pt idx="102">
                  <c:v>42156</c:v>
                </c:pt>
                <c:pt idx="103">
                  <c:v>42186</c:v>
                </c:pt>
                <c:pt idx="104">
                  <c:v>42217</c:v>
                </c:pt>
                <c:pt idx="105">
                  <c:v>42248</c:v>
                </c:pt>
                <c:pt idx="106">
                  <c:v>42278</c:v>
                </c:pt>
                <c:pt idx="107">
                  <c:v>42309</c:v>
                </c:pt>
                <c:pt idx="108">
                  <c:v>42339</c:v>
                </c:pt>
                <c:pt idx="109">
                  <c:v>42370</c:v>
                </c:pt>
                <c:pt idx="110">
                  <c:v>42401</c:v>
                </c:pt>
                <c:pt idx="111">
                  <c:v>42430</c:v>
                </c:pt>
                <c:pt idx="112">
                  <c:v>42461</c:v>
                </c:pt>
                <c:pt idx="113">
                  <c:v>42491</c:v>
                </c:pt>
                <c:pt idx="114">
                  <c:v>42522</c:v>
                </c:pt>
                <c:pt idx="115">
                  <c:v>42552</c:v>
                </c:pt>
                <c:pt idx="116">
                  <c:v>42583</c:v>
                </c:pt>
                <c:pt idx="117">
                  <c:v>42614</c:v>
                </c:pt>
                <c:pt idx="118">
                  <c:v>42644</c:v>
                </c:pt>
                <c:pt idx="119">
                  <c:v>42675</c:v>
                </c:pt>
                <c:pt idx="120">
                  <c:v>42705</c:v>
                </c:pt>
                <c:pt idx="121">
                  <c:v>42736</c:v>
                </c:pt>
                <c:pt idx="122">
                  <c:v>42767</c:v>
                </c:pt>
                <c:pt idx="123">
                  <c:v>42795</c:v>
                </c:pt>
                <c:pt idx="124">
                  <c:v>42826</c:v>
                </c:pt>
                <c:pt idx="125">
                  <c:v>42856</c:v>
                </c:pt>
                <c:pt idx="126">
                  <c:v>42887</c:v>
                </c:pt>
                <c:pt idx="127">
                  <c:v>42917</c:v>
                </c:pt>
                <c:pt idx="128">
                  <c:v>42948</c:v>
                </c:pt>
                <c:pt idx="129" formatCode="yyyy/mm/dd">
                  <c:v>46143</c:v>
                </c:pt>
                <c:pt idx="130" formatCode="yyyy/mm/dd">
                  <c:v>46174</c:v>
                </c:pt>
              </c:numCache>
            </c:numRef>
          </c:cat>
          <c:val>
            <c:numRef>
              <c:f>IT!$B$26:$B$224</c:f>
              <c:numCache>
                <c:formatCode>0.0</c:formatCode>
                <c:ptCount val="199"/>
                <c:pt idx="0">
                  <c:v>55</c:v>
                </c:pt>
                <c:pt idx="1">
                  <c:v>53.5</c:v>
                </c:pt>
                <c:pt idx="2">
                  <c:v>54.2</c:v>
                </c:pt>
                <c:pt idx="3">
                  <c:v>53.8</c:v>
                </c:pt>
                <c:pt idx="4">
                  <c:v>53.9</c:v>
                </c:pt>
                <c:pt idx="5">
                  <c:v>55</c:v>
                </c:pt>
                <c:pt idx="6">
                  <c:v>54</c:v>
                </c:pt>
                <c:pt idx="7">
                  <c:v>53.3</c:v>
                </c:pt>
                <c:pt idx="8">
                  <c:v>53.6</c:v>
                </c:pt>
                <c:pt idx="9">
                  <c:v>52.4</c:v>
                </c:pt>
                <c:pt idx="10">
                  <c:v>51.3</c:v>
                </c:pt>
                <c:pt idx="11">
                  <c:v>51.3</c:v>
                </c:pt>
                <c:pt idx="12">
                  <c:v>50.7</c:v>
                </c:pt>
                <c:pt idx="13">
                  <c:v>50.8</c:v>
                </c:pt>
                <c:pt idx="14">
                  <c:v>50.6</c:v>
                </c:pt>
                <c:pt idx="15">
                  <c:v>49.4</c:v>
                </c:pt>
                <c:pt idx="16">
                  <c:v>48.2</c:v>
                </c:pt>
                <c:pt idx="17">
                  <c:v>48</c:v>
                </c:pt>
                <c:pt idx="18">
                  <c:v>46.9</c:v>
                </c:pt>
                <c:pt idx="19">
                  <c:v>45.3</c:v>
                </c:pt>
                <c:pt idx="20">
                  <c:v>47.1</c:v>
                </c:pt>
                <c:pt idx="21">
                  <c:v>44.4</c:v>
                </c:pt>
                <c:pt idx="22">
                  <c:v>39.700000000000003</c:v>
                </c:pt>
                <c:pt idx="23">
                  <c:v>34.9</c:v>
                </c:pt>
                <c:pt idx="24">
                  <c:v>35.5</c:v>
                </c:pt>
                <c:pt idx="25">
                  <c:v>36.1</c:v>
                </c:pt>
                <c:pt idx="26">
                  <c:v>35</c:v>
                </c:pt>
                <c:pt idx="27">
                  <c:v>34.6</c:v>
                </c:pt>
                <c:pt idx="28">
                  <c:v>37.200000000000003</c:v>
                </c:pt>
                <c:pt idx="29">
                  <c:v>41.1</c:v>
                </c:pt>
                <c:pt idx="30">
                  <c:v>42.7</c:v>
                </c:pt>
                <c:pt idx="31">
                  <c:v>45.4</c:v>
                </c:pt>
                <c:pt idx="32">
                  <c:v>44.2</c:v>
                </c:pt>
                <c:pt idx="33">
                  <c:v>47.6</c:v>
                </c:pt>
                <c:pt idx="34">
                  <c:v>49.2</c:v>
                </c:pt>
                <c:pt idx="35">
                  <c:v>50.1</c:v>
                </c:pt>
                <c:pt idx="36">
                  <c:v>50.8</c:v>
                </c:pt>
                <c:pt idx="37">
                  <c:v>51.7</c:v>
                </c:pt>
                <c:pt idx="38">
                  <c:v>51.6</c:v>
                </c:pt>
                <c:pt idx="39">
                  <c:v>53.7</c:v>
                </c:pt>
                <c:pt idx="40">
                  <c:v>54.3</c:v>
                </c:pt>
                <c:pt idx="41">
                  <c:v>54</c:v>
                </c:pt>
                <c:pt idx="42">
                  <c:v>54.3</c:v>
                </c:pt>
                <c:pt idx="43">
                  <c:v>54.4</c:v>
                </c:pt>
                <c:pt idx="44">
                  <c:v>52.8</c:v>
                </c:pt>
                <c:pt idx="45">
                  <c:v>52.6</c:v>
                </c:pt>
                <c:pt idx="46">
                  <c:v>53</c:v>
                </c:pt>
                <c:pt idx="47">
                  <c:v>52</c:v>
                </c:pt>
                <c:pt idx="48">
                  <c:v>54.7</c:v>
                </c:pt>
                <c:pt idx="49">
                  <c:v>56.6</c:v>
                </c:pt>
                <c:pt idx="50">
                  <c:v>59</c:v>
                </c:pt>
                <c:pt idx="51">
                  <c:v>56.2</c:v>
                </c:pt>
                <c:pt idx="52">
                  <c:v>55.5</c:v>
                </c:pt>
                <c:pt idx="53">
                  <c:v>52.8</c:v>
                </c:pt>
                <c:pt idx="54">
                  <c:v>49.9</c:v>
                </c:pt>
                <c:pt idx="55">
                  <c:v>50.1</c:v>
                </c:pt>
                <c:pt idx="56">
                  <c:v>47</c:v>
                </c:pt>
                <c:pt idx="57">
                  <c:v>48.3</c:v>
                </c:pt>
                <c:pt idx="58">
                  <c:v>43.3</c:v>
                </c:pt>
                <c:pt idx="59">
                  <c:v>44</c:v>
                </c:pt>
                <c:pt idx="60">
                  <c:v>44.3</c:v>
                </c:pt>
                <c:pt idx="61">
                  <c:v>46.8</c:v>
                </c:pt>
                <c:pt idx="62">
                  <c:v>47.8</c:v>
                </c:pt>
                <c:pt idx="63">
                  <c:v>47.9</c:v>
                </c:pt>
                <c:pt idx="64">
                  <c:v>43.8</c:v>
                </c:pt>
                <c:pt idx="65">
                  <c:v>44.8</c:v>
                </c:pt>
                <c:pt idx="66">
                  <c:v>44.6</c:v>
                </c:pt>
                <c:pt idx="67">
                  <c:v>44.3</c:v>
                </c:pt>
                <c:pt idx="68">
                  <c:v>43.6</c:v>
                </c:pt>
                <c:pt idx="69">
                  <c:v>45.7</c:v>
                </c:pt>
                <c:pt idx="70">
                  <c:v>45.5</c:v>
                </c:pt>
                <c:pt idx="71">
                  <c:v>45.1</c:v>
                </c:pt>
                <c:pt idx="72">
                  <c:v>46.7</c:v>
                </c:pt>
                <c:pt idx="73">
                  <c:v>47.8</c:v>
                </c:pt>
                <c:pt idx="74">
                  <c:v>45.8</c:v>
                </c:pt>
                <c:pt idx="75">
                  <c:v>44.5</c:v>
                </c:pt>
                <c:pt idx="76">
                  <c:v>45.5</c:v>
                </c:pt>
                <c:pt idx="77">
                  <c:v>47.3</c:v>
                </c:pt>
                <c:pt idx="78">
                  <c:v>49.1</c:v>
                </c:pt>
                <c:pt idx="79">
                  <c:v>50.4</c:v>
                </c:pt>
                <c:pt idx="80">
                  <c:v>51.3</c:v>
                </c:pt>
                <c:pt idx="81">
                  <c:v>50.8</c:v>
                </c:pt>
                <c:pt idx="82">
                  <c:v>50.7</c:v>
                </c:pt>
                <c:pt idx="83">
                  <c:v>51.4</c:v>
                </c:pt>
                <c:pt idx="84">
                  <c:v>53.3</c:v>
                </c:pt>
                <c:pt idx="85">
                  <c:v>53.1</c:v>
                </c:pt>
                <c:pt idx="86">
                  <c:v>52.3</c:v>
                </c:pt>
                <c:pt idx="87">
                  <c:v>52.4</c:v>
                </c:pt>
                <c:pt idx="88">
                  <c:v>54</c:v>
                </c:pt>
                <c:pt idx="89">
                  <c:v>53.2</c:v>
                </c:pt>
                <c:pt idx="90">
                  <c:v>52.6</c:v>
                </c:pt>
                <c:pt idx="91">
                  <c:v>51.9</c:v>
                </c:pt>
                <c:pt idx="92">
                  <c:v>49.8</c:v>
                </c:pt>
                <c:pt idx="93">
                  <c:v>50.7</c:v>
                </c:pt>
                <c:pt idx="94">
                  <c:v>49</c:v>
                </c:pt>
                <c:pt idx="95">
                  <c:v>49</c:v>
                </c:pt>
                <c:pt idx="129">
                  <c:v>52.9</c:v>
                </c:pt>
                <c:pt idx="130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5-4582-822C-430578B2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34048"/>
        <c:axId val="307515392"/>
      </c:areaChart>
      <c:barChart>
        <c:barDir val="col"/>
        <c:grouping val="clustered"/>
        <c:varyColors val="0"/>
        <c:ser>
          <c:idx val="2"/>
          <c:order val="2"/>
          <c:tx>
            <c:strRef>
              <c:f>IT!$D$25</c:f>
              <c:strCache>
                <c:ptCount val="1"/>
                <c:pt idx="0">
                  <c:v>Italy GDP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47625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IT!$D$26:$D$124</c:f>
              <c:numCache>
                <c:formatCode>0.0%</c:formatCode>
                <c:ptCount val="99"/>
                <c:pt idx="0">
                  <c:v>1.0999999999999999E-2</c:v>
                </c:pt>
                <c:pt idx="3">
                  <c:v>0</c:v>
                </c:pt>
                <c:pt idx="6">
                  <c:v>2E-3</c:v>
                </c:pt>
                <c:pt idx="9">
                  <c:v>3.0000000000000001E-3</c:v>
                </c:pt>
                <c:pt idx="12">
                  <c:v>-4.0000000000000001E-3</c:v>
                </c:pt>
                <c:pt idx="15">
                  <c:v>4.0000000000000001E-3</c:v>
                </c:pt>
                <c:pt idx="18">
                  <c:v>-5.0000000000000001E-3</c:v>
                </c:pt>
                <c:pt idx="21">
                  <c:v>-1.0999999999999999E-2</c:v>
                </c:pt>
                <c:pt idx="24">
                  <c:v>-1.9E-2</c:v>
                </c:pt>
                <c:pt idx="27">
                  <c:v>-3.5000000000000003E-2</c:v>
                </c:pt>
                <c:pt idx="30">
                  <c:v>-3.0000000000000001E-3</c:v>
                </c:pt>
                <c:pt idx="33">
                  <c:v>4.0000000000000001E-3</c:v>
                </c:pt>
                <c:pt idx="36">
                  <c:v>-1E-3</c:v>
                </c:pt>
                <c:pt idx="39">
                  <c:v>8.0000000000000002E-3</c:v>
                </c:pt>
                <c:pt idx="42">
                  <c:v>6.0000000000000001E-3</c:v>
                </c:pt>
                <c:pt idx="45">
                  <c:v>4.0000000000000001E-3</c:v>
                </c:pt>
                <c:pt idx="48">
                  <c:v>3.0000000000000001E-3</c:v>
                </c:pt>
                <c:pt idx="51">
                  <c:v>1E-3</c:v>
                </c:pt>
                <c:pt idx="54">
                  <c:v>2E-3</c:v>
                </c:pt>
                <c:pt idx="57">
                  <c:v>-2E-3</c:v>
                </c:pt>
                <c:pt idx="60">
                  <c:v>-7.0000000000000001E-3</c:v>
                </c:pt>
                <c:pt idx="63">
                  <c:v>-1.0999999999999999E-2</c:v>
                </c:pt>
                <c:pt idx="66">
                  <c:v>5.0000000000000001E-3</c:v>
                </c:pt>
                <c:pt idx="69">
                  <c:v>-4.0000000000000001E-3</c:v>
                </c:pt>
                <c:pt idx="72">
                  <c:v>-8.9999999999999993E-3</c:v>
                </c:pt>
                <c:pt idx="75">
                  <c:v>-6.0000000000000001E-3</c:v>
                </c:pt>
                <c:pt idx="78">
                  <c:v>-3.0000000000000001E-3</c:v>
                </c:pt>
                <c:pt idx="81">
                  <c:v>-1E-3</c:v>
                </c:pt>
                <c:pt idx="84">
                  <c:v>1E-3</c:v>
                </c:pt>
                <c:pt idx="87">
                  <c:v>-1E-3</c:v>
                </c:pt>
                <c:pt idx="90">
                  <c:v>-2E-3</c:v>
                </c:pt>
                <c:pt idx="93" formatCode="0.00%">
                  <c:v>-1E-3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5-4582-822C-430578B2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07518464"/>
        <c:axId val="307516928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IT!$B$26:$B$224</c:f>
              <c:numCache>
                <c:formatCode>0.0</c:formatCode>
                <c:ptCount val="199"/>
                <c:pt idx="0">
                  <c:v>55</c:v>
                </c:pt>
                <c:pt idx="1">
                  <c:v>53.5</c:v>
                </c:pt>
                <c:pt idx="2">
                  <c:v>54.2</c:v>
                </c:pt>
                <c:pt idx="3">
                  <c:v>53.8</c:v>
                </c:pt>
                <c:pt idx="4">
                  <c:v>53.9</c:v>
                </c:pt>
                <c:pt idx="5">
                  <c:v>55</c:v>
                </c:pt>
                <c:pt idx="6">
                  <c:v>54</c:v>
                </c:pt>
                <c:pt idx="7">
                  <c:v>53.3</c:v>
                </c:pt>
                <c:pt idx="8">
                  <c:v>53.6</c:v>
                </c:pt>
                <c:pt idx="9">
                  <c:v>52.4</c:v>
                </c:pt>
                <c:pt idx="10">
                  <c:v>51.3</c:v>
                </c:pt>
                <c:pt idx="11">
                  <c:v>51.3</c:v>
                </c:pt>
                <c:pt idx="12">
                  <c:v>50.7</c:v>
                </c:pt>
                <c:pt idx="13">
                  <c:v>50.8</c:v>
                </c:pt>
                <c:pt idx="14">
                  <c:v>50.6</c:v>
                </c:pt>
                <c:pt idx="15">
                  <c:v>49.4</c:v>
                </c:pt>
                <c:pt idx="16">
                  <c:v>48.2</c:v>
                </c:pt>
                <c:pt idx="17">
                  <c:v>48</c:v>
                </c:pt>
                <c:pt idx="18">
                  <c:v>46.9</c:v>
                </c:pt>
                <c:pt idx="19">
                  <c:v>45.3</c:v>
                </c:pt>
                <c:pt idx="20">
                  <c:v>47.1</c:v>
                </c:pt>
                <c:pt idx="21">
                  <c:v>44.4</c:v>
                </c:pt>
                <c:pt idx="22">
                  <c:v>39.700000000000003</c:v>
                </c:pt>
                <c:pt idx="23">
                  <c:v>34.9</c:v>
                </c:pt>
                <c:pt idx="24">
                  <c:v>35.5</c:v>
                </c:pt>
                <c:pt idx="25">
                  <c:v>36.1</c:v>
                </c:pt>
                <c:pt idx="26">
                  <c:v>35</c:v>
                </c:pt>
                <c:pt idx="27">
                  <c:v>34.6</c:v>
                </c:pt>
                <c:pt idx="28">
                  <c:v>37.200000000000003</c:v>
                </c:pt>
                <c:pt idx="29">
                  <c:v>41.1</c:v>
                </c:pt>
                <c:pt idx="30">
                  <c:v>42.7</c:v>
                </c:pt>
                <c:pt idx="31">
                  <c:v>45.4</c:v>
                </c:pt>
                <c:pt idx="32">
                  <c:v>44.2</c:v>
                </c:pt>
                <c:pt idx="33">
                  <c:v>47.6</c:v>
                </c:pt>
                <c:pt idx="34">
                  <c:v>49.2</c:v>
                </c:pt>
                <c:pt idx="35">
                  <c:v>50.1</c:v>
                </c:pt>
                <c:pt idx="36">
                  <c:v>50.8</c:v>
                </c:pt>
                <c:pt idx="37">
                  <c:v>51.7</c:v>
                </c:pt>
                <c:pt idx="38">
                  <c:v>51.6</c:v>
                </c:pt>
                <c:pt idx="39">
                  <c:v>53.7</c:v>
                </c:pt>
                <c:pt idx="40">
                  <c:v>54.3</c:v>
                </c:pt>
                <c:pt idx="41">
                  <c:v>54</c:v>
                </c:pt>
                <c:pt idx="42">
                  <c:v>54.3</c:v>
                </c:pt>
                <c:pt idx="43">
                  <c:v>54.4</c:v>
                </c:pt>
                <c:pt idx="44">
                  <c:v>52.8</c:v>
                </c:pt>
                <c:pt idx="45">
                  <c:v>52.6</c:v>
                </c:pt>
                <c:pt idx="46">
                  <c:v>53</c:v>
                </c:pt>
                <c:pt idx="47">
                  <c:v>52</c:v>
                </c:pt>
                <c:pt idx="48">
                  <c:v>54.7</c:v>
                </c:pt>
                <c:pt idx="49">
                  <c:v>56.6</c:v>
                </c:pt>
                <c:pt idx="50">
                  <c:v>59</c:v>
                </c:pt>
                <c:pt idx="51">
                  <c:v>56.2</c:v>
                </c:pt>
                <c:pt idx="52">
                  <c:v>55.5</c:v>
                </c:pt>
                <c:pt idx="53">
                  <c:v>52.8</c:v>
                </c:pt>
                <c:pt idx="54">
                  <c:v>49.9</c:v>
                </c:pt>
                <c:pt idx="55">
                  <c:v>50.1</c:v>
                </c:pt>
                <c:pt idx="56">
                  <c:v>47</c:v>
                </c:pt>
                <c:pt idx="57">
                  <c:v>48.3</c:v>
                </c:pt>
                <c:pt idx="58">
                  <c:v>43.3</c:v>
                </c:pt>
                <c:pt idx="59">
                  <c:v>44</c:v>
                </c:pt>
                <c:pt idx="60">
                  <c:v>44.3</c:v>
                </c:pt>
                <c:pt idx="61">
                  <c:v>46.8</c:v>
                </c:pt>
                <c:pt idx="62">
                  <c:v>47.8</c:v>
                </c:pt>
                <c:pt idx="63">
                  <c:v>47.9</c:v>
                </c:pt>
                <c:pt idx="64">
                  <c:v>43.8</c:v>
                </c:pt>
                <c:pt idx="65">
                  <c:v>44.8</c:v>
                </c:pt>
                <c:pt idx="66">
                  <c:v>44.6</c:v>
                </c:pt>
                <c:pt idx="67">
                  <c:v>44.3</c:v>
                </c:pt>
                <c:pt idx="68">
                  <c:v>43.6</c:v>
                </c:pt>
                <c:pt idx="69">
                  <c:v>45.7</c:v>
                </c:pt>
                <c:pt idx="70">
                  <c:v>45.5</c:v>
                </c:pt>
                <c:pt idx="71">
                  <c:v>45.1</c:v>
                </c:pt>
                <c:pt idx="72">
                  <c:v>46.7</c:v>
                </c:pt>
                <c:pt idx="73">
                  <c:v>47.8</c:v>
                </c:pt>
                <c:pt idx="74">
                  <c:v>45.8</c:v>
                </c:pt>
                <c:pt idx="75">
                  <c:v>44.5</c:v>
                </c:pt>
                <c:pt idx="76">
                  <c:v>45.5</c:v>
                </c:pt>
                <c:pt idx="77">
                  <c:v>47.3</c:v>
                </c:pt>
                <c:pt idx="78">
                  <c:v>49.1</c:v>
                </c:pt>
                <c:pt idx="79">
                  <c:v>50.4</c:v>
                </c:pt>
                <c:pt idx="80">
                  <c:v>51.3</c:v>
                </c:pt>
                <c:pt idx="81">
                  <c:v>50.8</c:v>
                </c:pt>
                <c:pt idx="82">
                  <c:v>50.7</c:v>
                </c:pt>
                <c:pt idx="83">
                  <c:v>51.4</c:v>
                </c:pt>
                <c:pt idx="84">
                  <c:v>53.3</c:v>
                </c:pt>
                <c:pt idx="85">
                  <c:v>53.1</c:v>
                </c:pt>
                <c:pt idx="86">
                  <c:v>52.3</c:v>
                </c:pt>
                <c:pt idx="87">
                  <c:v>52.4</c:v>
                </c:pt>
                <c:pt idx="88">
                  <c:v>54</c:v>
                </c:pt>
                <c:pt idx="89">
                  <c:v>53.2</c:v>
                </c:pt>
                <c:pt idx="90">
                  <c:v>52.6</c:v>
                </c:pt>
                <c:pt idx="91">
                  <c:v>51.9</c:v>
                </c:pt>
                <c:pt idx="92">
                  <c:v>49.8</c:v>
                </c:pt>
                <c:pt idx="93">
                  <c:v>50.7</c:v>
                </c:pt>
                <c:pt idx="94">
                  <c:v>49</c:v>
                </c:pt>
                <c:pt idx="95">
                  <c:v>49</c:v>
                </c:pt>
                <c:pt idx="129">
                  <c:v>52.9</c:v>
                </c:pt>
                <c:pt idx="130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25-4582-822C-430578B2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634048"/>
        <c:axId val="307515392"/>
      </c:lineChart>
      <c:dateAx>
        <c:axId val="297634048"/>
        <c:scaling>
          <c:orientation val="minMax"/>
          <c:min val="39448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515392"/>
        <c:crossesAt val="50"/>
        <c:auto val="1"/>
        <c:lblOffset val="100"/>
        <c:baseTimeUnit val="months"/>
        <c:majorUnit val="1"/>
        <c:majorTimeUnit val="years"/>
      </c:dateAx>
      <c:valAx>
        <c:axId val="307515392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7634048"/>
        <c:crosses val="autoZero"/>
        <c:crossBetween val="between"/>
        <c:majorUnit val="7"/>
      </c:valAx>
      <c:valAx>
        <c:axId val="307516928"/>
        <c:scaling>
          <c:orientation val="minMax"/>
          <c:max val="2.7000000000000007E-2"/>
          <c:min val="-4.0000000000000008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307518464"/>
        <c:crosses val="max"/>
        <c:crossBetween val="between"/>
      </c:valAx>
      <c:catAx>
        <c:axId val="307518464"/>
        <c:scaling>
          <c:orientation val="minMax"/>
        </c:scaling>
        <c:delete val="1"/>
        <c:axPos val="b"/>
        <c:majorTickMark val="out"/>
        <c:minorTickMark val="none"/>
        <c:tickLblPos val="nextTo"/>
        <c:crossAx val="30751692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1723732653810857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Spain Manufacturing PMI</a:t>
            </a:r>
            <a:r>
              <a:rPr lang="en-US" baseline="0"/>
              <a:t> 2007-2014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ES!$B$25</c:f>
              <c:strCache>
                <c:ptCount val="1"/>
                <c:pt idx="0">
                  <c:v>Spanish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ES!$A$26:$A$224</c:f>
              <c:numCache>
                <c:formatCode>mmm\-yy</c:formatCode>
                <c:ptCount val="199"/>
                <c:pt idx="0">
                  <c:v>39052</c:v>
                </c:pt>
                <c:pt idx="1">
                  <c:v>39083</c:v>
                </c:pt>
                <c:pt idx="2">
                  <c:v>39114</c:v>
                </c:pt>
                <c:pt idx="3">
                  <c:v>39142</c:v>
                </c:pt>
                <c:pt idx="4">
                  <c:v>39173</c:v>
                </c:pt>
                <c:pt idx="5">
                  <c:v>39203</c:v>
                </c:pt>
                <c:pt idx="6">
                  <c:v>39234</c:v>
                </c:pt>
                <c:pt idx="7">
                  <c:v>39264</c:v>
                </c:pt>
                <c:pt idx="8">
                  <c:v>39295</c:v>
                </c:pt>
                <c:pt idx="9">
                  <c:v>39326</c:v>
                </c:pt>
                <c:pt idx="10">
                  <c:v>39356</c:v>
                </c:pt>
                <c:pt idx="11">
                  <c:v>39387</c:v>
                </c:pt>
                <c:pt idx="12">
                  <c:v>39417</c:v>
                </c:pt>
                <c:pt idx="13">
                  <c:v>39448</c:v>
                </c:pt>
                <c:pt idx="14">
                  <c:v>39479</c:v>
                </c:pt>
                <c:pt idx="15">
                  <c:v>39508</c:v>
                </c:pt>
                <c:pt idx="16">
                  <c:v>39539</c:v>
                </c:pt>
                <c:pt idx="17">
                  <c:v>39569</c:v>
                </c:pt>
                <c:pt idx="18">
                  <c:v>39600</c:v>
                </c:pt>
                <c:pt idx="19">
                  <c:v>39630</c:v>
                </c:pt>
                <c:pt idx="20">
                  <c:v>39661</c:v>
                </c:pt>
                <c:pt idx="21">
                  <c:v>39692</c:v>
                </c:pt>
                <c:pt idx="22">
                  <c:v>39722</c:v>
                </c:pt>
                <c:pt idx="23">
                  <c:v>39753</c:v>
                </c:pt>
                <c:pt idx="24">
                  <c:v>39783</c:v>
                </c:pt>
                <c:pt idx="25">
                  <c:v>39814</c:v>
                </c:pt>
                <c:pt idx="26">
                  <c:v>39845</c:v>
                </c:pt>
                <c:pt idx="27">
                  <c:v>39873</c:v>
                </c:pt>
                <c:pt idx="28">
                  <c:v>39904</c:v>
                </c:pt>
                <c:pt idx="29">
                  <c:v>39934</c:v>
                </c:pt>
                <c:pt idx="30">
                  <c:v>39965</c:v>
                </c:pt>
                <c:pt idx="31">
                  <c:v>39995</c:v>
                </c:pt>
                <c:pt idx="32">
                  <c:v>40026</c:v>
                </c:pt>
                <c:pt idx="33">
                  <c:v>40057</c:v>
                </c:pt>
                <c:pt idx="34">
                  <c:v>40087</c:v>
                </c:pt>
                <c:pt idx="35">
                  <c:v>40118</c:v>
                </c:pt>
                <c:pt idx="36">
                  <c:v>40148</c:v>
                </c:pt>
                <c:pt idx="37">
                  <c:v>40179</c:v>
                </c:pt>
                <c:pt idx="38">
                  <c:v>40210</c:v>
                </c:pt>
                <c:pt idx="39">
                  <c:v>40238</c:v>
                </c:pt>
                <c:pt idx="40">
                  <c:v>40269</c:v>
                </c:pt>
                <c:pt idx="41">
                  <c:v>40299</c:v>
                </c:pt>
                <c:pt idx="42">
                  <c:v>40330</c:v>
                </c:pt>
                <c:pt idx="43">
                  <c:v>40360</c:v>
                </c:pt>
                <c:pt idx="44">
                  <c:v>40391</c:v>
                </c:pt>
                <c:pt idx="45">
                  <c:v>40422</c:v>
                </c:pt>
                <c:pt idx="46">
                  <c:v>40452</c:v>
                </c:pt>
                <c:pt idx="47">
                  <c:v>40483</c:v>
                </c:pt>
                <c:pt idx="48">
                  <c:v>40513</c:v>
                </c:pt>
                <c:pt idx="49">
                  <c:v>40544</c:v>
                </c:pt>
                <c:pt idx="50">
                  <c:v>40575</c:v>
                </c:pt>
                <c:pt idx="51">
                  <c:v>40603</c:v>
                </c:pt>
                <c:pt idx="52">
                  <c:v>40634</c:v>
                </c:pt>
                <c:pt idx="53">
                  <c:v>40664</c:v>
                </c:pt>
                <c:pt idx="54">
                  <c:v>40695</c:v>
                </c:pt>
                <c:pt idx="55">
                  <c:v>40725</c:v>
                </c:pt>
                <c:pt idx="56">
                  <c:v>40756</c:v>
                </c:pt>
                <c:pt idx="57">
                  <c:v>40787</c:v>
                </c:pt>
                <c:pt idx="58">
                  <c:v>40817</c:v>
                </c:pt>
                <c:pt idx="59">
                  <c:v>40848</c:v>
                </c:pt>
                <c:pt idx="60">
                  <c:v>40878</c:v>
                </c:pt>
                <c:pt idx="61">
                  <c:v>40909</c:v>
                </c:pt>
                <c:pt idx="62">
                  <c:v>40940</c:v>
                </c:pt>
                <c:pt idx="63">
                  <c:v>40969</c:v>
                </c:pt>
                <c:pt idx="64">
                  <c:v>41000</c:v>
                </c:pt>
                <c:pt idx="65">
                  <c:v>41030</c:v>
                </c:pt>
                <c:pt idx="66">
                  <c:v>41061</c:v>
                </c:pt>
                <c:pt idx="67">
                  <c:v>41091</c:v>
                </c:pt>
                <c:pt idx="68">
                  <c:v>41122</c:v>
                </c:pt>
                <c:pt idx="69">
                  <c:v>41153</c:v>
                </c:pt>
                <c:pt idx="70">
                  <c:v>41183</c:v>
                </c:pt>
                <c:pt idx="71">
                  <c:v>41214</c:v>
                </c:pt>
                <c:pt idx="72">
                  <c:v>41244</c:v>
                </c:pt>
                <c:pt idx="73">
                  <c:v>41275</c:v>
                </c:pt>
                <c:pt idx="74">
                  <c:v>41306</c:v>
                </c:pt>
                <c:pt idx="75">
                  <c:v>41334</c:v>
                </c:pt>
                <c:pt idx="76">
                  <c:v>41365</c:v>
                </c:pt>
                <c:pt idx="77">
                  <c:v>41395</c:v>
                </c:pt>
                <c:pt idx="78">
                  <c:v>41426</c:v>
                </c:pt>
                <c:pt idx="79">
                  <c:v>41456</c:v>
                </c:pt>
                <c:pt idx="80">
                  <c:v>41487</c:v>
                </c:pt>
                <c:pt idx="81">
                  <c:v>41518</c:v>
                </c:pt>
                <c:pt idx="82">
                  <c:v>41548</c:v>
                </c:pt>
                <c:pt idx="83">
                  <c:v>41579</c:v>
                </c:pt>
                <c:pt idx="84">
                  <c:v>41609</c:v>
                </c:pt>
                <c:pt idx="85">
                  <c:v>41640</c:v>
                </c:pt>
                <c:pt idx="86">
                  <c:v>41671</c:v>
                </c:pt>
                <c:pt idx="87">
                  <c:v>41699</c:v>
                </c:pt>
                <c:pt idx="88">
                  <c:v>41730</c:v>
                </c:pt>
                <c:pt idx="89">
                  <c:v>41760</c:v>
                </c:pt>
                <c:pt idx="90">
                  <c:v>41791</c:v>
                </c:pt>
                <c:pt idx="91">
                  <c:v>41821</c:v>
                </c:pt>
                <c:pt idx="92">
                  <c:v>41852</c:v>
                </c:pt>
                <c:pt idx="93">
                  <c:v>41883</c:v>
                </c:pt>
                <c:pt idx="94">
                  <c:v>41913</c:v>
                </c:pt>
                <c:pt idx="95">
                  <c:v>41944</c:v>
                </c:pt>
                <c:pt idx="96">
                  <c:v>41974</c:v>
                </c:pt>
                <c:pt idx="97">
                  <c:v>42005</c:v>
                </c:pt>
                <c:pt idx="98">
                  <c:v>42036</c:v>
                </c:pt>
                <c:pt idx="99">
                  <c:v>42064</c:v>
                </c:pt>
                <c:pt idx="100">
                  <c:v>42095</c:v>
                </c:pt>
                <c:pt idx="101">
                  <c:v>42125</c:v>
                </c:pt>
                <c:pt idx="102">
                  <c:v>42156</c:v>
                </c:pt>
                <c:pt idx="103">
                  <c:v>42186</c:v>
                </c:pt>
                <c:pt idx="104">
                  <c:v>42217</c:v>
                </c:pt>
                <c:pt idx="105">
                  <c:v>42248</c:v>
                </c:pt>
                <c:pt idx="106">
                  <c:v>42278</c:v>
                </c:pt>
                <c:pt idx="107">
                  <c:v>42309</c:v>
                </c:pt>
                <c:pt idx="108">
                  <c:v>42339</c:v>
                </c:pt>
                <c:pt idx="109">
                  <c:v>42370</c:v>
                </c:pt>
                <c:pt idx="110">
                  <c:v>42401</c:v>
                </c:pt>
                <c:pt idx="111">
                  <c:v>42430</c:v>
                </c:pt>
                <c:pt idx="112">
                  <c:v>42461</c:v>
                </c:pt>
                <c:pt idx="113">
                  <c:v>42491</c:v>
                </c:pt>
                <c:pt idx="114">
                  <c:v>42522</c:v>
                </c:pt>
                <c:pt idx="115">
                  <c:v>42552</c:v>
                </c:pt>
                <c:pt idx="116">
                  <c:v>42583</c:v>
                </c:pt>
                <c:pt idx="117">
                  <c:v>42614</c:v>
                </c:pt>
                <c:pt idx="118">
                  <c:v>42644</c:v>
                </c:pt>
                <c:pt idx="119">
                  <c:v>42675</c:v>
                </c:pt>
                <c:pt idx="120">
                  <c:v>42705</c:v>
                </c:pt>
                <c:pt idx="121">
                  <c:v>42736</c:v>
                </c:pt>
                <c:pt idx="122">
                  <c:v>42767</c:v>
                </c:pt>
                <c:pt idx="123">
                  <c:v>42795</c:v>
                </c:pt>
                <c:pt idx="124">
                  <c:v>42826</c:v>
                </c:pt>
                <c:pt idx="125">
                  <c:v>42856</c:v>
                </c:pt>
                <c:pt idx="126">
                  <c:v>42887</c:v>
                </c:pt>
                <c:pt idx="127">
                  <c:v>42917</c:v>
                </c:pt>
                <c:pt idx="128">
                  <c:v>42948</c:v>
                </c:pt>
                <c:pt idx="129" formatCode="yyyy/mm/dd">
                  <c:v>46143</c:v>
                </c:pt>
                <c:pt idx="130" formatCode="yyyy/mm/dd">
                  <c:v>46174</c:v>
                </c:pt>
              </c:numCache>
            </c:numRef>
          </c:cat>
          <c:val>
            <c:numRef>
              <c:f>ES!$B$26:$B$224</c:f>
              <c:numCache>
                <c:formatCode>0.0</c:formatCode>
                <c:ptCount val="199"/>
                <c:pt idx="0">
                  <c:v>57.2</c:v>
                </c:pt>
                <c:pt idx="1">
                  <c:v>56.2</c:v>
                </c:pt>
                <c:pt idx="2">
                  <c:v>56.2</c:v>
                </c:pt>
                <c:pt idx="3">
                  <c:v>55.4</c:v>
                </c:pt>
                <c:pt idx="4">
                  <c:v>56</c:v>
                </c:pt>
                <c:pt idx="5">
                  <c:v>53.3</c:v>
                </c:pt>
                <c:pt idx="6">
                  <c:v>55.1</c:v>
                </c:pt>
                <c:pt idx="7">
                  <c:v>53.2</c:v>
                </c:pt>
                <c:pt idx="8">
                  <c:v>52.2</c:v>
                </c:pt>
                <c:pt idx="9">
                  <c:v>50.8</c:v>
                </c:pt>
                <c:pt idx="10">
                  <c:v>49.6</c:v>
                </c:pt>
                <c:pt idx="11">
                  <c:v>50.7</c:v>
                </c:pt>
                <c:pt idx="12">
                  <c:v>49.5</c:v>
                </c:pt>
                <c:pt idx="13">
                  <c:v>49.8</c:v>
                </c:pt>
                <c:pt idx="14">
                  <c:v>46.7</c:v>
                </c:pt>
                <c:pt idx="15">
                  <c:v>46.4</c:v>
                </c:pt>
                <c:pt idx="16">
                  <c:v>45.2</c:v>
                </c:pt>
                <c:pt idx="17">
                  <c:v>43.8</c:v>
                </c:pt>
                <c:pt idx="18">
                  <c:v>40.6</c:v>
                </c:pt>
                <c:pt idx="19">
                  <c:v>39.200000000000003</c:v>
                </c:pt>
                <c:pt idx="20">
                  <c:v>42.4</c:v>
                </c:pt>
                <c:pt idx="21">
                  <c:v>38.299999999999997</c:v>
                </c:pt>
                <c:pt idx="22">
                  <c:v>34.6</c:v>
                </c:pt>
                <c:pt idx="23">
                  <c:v>29.4</c:v>
                </c:pt>
                <c:pt idx="24">
                  <c:v>28.5</c:v>
                </c:pt>
                <c:pt idx="25">
                  <c:v>31.5</c:v>
                </c:pt>
                <c:pt idx="26">
                  <c:v>31.8</c:v>
                </c:pt>
                <c:pt idx="27">
                  <c:v>32.9</c:v>
                </c:pt>
                <c:pt idx="28">
                  <c:v>34.6</c:v>
                </c:pt>
                <c:pt idx="29">
                  <c:v>39.799999999999997</c:v>
                </c:pt>
                <c:pt idx="30">
                  <c:v>42.8</c:v>
                </c:pt>
                <c:pt idx="31">
                  <c:v>47.3</c:v>
                </c:pt>
                <c:pt idx="32">
                  <c:v>47.2</c:v>
                </c:pt>
                <c:pt idx="33">
                  <c:v>45.8</c:v>
                </c:pt>
                <c:pt idx="34">
                  <c:v>46.3</c:v>
                </c:pt>
                <c:pt idx="35">
                  <c:v>45.3</c:v>
                </c:pt>
                <c:pt idx="36">
                  <c:v>45.2</c:v>
                </c:pt>
                <c:pt idx="37">
                  <c:v>45.3</c:v>
                </c:pt>
                <c:pt idx="38">
                  <c:v>49.1</c:v>
                </c:pt>
                <c:pt idx="39">
                  <c:v>51.8</c:v>
                </c:pt>
                <c:pt idx="40">
                  <c:v>53.3</c:v>
                </c:pt>
                <c:pt idx="41">
                  <c:v>51.5</c:v>
                </c:pt>
                <c:pt idx="42">
                  <c:v>51.2</c:v>
                </c:pt>
                <c:pt idx="43">
                  <c:v>51.6</c:v>
                </c:pt>
                <c:pt idx="44">
                  <c:v>51.2</c:v>
                </c:pt>
                <c:pt idx="45">
                  <c:v>49.6</c:v>
                </c:pt>
                <c:pt idx="46">
                  <c:v>51.2</c:v>
                </c:pt>
                <c:pt idx="47">
                  <c:v>50</c:v>
                </c:pt>
                <c:pt idx="48">
                  <c:v>51.5</c:v>
                </c:pt>
                <c:pt idx="49">
                  <c:v>52</c:v>
                </c:pt>
                <c:pt idx="50">
                  <c:v>52.1</c:v>
                </c:pt>
                <c:pt idx="51">
                  <c:v>51.6</c:v>
                </c:pt>
                <c:pt idx="52">
                  <c:v>50.6</c:v>
                </c:pt>
                <c:pt idx="53">
                  <c:v>48.2</c:v>
                </c:pt>
                <c:pt idx="54">
                  <c:v>47.3</c:v>
                </c:pt>
                <c:pt idx="55">
                  <c:v>45.6</c:v>
                </c:pt>
                <c:pt idx="56">
                  <c:v>45.3</c:v>
                </c:pt>
                <c:pt idx="57">
                  <c:v>43.7</c:v>
                </c:pt>
                <c:pt idx="58">
                  <c:v>43.9</c:v>
                </c:pt>
                <c:pt idx="59">
                  <c:v>43.8</c:v>
                </c:pt>
                <c:pt idx="60">
                  <c:v>43.7</c:v>
                </c:pt>
                <c:pt idx="61">
                  <c:v>45.1</c:v>
                </c:pt>
                <c:pt idx="62">
                  <c:v>45</c:v>
                </c:pt>
                <c:pt idx="63">
                  <c:v>44.5</c:v>
                </c:pt>
                <c:pt idx="64">
                  <c:v>43.5</c:v>
                </c:pt>
                <c:pt idx="65">
                  <c:v>42</c:v>
                </c:pt>
                <c:pt idx="66">
                  <c:v>41.1</c:v>
                </c:pt>
                <c:pt idx="67">
                  <c:v>42.3</c:v>
                </c:pt>
                <c:pt idx="68">
                  <c:v>44</c:v>
                </c:pt>
                <c:pt idx="69">
                  <c:v>44.5</c:v>
                </c:pt>
                <c:pt idx="70">
                  <c:v>43.5</c:v>
                </c:pt>
                <c:pt idx="71">
                  <c:v>45.3</c:v>
                </c:pt>
                <c:pt idx="72">
                  <c:v>44.6</c:v>
                </c:pt>
                <c:pt idx="73">
                  <c:v>46.1</c:v>
                </c:pt>
                <c:pt idx="74">
                  <c:v>46.8</c:v>
                </c:pt>
                <c:pt idx="75">
                  <c:v>44.2</c:v>
                </c:pt>
                <c:pt idx="76">
                  <c:v>44.7</c:v>
                </c:pt>
                <c:pt idx="77">
                  <c:v>48.1</c:v>
                </c:pt>
                <c:pt idx="78">
                  <c:v>50</c:v>
                </c:pt>
                <c:pt idx="79">
                  <c:v>49.8</c:v>
                </c:pt>
                <c:pt idx="80">
                  <c:v>51.1</c:v>
                </c:pt>
                <c:pt idx="81">
                  <c:v>50.7</c:v>
                </c:pt>
                <c:pt idx="82">
                  <c:v>50.9</c:v>
                </c:pt>
                <c:pt idx="83">
                  <c:v>48.6</c:v>
                </c:pt>
                <c:pt idx="84">
                  <c:v>50.8</c:v>
                </c:pt>
                <c:pt idx="85">
                  <c:v>52.2</c:v>
                </c:pt>
                <c:pt idx="86">
                  <c:v>52.5</c:v>
                </c:pt>
                <c:pt idx="87">
                  <c:v>52.8</c:v>
                </c:pt>
                <c:pt idx="88">
                  <c:v>52.7</c:v>
                </c:pt>
                <c:pt idx="89">
                  <c:v>52.9</c:v>
                </c:pt>
                <c:pt idx="90">
                  <c:v>54.6</c:v>
                </c:pt>
                <c:pt idx="91">
                  <c:v>53.9</c:v>
                </c:pt>
                <c:pt idx="92">
                  <c:v>52.8</c:v>
                </c:pt>
                <c:pt idx="93">
                  <c:v>52.6</c:v>
                </c:pt>
                <c:pt idx="94">
                  <c:v>52.6</c:v>
                </c:pt>
                <c:pt idx="95">
                  <c:v>54.7</c:v>
                </c:pt>
                <c:pt idx="129">
                  <c:v>51.2</c:v>
                </c:pt>
                <c:pt idx="130">
                  <c:v>49.7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8-4262-9C5E-99C9B6CE5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664384"/>
        <c:axId val="30766592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ES!$B$26:$B$224</c:f>
              <c:numCache>
                <c:formatCode>0.0</c:formatCode>
                <c:ptCount val="199"/>
                <c:pt idx="0">
                  <c:v>57.2</c:v>
                </c:pt>
                <c:pt idx="1">
                  <c:v>56.2</c:v>
                </c:pt>
                <c:pt idx="2">
                  <c:v>56.2</c:v>
                </c:pt>
                <c:pt idx="3">
                  <c:v>55.4</c:v>
                </c:pt>
                <c:pt idx="4">
                  <c:v>56</c:v>
                </c:pt>
                <c:pt idx="5">
                  <c:v>53.3</c:v>
                </c:pt>
                <c:pt idx="6">
                  <c:v>55.1</c:v>
                </c:pt>
                <c:pt idx="7">
                  <c:v>53.2</c:v>
                </c:pt>
                <c:pt idx="8">
                  <c:v>52.2</c:v>
                </c:pt>
                <c:pt idx="9">
                  <c:v>50.8</c:v>
                </c:pt>
                <c:pt idx="10">
                  <c:v>49.6</c:v>
                </c:pt>
                <c:pt idx="11">
                  <c:v>50.7</c:v>
                </c:pt>
                <c:pt idx="12">
                  <c:v>49.5</c:v>
                </c:pt>
                <c:pt idx="13">
                  <c:v>49.8</c:v>
                </c:pt>
                <c:pt idx="14">
                  <c:v>46.7</c:v>
                </c:pt>
                <c:pt idx="15">
                  <c:v>46.4</c:v>
                </c:pt>
                <c:pt idx="16">
                  <c:v>45.2</c:v>
                </c:pt>
                <c:pt idx="17">
                  <c:v>43.8</c:v>
                </c:pt>
                <c:pt idx="18">
                  <c:v>40.6</c:v>
                </c:pt>
                <c:pt idx="19">
                  <c:v>39.200000000000003</c:v>
                </c:pt>
                <c:pt idx="20">
                  <c:v>42.4</c:v>
                </c:pt>
                <c:pt idx="21">
                  <c:v>38.299999999999997</c:v>
                </c:pt>
                <c:pt idx="22">
                  <c:v>34.6</c:v>
                </c:pt>
                <c:pt idx="23">
                  <c:v>29.4</c:v>
                </c:pt>
                <c:pt idx="24">
                  <c:v>28.5</c:v>
                </c:pt>
                <c:pt idx="25">
                  <c:v>31.5</c:v>
                </c:pt>
                <c:pt idx="26">
                  <c:v>31.8</c:v>
                </c:pt>
                <c:pt idx="27">
                  <c:v>32.9</c:v>
                </c:pt>
                <c:pt idx="28">
                  <c:v>34.6</c:v>
                </c:pt>
                <c:pt idx="29">
                  <c:v>39.799999999999997</c:v>
                </c:pt>
                <c:pt idx="30">
                  <c:v>42.8</c:v>
                </c:pt>
                <c:pt idx="31">
                  <c:v>47.3</c:v>
                </c:pt>
                <c:pt idx="32">
                  <c:v>47.2</c:v>
                </c:pt>
                <c:pt idx="33">
                  <c:v>45.8</c:v>
                </c:pt>
                <c:pt idx="34">
                  <c:v>46.3</c:v>
                </c:pt>
                <c:pt idx="35">
                  <c:v>45.3</c:v>
                </c:pt>
                <c:pt idx="36">
                  <c:v>45.2</c:v>
                </c:pt>
                <c:pt idx="37">
                  <c:v>45.3</c:v>
                </c:pt>
                <c:pt idx="38">
                  <c:v>49.1</c:v>
                </c:pt>
                <c:pt idx="39">
                  <c:v>51.8</c:v>
                </c:pt>
                <c:pt idx="40">
                  <c:v>53.3</c:v>
                </c:pt>
                <c:pt idx="41">
                  <c:v>51.5</c:v>
                </c:pt>
                <c:pt idx="42">
                  <c:v>51.2</c:v>
                </c:pt>
                <c:pt idx="43">
                  <c:v>51.6</c:v>
                </c:pt>
                <c:pt idx="44">
                  <c:v>51.2</c:v>
                </c:pt>
                <c:pt idx="45">
                  <c:v>49.6</c:v>
                </c:pt>
                <c:pt idx="46">
                  <c:v>51.2</c:v>
                </c:pt>
                <c:pt idx="47">
                  <c:v>50</c:v>
                </c:pt>
                <c:pt idx="48">
                  <c:v>51.5</c:v>
                </c:pt>
                <c:pt idx="49">
                  <c:v>52</c:v>
                </c:pt>
                <c:pt idx="50">
                  <c:v>52.1</c:v>
                </c:pt>
                <c:pt idx="51">
                  <c:v>51.6</c:v>
                </c:pt>
                <c:pt idx="52">
                  <c:v>50.6</c:v>
                </c:pt>
                <c:pt idx="53">
                  <c:v>48.2</c:v>
                </c:pt>
                <c:pt idx="54">
                  <c:v>47.3</c:v>
                </c:pt>
                <c:pt idx="55">
                  <c:v>45.6</c:v>
                </c:pt>
                <c:pt idx="56">
                  <c:v>45.3</c:v>
                </c:pt>
                <c:pt idx="57">
                  <c:v>43.7</c:v>
                </c:pt>
                <c:pt idx="58">
                  <c:v>43.9</c:v>
                </c:pt>
                <c:pt idx="59">
                  <c:v>43.8</c:v>
                </c:pt>
                <c:pt idx="60">
                  <c:v>43.7</c:v>
                </c:pt>
                <c:pt idx="61">
                  <c:v>45.1</c:v>
                </c:pt>
                <c:pt idx="62">
                  <c:v>45</c:v>
                </c:pt>
                <c:pt idx="63">
                  <c:v>44.5</c:v>
                </c:pt>
                <c:pt idx="64">
                  <c:v>43.5</c:v>
                </c:pt>
                <c:pt idx="65">
                  <c:v>42</c:v>
                </c:pt>
                <c:pt idx="66">
                  <c:v>41.1</c:v>
                </c:pt>
                <c:pt idx="67">
                  <c:v>42.3</c:v>
                </c:pt>
                <c:pt idx="68">
                  <c:v>44</c:v>
                </c:pt>
                <c:pt idx="69">
                  <c:v>44.5</c:v>
                </c:pt>
                <c:pt idx="70">
                  <c:v>43.5</c:v>
                </c:pt>
                <c:pt idx="71">
                  <c:v>45.3</c:v>
                </c:pt>
                <c:pt idx="72">
                  <c:v>44.6</c:v>
                </c:pt>
                <c:pt idx="73">
                  <c:v>46.1</c:v>
                </c:pt>
                <c:pt idx="74">
                  <c:v>46.8</c:v>
                </c:pt>
                <c:pt idx="75">
                  <c:v>44.2</c:v>
                </c:pt>
                <c:pt idx="76">
                  <c:v>44.7</c:v>
                </c:pt>
                <c:pt idx="77">
                  <c:v>48.1</c:v>
                </c:pt>
                <c:pt idx="78">
                  <c:v>50</c:v>
                </c:pt>
                <c:pt idx="79">
                  <c:v>49.8</c:v>
                </c:pt>
                <c:pt idx="80">
                  <c:v>51.1</c:v>
                </c:pt>
                <c:pt idx="81">
                  <c:v>50.7</c:v>
                </c:pt>
                <c:pt idx="82">
                  <c:v>50.9</c:v>
                </c:pt>
                <c:pt idx="83">
                  <c:v>48.6</c:v>
                </c:pt>
                <c:pt idx="84">
                  <c:v>50.8</c:v>
                </c:pt>
                <c:pt idx="85">
                  <c:v>52.2</c:v>
                </c:pt>
                <c:pt idx="86">
                  <c:v>52.5</c:v>
                </c:pt>
                <c:pt idx="87">
                  <c:v>52.8</c:v>
                </c:pt>
                <c:pt idx="88">
                  <c:v>52.7</c:v>
                </c:pt>
                <c:pt idx="89">
                  <c:v>52.9</c:v>
                </c:pt>
                <c:pt idx="90">
                  <c:v>54.6</c:v>
                </c:pt>
                <c:pt idx="91">
                  <c:v>53.9</c:v>
                </c:pt>
                <c:pt idx="92">
                  <c:v>52.8</c:v>
                </c:pt>
                <c:pt idx="93">
                  <c:v>52.6</c:v>
                </c:pt>
                <c:pt idx="94">
                  <c:v>52.6</c:v>
                </c:pt>
                <c:pt idx="95">
                  <c:v>54.7</c:v>
                </c:pt>
                <c:pt idx="129">
                  <c:v>51.2</c:v>
                </c:pt>
                <c:pt idx="130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8-4262-9C5E-99C9B6CE5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664384"/>
        <c:axId val="307665920"/>
      </c:lineChart>
      <c:dateAx>
        <c:axId val="307664384"/>
        <c:scaling>
          <c:orientation val="minMax"/>
          <c:min val="39083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665920"/>
        <c:crossesAt val="50"/>
        <c:auto val="1"/>
        <c:lblOffset val="100"/>
        <c:baseTimeUnit val="months"/>
        <c:majorUnit val="1"/>
        <c:majorTimeUnit val="years"/>
      </c:dateAx>
      <c:valAx>
        <c:axId val="307665920"/>
        <c:scaling>
          <c:orientation val="minMax"/>
          <c:max val="66"/>
          <c:min val="26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7664384"/>
        <c:crosses val="autoZero"/>
        <c:crossBetween val="between"/>
        <c:majorUnit val="8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53E-2"/>
          <c:y val="0.13663060292737222"/>
          <c:w val="0.17144935767426805"/>
          <c:h val="7.3404288822653735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Spain Manufacturing PMI</a:t>
            </a:r>
            <a:r>
              <a:rPr lang="en-US" baseline="0"/>
              <a:t> vs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ES!$B$25</c:f>
              <c:strCache>
                <c:ptCount val="1"/>
                <c:pt idx="0">
                  <c:v>Spanish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ES!$A$26:$A$224</c:f>
              <c:numCache>
                <c:formatCode>mmm\-yy</c:formatCode>
                <c:ptCount val="199"/>
                <c:pt idx="0">
                  <c:v>39052</c:v>
                </c:pt>
                <c:pt idx="1">
                  <c:v>39083</c:v>
                </c:pt>
                <c:pt idx="2">
                  <c:v>39114</c:v>
                </c:pt>
                <c:pt idx="3">
                  <c:v>39142</c:v>
                </c:pt>
                <c:pt idx="4">
                  <c:v>39173</c:v>
                </c:pt>
                <c:pt idx="5">
                  <c:v>39203</c:v>
                </c:pt>
                <c:pt idx="6">
                  <c:v>39234</c:v>
                </c:pt>
                <c:pt idx="7">
                  <c:v>39264</c:v>
                </c:pt>
                <c:pt idx="8">
                  <c:v>39295</c:v>
                </c:pt>
                <c:pt idx="9">
                  <c:v>39326</c:v>
                </c:pt>
                <c:pt idx="10">
                  <c:v>39356</c:v>
                </c:pt>
                <c:pt idx="11">
                  <c:v>39387</c:v>
                </c:pt>
                <c:pt idx="12">
                  <c:v>39417</c:v>
                </c:pt>
                <c:pt idx="13">
                  <c:v>39448</c:v>
                </c:pt>
                <c:pt idx="14">
                  <c:v>39479</c:v>
                </c:pt>
                <c:pt idx="15">
                  <c:v>39508</c:v>
                </c:pt>
                <c:pt idx="16">
                  <c:v>39539</c:v>
                </c:pt>
                <c:pt idx="17">
                  <c:v>39569</c:v>
                </c:pt>
                <c:pt idx="18">
                  <c:v>39600</c:v>
                </c:pt>
                <c:pt idx="19">
                  <c:v>39630</c:v>
                </c:pt>
                <c:pt idx="20">
                  <c:v>39661</c:v>
                </c:pt>
                <c:pt idx="21">
                  <c:v>39692</c:v>
                </c:pt>
                <c:pt idx="22">
                  <c:v>39722</c:v>
                </c:pt>
                <c:pt idx="23">
                  <c:v>39753</c:v>
                </c:pt>
                <c:pt idx="24">
                  <c:v>39783</c:v>
                </c:pt>
                <c:pt idx="25">
                  <c:v>39814</c:v>
                </c:pt>
                <c:pt idx="26">
                  <c:v>39845</c:v>
                </c:pt>
                <c:pt idx="27">
                  <c:v>39873</c:v>
                </c:pt>
                <c:pt idx="28">
                  <c:v>39904</c:v>
                </c:pt>
                <c:pt idx="29">
                  <c:v>39934</c:v>
                </c:pt>
                <c:pt idx="30">
                  <c:v>39965</c:v>
                </c:pt>
                <c:pt idx="31">
                  <c:v>39995</c:v>
                </c:pt>
                <c:pt idx="32">
                  <c:v>40026</c:v>
                </c:pt>
                <c:pt idx="33">
                  <c:v>40057</c:v>
                </c:pt>
                <c:pt idx="34">
                  <c:v>40087</c:v>
                </c:pt>
                <c:pt idx="35">
                  <c:v>40118</c:v>
                </c:pt>
                <c:pt idx="36">
                  <c:v>40148</c:v>
                </c:pt>
                <c:pt idx="37">
                  <c:v>40179</c:v>
                </c:pt>
                <c:pt idx="38">
                  <c:v>40210</c:v>
                </c:pt>
                <c:pt idx="39">
                  <c:v>40238</c:v>
                </c:pt>
                <c:pt idx="40">
                  <c:v>40269</c:v>
                </c:pt>
                <c:pt idx="41">
                  <c:v>40299</c:v>
                </c:pt>
                <c:pt idx="42">
                  <c:v>40330</c:v>
                </c:pt>
                <c:pt idx="43">
                  <c:v>40360</c:v>
                </c:pt>
                <c:pt idx="44">
                  <c:v>40391</c:v>
                </c:pt>
                <c:pt idx="45">
                  <c:v>40422</c:v>
                </c:pt>
                <c:pt idx="46">
                  <c:v>40452</c:v>
                </c:pt>
                <c:pt idx="47">
                  <c:v>40483</c:v>
                </c:pt>
                <c:pt idx="48">
                  <c:v>40513</c:v>
                </c:pt>
                <c:pt idx="49">
                  <c:v>40544</c:v>
                </c:pt>
                <c:pt idx="50">
                  <c:v>40575</c:v>
                </c:pt>
                <c:pt idx="51">
                  <c:v>40603</c:v>
                </c:pt>
                <c:pt idx="52">
                  <c:v>40634</c:v>
                </c:pt>
                <c:pt idx="53">
                  <c:v>40664</c:v>
                </c:pt>
                <c:pt idx="54">
                  <c:v>40695</c:v>
                </c:pt>
                <c:pt idx="55">
                  <c:v>40725</c:v>
                </c:pt>
                <c:pt idx="56">
                  <c:v>40756</c:v>
                </c:pt>
                <c:pt idx="57">
                  <c:v>40787</c:v>
                </c:pt>
                <c:pt idx="58">
                  <c:v>40817</c:v>
                </c:pt>
                <c:pt idx="59">
                  <c:v>40848</c:v>
                </c:pt>
                <c:pt idx="60">
                  <c:v>40878</c:v>
                </c:pt>
                <c:pt idx="61">
                  <c:v>40909</c:v>
                </c:pt>
                <c:pt idx="62">
                  <c:v>40940</c:v>
                </c:pt>
                <c:pt idx="63">
                  <c:v>40969</c:v>
                </c:pt>
                <c:pt idx="64">
                  <c:v>41000</c:v>
                </c:pt>
                <c:pt idx="65">
                  <c:v>41030</c:v>
                </c:pt>
                <c:pt idx="66">
                  <c:v>41061</c:v>
                </c:pt>
                <c:pt idx="67">
                  <c:v>41091</c:v>
                </c:pt>
                <c:pt idx="68">
                  <c:v>41122</c:v>
                </c:pt>
                <c:pt idx="69">
                  <c:v>41153</c:v>
                </c:pt>
                <c:pt idx="70">
                  <c:v>41183</c:v>
                </c:pt>
                <c:pt idx="71">
                  <c:v>41214</c:v>
                </c:pt>
                <c:pt idx="72">
                  <c:v>41244</c:v>
                </c:pt>
                <c:pt idx="73">
                  <c:v>41275</c:v>
                </c:pt>
                <c:pt idx="74">
                  <c:v>41306</c:v>
                </c:pt>
                <c:pt idx="75">
                  <c:v>41334</c:v>
                </c:pt>
                <c:pt idx="76">
                  <c:v>41365</c:v>
                </c:pt>
                <c:pt idx="77">
                  <c:v>41395</c:v>
                </c:pt>
                <c:pt idx="78">
                  <c:v>41426</c:v>
                </c:pt>
                <c:pt idx="79">
                  <c:v>41456</c:v>
                </c:pt>
                <c:pt idx="80">
                  <c:v>41487</c:v>
                </c:pt>
                <c:pt idx="81">
                  <c:v>41518</c:v>
                </c:pt>
                <c:pt idx="82">
                  <c:v>41548</c:v>
                </c:pt>
                <c:pt idx="83">
                  <c:v>41579</c:v>
                </c:pt>
                <c:pt idx="84">
                  <c:v>41609</c:v>
                </c:pt>
                <c:pt idx="85">
                  <c:v>41640</c:v>
                </c:pt>
                <c:pt idx="86">
                  <c:v>41671</c:v>
                </c:pt>
                <c:pt idx="87">
                  <c:v>41699</c:v>
                </c:pt>
                <c:pt idx="88">
                  <c:v>41730</c:v>
                </c:pt>
                <c:pt idx="89">
                  <c:v>41760</c:v>
                </c:pt>
                <c:pt idx="90">
                  <c:v>41791</c:v>
                </c:pt>
                <c:pt idx="91">
                  <c:v>41821</c:v>
                </c:pt>
                <c:pt idx="92">
                  <c:v>41852</c:v>
                </c:pt>
                <c:pt idx="93">
                  <c:v>41883</c:v>
                </c:pt>
                <c:pt idx="94">
                  <c:v>41913</c:v>
                </c:pt>
                <c:pt idx="95">
                  <c:v>41944</c:v>
                </c:pt>
                <c:pt idx="96">
                  <c:v>41974</c:v>
                </c:pt>
                <c:pt idx="97">
                  <c:v>42005</c:v>
                </c:pt>
                <c:pt idx="98">
                  <c:v>42036</c:v>
                </c:pt>
                <c:pt idx="99">
                  <c:v>42064</c:v>
                </c:pt>
                <c:pt idx="100">
                  <c:v>42095</c:v>
                </c:pt>
                <c:pt idx="101">
                  <c:v>42125</c:v>
                </c:pt>
                <c:pt idx="102">
                  <c:v>42156</c:v>
                </c:pt>
                <c:pt idx="103">
                  <c:v>42186</c:v>
                </c:pt>
                <c:pt idx="104">
                  <c:v>42217</c:v>
                </c:pt>
                <c:pt idx="105">
                  <c:v>42248</c:v>
                </c:pt>
                <c:pt idx="106">
                  <c:v>42278</c:v>
                </c:pt>
                <c:pt idx="107">
                  <c:v>42309</c:v>
                </c:pt>
                <c:pt idx="108">
                  <c:v>42339</c:v>
                </c:pt>
                <c:pt idx="109">
                  <c:v>42370</c:v>
                </c:pt>
                <c:pt idx="110">
                  <c:v>42401</c:v>
                </c:pt>
                <c:pt idx="111">
                  <c:v>42430</c:v>
                </c:pt>
                <c:pt idx="112">
                  <c:v>42461</c:v>
                </c:pt>
                <c:pt idx="113">
                  <c:v>42491</c:v>
                </c:pt>
                <c:pt idx="114">
                  <c:v>42522</c:v>
                </c:pt>
                <c:pt idx="115">
                  <c:v>42552</c:v>
                </c:pt>
                <c:pt idx="116">
                  <c:v>42583</c:v>
                </c:pt>
                <c:pt idx="117">
                  <c:v>42614</c:v>
                </c:pt>
                <c:pt idx="118">
                  <c:v>42644</c:v>
                </c:pt>
                <c:pt idx="119">
                  <c:v>42675</c:v>
                </c:pt>
                <c:pt idx="120">
                  <c:v>42705</c:v>
                </c:pt>
                <c:pt idx="121">
                  <c:v>42736</c:v>
                </c:pt>
                <c:pt idx="122">
                  <c:v>42767</c:v>
                </c:pt>
                <c:pt idx="123">
                  <c:v>42795</c:v>
                </c:pt>
                <c:pt idx="124">
                  <c:v>42826</c:v>
                </c:pt>
                <c:pt idx="125">
                  <c:v>42856</c:v>
                </c:pt>
                <c:pt idx="126">
                  <c:v>42887</c:v>
                </c:pt>
                <c:pt idx="127">
                  <c:v>42917</c:v>
                </c:pt>
                <c:pt idx="128">
                  <c:v>42948</c:v>
                </c:pt>
                <c:pt idx="129" formatCode="yyyy/mm/dd">
                  <c:v>46143</c:v>
                </c:pt>
                <c:pt idx="130" formatCode="yyyy/mm/dd">
                  <c:v>46174</c:v>
                </c:pt>
              </c:numCache>
            </c:numRef>
          </c:cat>
          <c:val>
            <c:numRef>
              <c:f>ES!$B$26:$B$224</c:f>
              <c:numCache>
                <c:formatCode>0.0</c:formatCode>
                <c:ptCount val="199"/>
                <c:pt idx="0">
                  <c:v>57.2</c:v>
                </c:pt>
                <c:pt idx="1">
                  <c:v>56.2</c:v>
                </c:pt>
                <c:pt idx="2">
                  <c:v>56.2</c:v>
                </c:pt>
                <c:pt idx="3">
                  <c:v>55.4</c:v>
                </c:pt>
                <c:pt idx="4">
                  <c:v>56</c:v>
                </c:pt>
                <c:pt idx="5">
                  <c:v>53.3</c:v>
                </c:pt>
                <c:pt idx="6">
                  <c:v>55.1</c:v>
                </c:pt>
                <c:pt idx="7">
                  <c:v>53.2</c:v>
                </c:pt>
                <c:pt idx="8">
                  <c:v>52.2</c:v>
                </c:pt>
                <c:pt idx="9">
                  <c:v>50.8</c:v>
                </c:pt>
                <c:pt idx="10">
                  <c:v>49.6</c:v>
                </c:pt>
                <c:pt idx="11">
                  <c:v>50.7</c:v>
                </c:pt>
                <c:pt idx="12">
                  <c:v>49.5</c:v>
                </c:pt>
                <c:pt idx="13">
                  <c:v>49.8</c:v>
                </c:pt>
                <c:pt idx="14">
                  <c:v>46.7</c:v>
                </c:pt>
                <c:pt idx="15">
                  <c:v>46.4</c:v>
                </c:pt>
                <c:pt idx="16">
                  <c:v>45.2</c:v>
                </c:pt>
                <c:pt idx="17">
                  <c:v>43.8</c:v>
                </c:pt>
                <c:pt idx="18">
                  <c:v>40.6</c:v>
                </c:pt>
                <c:pt idx="19">
                  <c:v>39.200000000000003</c:v>
                </c:pt>
                <c:pt idx="20">
                  <c:v>42.4</c:v>
                </c:pt>
                <c:pt idx="21">
                  <c:v>38.299999999999997</c:v>
                </c:pt>
                <c:pt idx="22">
                  <c:v>34.6</c:v>
                </c:pt>
                <c:pt idx="23">
                  <c:v>29.4</c:v>
                </c:pt>
                <c:pt idx="24">
                  <c:v>28.5</c:v>
                </c:pt>
                <c:pt idx="25">
                  <c:v>31.5</c:v>
                </c:pt>
                <c:pt idx="26">
                  <c:v>31.8</c:v>
                </c:pt>
                <c:pt idx="27">
                  <c:v>32.9</c:v>
                </c:pt>
                <c:pt idx="28">
                  <c:v>34.6</c:v>
                </c:pt>
                <c:pt idx="29">
                  <c:v>39.799999999999997</c:v>
                </c:pt>
                <c:pt idx="30">
                  <c:v>42.8</c:v>
                </c:pt>
                <c:pt idx="31">
                  <c:v>47.3</c:v>
                </c:pt>
                <c:pt idx="32">
                  <c:v>47.2</c:v>
                </c:pt>
                <c:pt idx="33">
                  <c:v>45.8</c:v>
                </c:pt>
                <c:pt idx="34">
                  <c:v>46.3</c:v>
                </c:pt>
                <c:pt idx="35">
                  <c:v>45.3</c:v>
                </c:pt>
                <c:pt idx="36">
                  <c:v>45.2</c:v>
                </c:pt>
                <c:pt idx="37">
                  <c:v>45.3</c:v>
                </c:pt>
                <c:pt idx="38">
                  <c:v>49.1</c:v>
                </c:pt>
                <c:pt idx="39">
                  <c:v>51.8</c:v>
                </c:pt>
                <c:pt idx="40">
                  <c:v>53.3</c:v>
                </c:pt>
                <c:pt idx="41">
                  <c:v>51.5</c:v>
                </c:pt>
                <c:pt idx="42">
                  <c:v>51.2</c:v>
                </c:pt>
                <c:pt idx="43">
                  <c:v>51.6</c:v>
                </c:pt>
                <c:pt idx="44">
                  <c:v>51.2</c:v>
                </c:pt>
                <c:pt idx="45">
                  <c:v>49.6</c:v>
                </c:pt>
                <c:pt idx="46">
                  <c:v>51.2</c:v>
                </c:pt>
                <c:pt idx="47">
                  <c:v>50</c:v>
                </c:pt>
                <c:pt idx="48">
                  <c:v>51.5</c:v>
                </c:pt>
                <c:pt idx="49">
                  <c:v>52</c:v>
                </c:pt>
                <c:pt idx="50">
                  <c:v>52.1</c:v>
                </c:pt>
                <c:pt idx="51">
                  <c:v>51.6</c:v>
                </c:pt>
                <c:pt idx="52">
                  <c:v>50.6</c:v>
                </c:pt>
                <c:pt idx="53">
                  <c:v>48.2</c:v>
                </c:pt>
                <c:pt idx="54">
                  <c:v>47.3</c:v>
                </c:pt>
                <c:pt idx="55">
                  <c:v>45.6</c:v>
                </c:pt>
                <c:pt idx="56">
                  <c:v>45.3</c:v>
                </c:pt>
                <c:pt idx="57">
                  <c:v>43.7</c:v>
                </c:pt>
                <c:pt idx="58">
                  <c:v>43.9</c:v>
                </c:pt>
                <c:pt idx="59">
                  <c:v>43.8</c:v>
                </c:pt>
                <c:pt idx="60">
                  <c:v>43.7</c:v>
                </c:pt>
                <c:pt idx="61">
                  <c:v>45.1</c:v>
                </c:pt>
                <c:pt idx="62">
                  <c:v>45</c:v>
                </c:pt>
                <c:pt idx="63">
                  <c:v>44.5</c:v>
                </c:pt>
                <c:pt idx="64">
                  <c:v>43.5</c:v>
                </c:pt>
                <c:pt idx="65">
                  <c:v>42</c:v>
                </c:pt>
                <c:pt idx="66">
                  <c:v>41.1</c:v>
                </c:pt>
                <c:pt idx="67">
                  <c:v>42.3</c:v>
                </c:pt>
                <c:pt idx="68">
                  <c:v>44</c:v>
                </c:pt>
                <c:pt idx="69">
                  <c:v>44.5</c:v>
                </c:pt>
                <c:pt idx="70">
                  <c:v>43.5</c:v>
                </c:pt>
                <c:pt idx="71">
                  <c:v>45.3</c:v>
                </c:pt>
                <c:pt idx="72">
                  <c:v>44.6</c:v>
                </c:pt>
                <c:pt idx="73">
                  <c:v>46.1</c:v>
                </c:pt>
                <c:pt idx="74">
                  <c:v>46.8</c:v>
                </c:pt>
                <c:pt idx="75">
                  <c:v>44.2</c:v>
                </c:pt>
                <c:pt idx="76">
                  <c:v>44.7</c:v>
                </c:pt>
                <c:pt idx="77">
                  <c:v>48.1</c:v>
                </c:pt>
                <c:pt idx="78">
                  <c:v>50</c:v>
                </c:pt>
                <c:pt idx="79">
                  <c:v>49.8</c:v>
                </c:pt>
                <c:pt idx="80">
                  <c:v>51.1</c:v>
                </c:pt>
                <c:pt idx="81">
                  <c:v>50.7</c:v>
                </c:pt>
                <c:pt idx="82">
                  <c:v>50.9</c:v>
                </c:pt>
                <c:pt idx="83">
                  <c:v>48.6</c:v>
                </c:pt>
                <c:pt idx="84">
                  <c:v>50.8</c:v>
                </c:pt>
                <c:pt idx="85">
                  <c:v>52.2</c:v>
                </c:pt>
                <c:pt idx="86">
                  <c:v>52.5</c:v>
                </c:pt>
                <c:pt idx="87">
                  <c:v>52.8</c:v>
                </c:pt>
                <c:pt idx="88">
                  <c:v>52.7</c:v>
                </c:pt>
                <c:pt idx="89">
                  <c:v>52.9</c:v>
                </c:pt>
                <c:pt idx="90">
                  <c:v>54.6</c:v>
                </c:pt>
                <c:pt idx="91">
                  <c:v>53.9</c:v>
                </c:pt>
                <c:pt idx="92">
                  <c:v>52.8</c:v>
                </c:pt>
                <c:pt idx="93">
                  <c:v>52.6</c:v>
                </c:pt>
                <c:pt idx="94">
                  <c:v>52.6</c:v>
                </c:pt>
                <c:pt idx="95">
                  <c:v>54.7</c:v>
                </c:pt>
                <c:pt idx="129">
                  <c:v>51.2</c:v>
                </c:pt>
                <c:pt idx="130">
                  <c:v>49.7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2-4DF3-B0F9-B31C5570E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124672"/>
        <c:axId val="308146944"/>
      </c:areaChart>
      <c:barChart>
        <c:barDir val="col"/>
        <c:grouping val="clustered"/>
        <c:varyColors val="0"/>
        <c:ser>
          <c:idx val="2"/>
          <c:order val="2"/>
          <c:tx>
            <c:strRef>
              <c:f>ES!$D$25</c:f>
              <c:strCache>
                <c:ptCount val="1"/>
                <c:pt idx="0">
                  <c:v>Spanish GDP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381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ES!$D$26:$D$124</c:f>
              <c:numCache>
                <c:formatCode>0.0%</c:formatCode>
                <c:ptCount val="99"/>
                <c:pt idx="3">
                  <c:v>1.0999999999999999E-2</c:v>
                </c:pt>
                <c:pt idx="6">
                  <c:v>8.0000000000000002E-3</c:v>
                </c:pt>
                <c:pt idx="9">
                  <c:v>7.0000000000000001E-3</c:v>
                </c:pt>
                <c:pt idx="12">
                  <c:v>8.0000000000000002E-3</c:v>
                </c:pt>
                <c:pt idx="15">
                  <c:v>3.0000000000000001E-3</c:v>
                </c:pt>
                <c:pt idx="18">
                  <c:v>1E-3</c:v>
                </c:pt>
                <c:pt idx="21">
                  <c:v>-2E-3</c:v>
                </c:pt>
                <c:pt idx="24">
                  <c:v>-0.01</c:v>
                </c:pt>
                <c:pt idx="27">
                  <c:v>-1.7999999999999999E-2</c:v>
                </c:pt>
                <c:pt idx="30">
                  <c:v>-0.01</c:v>
                </c:pt>
                <c:pt idx="33">
                  <c:v>-3.0000000000000001E-3</c:v>
                </c:pt>
                <c:pt idx="36">
                  <c:v>-1E-3</c:v>
                </c:pt>
                <c:pt idx="39">
                  <c:v>1E-3</c:v>
                </c:pt>
                <c:pt idx="42">
                  <c:v>2E-3</c:v>
                </c:pt>
                <c:pt idx="45">
                  <c:v>0</c:v>
                </c:pt>
                <c:pt idx="48">
                  <c:v>2E-3</c:v>
                </c:pt>
                <c:pt idx="51">
                  <c:v>2E-3</c:v>
                </c:pt>
                <c:pt idx="54">
                  <c:v>-1E-3</c:v>
                </c:pt>
                <c:pt idx="57">
                  <c:v>-3.0000000000000001E-3</c:v>
                </c:pt>
                <c:pt idx="60">
                  <c:v>-4.0000000000000001E-3</c:v>
                </c:pt>
                <c:pt idx="63">
                  <c:v>-4.0000000000000001E-3</c:v>
                </c:pt>
                <c:pt idx="66">
                  <c:v>-5.0000000000000001E-3</c:v>
                </c:pt>
                <c:pt idx="69">
                  <c:v>-4.0000000000000001E-3</c:v>
                </c:pt>
                <c:pt idx="72">
                  <c:v>-8.0000000000000002E-3</c:v>
                </c:pt>
                <c:pt idx="75">
                  <c:v>-3.0000000000000001E-3</c:v>
                </c:pt>
                <c:pt idx="78">
                  <c:v>-1E-3</c:v>
                </c:pt>
                <c:pt idx="81">
                  <c:v>1E-3</c:v>
                </c:pt>
                <c:pt idx="84">
                  <c:v>2E-3</c:v>
                </c:pt>
                <c:pt idx="87">
                  <c:v>4.0000000000000001E-3</c:v>
                </c:pt>
                <c:pt idx="90">
                  <c:v>6.0000000000000001E-3</c:v>
                </c:pt>
                <c:pt idx="93" formatCode="0.00%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2-4DF3-B0F9-B31C5570E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4135936"/>
        <c:axId val="30814848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ES!$B$26:$B$224</c:f>
              <c:numCache>
                <c:formatCode>0.0</c:formatCode>
                <c:ptCount val="199"/>
                <c:pt idx="0">
                  <c:v>57.2</c:v>
                </c:pt>
                <c:pt idx="1">
                  <c:v>56.2</c:v>
                </c:pt>
                <c:pt idx="2">
                  <c:v>56.2</c:v>
                </c:pt>
                <c:pt idx="3">
                  <c:v>55.4</c:v>
                </c:pt>
                <c:pt idx="4">
                  <c:v>56</c:v>
                </c:pt>
                <c:pt idx="5">
                  <c:v>53.3</c:v>
                </c:pt>
                <c:pt idx="6">
                  <c:v>55.1</c:v>
                </c:pt>
                <c:pt idx="7">
                  <c:v>53.2</c:v>
                </c:pt>
                <c:pt idx="8">
                  <c:v>52.2</c:v>
                </c:pt>
                <c:pt idx="9">
                  <c:v>50.8</c:v>
                </c:pt>
                <c:pt idx="10">
                  <c:v>49.6</c:v>
                </c:pt>
                <c:pt idx="11">
                  <c:v>50.7</c:v>
                </c:pt>
                <c:pt idx="12">
                  <c:v>49.5</c:v>
                </c:pt>
                <c:pt idx="13">
                  <c:v>49.8</c:v>
                </c:pt>
                <c:pt idx="14">
                  <c:v>46.7</c:v>
                </c:pt>
                <c:pt idx="15">
                  <c:v>46.4</c:v>
                </c:pt>
                <c:pt idx="16">
                  <c:v>45.2</c:v>
                </c:pt>
                <c:pt idx="17">
                  <c:v>43.8</c:v>
                </c:pt>
                <c:pt idx="18">
                  <c:v>40.6</c:v>
                </c:pt>
                <c:pt idx="19">
                  <c:v>39.200000000000003</c:v>
                </c:pt>
                <c:pt idx="20">
                  <c:v>42.4</c:v>
                </c:pt>
                <c:pt idx="21">
                  <c:v>38.299999999999997</c:v>
                </c:pt>
                <c:pt idx="22">
                  <c:v>34.6</c:v>
                </c:pt>
                <c:pt idx="23">
                  <c:v>29.4</c:v>
                </c:pt>
                <c:pt idx="24">
                  <c:v>28.5</c:v>
                </c:pt>
                <c:pt idx="25">
                  <c:v>31.5</c:v>
                </c:pt>
                <c:pt idx="26">
                  <c:v>31.8</c:v>
                </c:pt>
                <c:pt idx="27">
                  <c:v>32.9</c:v>
                </c:pt>
                <c:pt idx="28">
                  <c:v>34.6</c:v>
                </c:pt>
                <c:pt idx="29">
                  <c:v>39.799999999999997</c:v>
                </c:pt>
                <c:pt idx="30">
                  <c:v>42.8</c:v>
                </c:pt>
                <c:pt idx="31">
                  <c:v>47.3</c:v>
                </c:pt>
                <c:pt idx="32">
                  <c:v>47.2</c:v>
                </c:pt>
                <c:pt idx="33">
                  <c:v>45.8</c:v>
                </c:pt>
                <c:pt idx="34">
                  <c:v>46.3</c:v>
                </c:pt>
                <c:pt idx="35">
                  <c:v>45.3</c:v>
                </c:pt>
                <c:pt idx="36">
                  <c:v>45.2</c:v>
                </c:pt>
                <c:pt idx="37">
                  <c:v>45.3</c:v>
                </c:pt>
                <c:pt idx="38">
                  <c:v>49.1</c:v>
                </c:pt>
                <c:pt idx="39">
                  <c:v>51.8</c:v>
                </c:pt>
                <c:pt idx="40">
                  <c:v>53.3</c:v>
                </c:pt>
                <c:pt idx="41">
                  <c:v>51.5</c:v>
                </c:pt>
                <c:pt idx="42">
                  <c:v>51.2</c:v>
                </c:pt>
                <c:pt idx="43">
                  <c:v>51.6</c:v>
                </c:pt>
                <c:pt idx="44">
                  <c:v>51.2</c:v>
                </c:pt>
                <c:pt idx="45">
                  <c:v>49.6</c:v>
                </c:pt>
                <c:pt idx="46">
                  <c:v>51.2</c:v>
                </c:pt>
                <c:pt idx="47">
                  <c:v>50</c:v>
                </c:pt>
                <c:pt idx="48">
                  <c:v>51.5</c:v>
                </c:pt>
                <c:pt idx="49">
                  <c:v>52</c:v>
                </c:pt>
                <c:pt idx="50">
                  <c:v>52.1</c:v>
                </c:pt>
                <c:pt idx="51">
                  <c:v>51.6</c:v>
                </c:pt>
                <c:pt idx="52">
                  <c:v>50.6</c:v>
                </c:pt>
                <c:pt idx="53">
                  <c:v>48.2</c:v>
                </c:pt>
                <c:pt idx="54">
                  <c:v>47.3</c:v>
                </c:pt>
                <c:pt idx="55">
                  <c:v>45.6</c:v>
                </c:pt>
                <c:pt idx="56">
                  <c:v>45.3</c:v>
                </c:pt>
                <c:pt idx="57">
                  <c:v>43.7</c:v>
                </c:pt>
                <c:pt idx="58">
                  <c:v>43.9</c:v>
                </c:pt>
                <c:pt idx="59">
                  <c:v>43.8</c:v>
                </c:pt>
                <c:pt idx="60">
                  <c:v>43.7</c:v>
                </c:pt>
                <c:pt idx="61">
                  <c:v>45.1</c:v>
                </c:pt>
                <c:pt idx="62">
                  <c:v>45</c:v>
                </c:pt>
                <c:pt idx="63">
                  <c:v>44.5</c:v>
                </c:pt>
                <c:pt idx="64">
                  <c:v>43.5</c:v>
                </c:pt>
                <c:pt idx="65">
                  <c:v>42</c:v>
                </c:pt>
                <c:pt idx="66">
                  <c:v>41.1</c:v>
                </c:pt>
                <c:pt idx="67">
                  <c:v>42.3</c:v>
                </c:pt>
                <c:pt idx="68">
                  <c:v>44</c:v>
                </c:pt>
                <c:pt idx="69">
                  <c:v>44.5</c:v>
                </c:pt>
                <c:pt idx="70">
                  <c:v>43.5</c:v>
                </c:pt>
                <c:pt idx="71">
                  <c:v>45.3</c:v>
                </c:pt>
                <c:pt idx="72">
                  <c:v>44.6</c:v>
                </c:pt>
                <c:pt idx="73">
                  <c:v>46.1</c:v>
                </c:pt>
                <c:pt idx="74">
                  <c:v>46.8</c:v>
                </c:pt>
                <c:pt idx="75">
                  <c:v>44.2</c:v>
                </c:pt>
                <c:pt idx="76">
                  <c:v>44.7</c:v>
                </c:pt>
                <c:pt idx="77">
                  <c:v>48.1</c:v>
                </c:pt>
                <c:pt idx="78">
                  <c:v>50</c:v>
                </c:pt>
                <c:pt idx="79">
                  <c:v>49.8</c:v>
                </c:pt>
                <c:pt idx="80">
                  <c:v>51.1</c:v>
                </c:pt>
                <c:pt idx="81">
                  <c:v>50.7</c:v>
                </c:pt>
                <c:pt idx="82">
                  <c:v>50.9</c:v>
                </c:pt>
                <c:pt idx="83">
                  <c:v>48.6</c:v>
                </c:pt>
                <c:pt idx="84">
                  <c:v>50.8</c:v>
                </c:pt>
                <c:pt idx="85">
                  <c:v>52.2</c:v>
                </c:pt>
                <c:pt idx="86">
                  <c:v>52.5</c:v>
                </c:pt>
                <c:pt idx="87">
                  <c:v>52.8</c:v>
                </c:pt>
                <c:pt idx="88">
                  <c:v>52.7</c:v>
                </c:pt>
                <c:pt idx="89">
                  <c:v>52.9</c:v>
                </c:pt>
                <c:pt idx="90">
                  <c:v>54.6</c:v>
                </c:pt>
                <c:pt idx="91">
                  <c:v>53.9</c:v>
                </c:pt>
                <c:pt idx="92">
                  <c:v>52.8</c:v>
                </c:pt>
                <c:pt idx="93">
                  <c:v>52.6</c:v>
                </c:pt>
                <c:pt idx="94">
                  <c:v>52.6</c:v>
                </c:pt>
                <c:pt idx="95">
                  <c:v>54.7</c:v>
                </c:pt>
                <c:pt idx="129">
                  <c:v>51.2</c:v>
                </c:pt>
                <c:pt idx="130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2-4DF3-B0F9-B31C5570E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24672"/>
        <c:axId val="308146944"/>
      </c:lineChart>
      <c:dateAx>
        <c:axId val="308124672"/>
        <c:scaling>
          <c:orientation val="minMax"/>
          <c:min val="39083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146944"/>
        <c:crossesAt val="50"/>
        <c:auto val="1"/>
        <c:lblOffset val="100"/>
        <c:baseTimeUnit val="months"/>
        <c:majorUnit val="1"/>
        <c:majorTimeUnit val="years"/>
      </c:dateAx>
      <c:valAx>
        <c:axId val="308146944"/>
        <c:scaling>
          <c:orientation val="minMax"/>
          <c:max val="66"/>
          <c:min val="26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8124672"/>
        <c:crosses val="autoZero"/>
        <c:crossBetween val="between"/>
        <c:majorUnit val="8"/>
      </c:valAx>
      <c:valAx>
        <c:axId val="308148480"/>
        <c:scaling>
          <c:orientation val="minMax"/>
          <c:max val="2.0000000000000004E-2"/>
          <c:min val="-3.0000000000000006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404135936"/>
        <c:crosses val="max"/>
        <c:crossBetween val="between"/>
        <c:majorUnit val="1.0000000000000002E-2"/>
      </c:valAx>
      <c:catAx>
        <c:axId val="404135936"/>
        <c:scaling>
          <c:orientation val="minMax"/>
        </c:scaling>
        <c:delete val="1"/>
        <c:axPos val="b"/>
        <c:majorTickMark val="out"/>
        <c:minorTickMark val="none"/>
        <c:tickLblPos val="nextTo"/>
        <c:crossAx val="30814848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3127149774086455"/>
          <c:y val="0.16380449047129977"/>
          <c:w val="0.1382108486439195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Greece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EL!$B$71</c:f>
              <c:strCache>
                <c:ptCount val="1"/>
                <c:pt idx="0">
                  <c:v>Greece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EL!$A$72:$A$278</c:f>
              <c:numCache>
                <c:formatCode>[$-409]mmm\-yy;@</c:formatCode>
                <c:ptCount val="207"/>
                <c:pt idx="0">
                  <c:v>40482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EL!$B$72:$B$278</c:f>
              <c:numCache>
                <c:formatCode>0.0</c:formatCode>
                <c:ptCount val="207"/>
                <c:pt idx="0">
                  <c:v>43.6</c:v>
                </c:pt>
                <c:pt idx="1">
                  <c:v>43.9</c:v>
                </c:pt>
                <c:pt idx="2">
                  <c:v>43.1</c:v>
                </c:pt>
                <c:pt idx="3">
                  <c:v>42.8</c:v>
                </c:pt>
                <c:pt idx="4">
                  <c:v>43.8</c:v>
                </c:pt>
                <c:pt idx="5">
                  <c:v>45.4</c:v>
                </c:pt>
                <c:pt idx="6">
                  <c:v>46.8</c:v>
                </c:pt>
                <c:pt idx="7">
                  <c:v>44.5</c:v>
                </c:pt>
                <c:pt idx="8">
                  <c:v>45.5</c:v>
                </c:pt>
                <c:pt idx="9">
                  <c:v>45.2</c:v>
                </c:pt>
                <c:pt idx="10">
                  <c:v>43.3</c:v>
                </c:pt>
                <c:pt idx="11">
                  <c:v>43.2</c:v>
                </c:pt>
                <c:pt idx="12">
                  <c:v>40.5</c:v>
                </c:pt>
                <c:pt idx="13">
                  <c:v>40.9</c:v>
                </c:pt>
                <c:pt idx="14">
                  <c:v>42</c:v>
                </c:pt>
                <c:pt idx="15">
                  <c:v>41</c:v>
                </c:pt>
                <c:pt idx="16">
                  <c:v>37.700000000000003</c:v>
                </c:pt>
                <c:pt idx="17">
                  <c:v>41.3</c:v>
                </c:pt>
                <c:pt idx="18">
                  <c:v>40.700000000000003</c:v>
                </c:pt>
                <c:pt idx="19">
                  <c:v>43.1</c:v>
                </c:pt>
                <c:pt idx="20">
                  <c:v>40.1</c:v>
                </c:pt>
                <c:pt idx="21">
                  <c:v>41.9</c:v>
                </c:pt>
                <c:pt idx="22">
                  <c:v>42.1</c:v>
                </c:pt>
                <c:pt idx="23">
                  <c:v>42.2</c:v>
                </c:pt>
                <c:pt idx="24">
                  <c:v>41</c:v>
                </c:pt>
                <c:pt idx="25">
                  <c:v>41.8</c:v>
                </c:pt>
                <c:pt idx="26">
                  <c:v>41.4</c:v>
                </c:pt>
                <c:pt idx="27">
                  <c:v>41.7</c:v>
                </c:pt>
                <c:pt idx="28">
                  <c:v>43</c:v>
                </c:pt>
                <c:pt idx="29">
                  <c:v>42.1</c:v>
                </c:pt>
                <c:pt idx="30">
                  <c:v>45</c:v>
                </c:pt>
                <c:pt idx="31">
                  <c:v>45.3</c:v>
                </c:pt>
                <c:pt idx="32">
                  <c:v>45.4</c:v>
                </c:pt>
                <c:pt idx="33">
                  <c:v>47</c:v>
                </c:pt>
                <c:pt idx="34">
                  <c:v>48.7</c:v>
                </c:pt>
                <c:pt idx="35">
                  <c:v>47.5</c:v>
                </c:pt>
                <c:pt idx="36">
                  <c:v>47.3</c:v>
                </c:pt>
                <c:pt idx="37">
                  <c:v>49.2</c:v>
                </c:pt>
                <c:pt idx="38">
                  <c:v>49.6</c:v>
                </c:pt>
                <c:pt idx="39">
                  <c:v>51.2</c:v>
                </c:pt>
                <c:pt idx="40">
                  <c:v>51.3</c:v>
                </c:pt>
                <c:pt idx="41">
                  <c:v>49.7</c:v>
                </c:pt>
                <c:pt idx="42">
                  <c:v>51.1</c:v>
                </c:pt>
                <c:pt idx="43">
                  <c:v>51</c:v>
                </c:pt>
                <c:pt idx="44">
                  <c:v>49.4</c:v>
                </c:pt>
                <c:pt idx="45">
                  <c:v>48.7</c:v>
                </c:pt>
                <c:pt idx="46">
                  <c:v>50.1</c:v>
                </c:pt>
                <c:pt idx="47">
                  <c:v>48.4</c:v>
                </c:pt>
                <c:pt idx="48">
                  <c:v>48.8</c:v>
                </c:pt>
                <c:pt idx="49">
                  <c:v>49.1</c:v>
                </c:pt>
                <c:pt idx="83">
                  <c:v>53.3</c:v>
                </c:pt>
                <c:pt idx="84">
                  <c:v>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8-4011-A4B6-C23F052B3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37248"/>
        <c:axId val="40444723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EL!$B$72:$B$278</c:f>
              <c:numCache>
                <c:formatCode>0.0</c:formatCode>
                <c:ptCount val="207"/>
                <c:pt idx="0">
                  <c:v>43.6</c:v>
                </c:pt>
                <c:pt idx="1">
                  <c:v>43.9</c:v>
                </c:pt>
                <c:pt idx="2">
                  <c:v>43.1</c:v>
                </c:pt>
                <c:pt idx="3">
                  <c:v>42.8</c:v>
                </c:pt>
                <c:pt idx="4">
                  <c:v>43.8</c:v>
                </c:pt>
                <c:pt idx="5">
                  <c:v>45.4</c:v>
                </c:pt>
                <c:pt idx="6">
                  <c:v>46.8</c:v>
                </c:pt>
                <c:pt idx="7">
                  <c:v>44.5</c:v>
                </c:pt>
                <c:pt idx="8">
                  <c:v>45.5</c:v>
                </c:pt>
                <c:pt idx="9">
                  <c:v>45.2</c:v>
                </c:pt>
                <c:pt idx="10">
                  <c:v>43.3</c:v>
                </c:pt>
                <c:pt idx="11">
                  <c:v>43.2</c:v>
                </c:pt>
                <c:pt idx="12">
                  <c:v>40.5</c:v>
                </c:pt>
                <c:pt idx="13">
                  <c:v>40.9</c:v>
                </c:pt>
                <c:pt idx="14">
                  <c:v>42</c:v>
                </c:pt>
                <c:pt idx="15">
                  <c:v>41</c:v>
                </c:pt>
                <c:pt idx="16">
                  <c:v>37.700000000000003</c:v>
                </c:pt>
                <c:pt idx="17">
                  <c:v>41.3</c:v>
                </c:pt>
                <c:pt idx="18">
                  <c:v>40.700000000000003</c:v>
                </c:pt>
                <c:pt idx="19">
                  <c:v>43.1</c:v>
                </c:pt>
                <c:pt idx="20">
                  <c:v>40.1</c:v>
                </c:pt>
                <c:pt idx="21">
                  <c:v>41.9</c:v>
                </c:pt>
                <c:pt idx="22">
                  <c:v>42.1</c:v>
                </c:pt>
                <c:pt idx="23">
                  <c:v>42.2</c:v>
                </c:pt>
                <c:pt idx="24">
                  <c:v>41</c:v>
                </c:pt>
                <c:pt idx="25">
                  <c:v>41.8</c:v>
                </c:pt>
                <c:pt idx="26">
                  <c:v>41.4</c:v>
                </c:pt>
                <c:pt idx="27">
                  <c:v>41.7</c:v>
                </c:pt>
                <c:pt idx="28">
                  <c:v>43</c:v>
                </c:pt>
                <c:pt idx="29">
                  <c:v>42.1</c:v>
                </c:pt>
                <c:pt idx="30">
                  <c:v>45</c:v>
                </c:pt>
                <c:pt idx="31">
                  <c:v>45.3</c:v>
                </c:pt>
                <c:pt idx="32">
                  <c:v>45.4</c:v>
                </c:pt>
                <c:pt idx="33">
                  <c:v>47</c:v>
                </c:pt>
                <c:pt idx="34">
                  <c:v>48.7</c:v>
                </c:pt>
                <c:pt idx="35">
                  <c:v>47.5</c:v>
                </c:pt>
                <c:pt idx="36">
                  <c:v>47.3</c:v>
                </c:pt>
                <c:pt idx="37">
                  <c:v>49.2</c:v>
                </c:pt>
                <c:pt idx="38">
                  <c:v>49.6</c:v>
                </c:pt>
                <c:pt idx="39">
                  <c:v>51.2</c:v>
                </c:pt>
                <c:pt idx="40">
                  <c:v>51.3</c:v>
                </c:pt>
                <c:pt idx="41">
                  <c:v>49.7</c:v>
                </c:pt>
                <c:pt idx="42">
                  <c:v>51.1</c:v>
                </c:pt>
                <c:pt idx="43">
                  <c:v>51</c:v>
                </c:pt>
                <c:pt idx="44">
                  <c:v>49.4</c:v>
                </c:pt>
                <c:pt idx="45">
                  <c:v>48.7</c:v>
                </c:pt>
                <c:pt idx="46">
                  <c:v>50.1</c:v>
                </c:pt>
                <c:pt idx="47">
                  <c:v>48.4</c:v>
                </c:pt>
                <c:pt idx="48">
                  <c:v>48.8</c:v>
                </c:pt>
                <c:pt idx="49">
                  <c:v>49.1</c:v>
                </c:pt>
                <c:pt idx="83">
                  <c:v>53.3</c:v>
                </c:pt>
                <c:pt idx="84">
                  <c:v>53.8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8-4011-A4B6-C23F052B3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437248"/>
        <c:axId val="404447232"/>
      </c:lineChart>
      <c:dateAx>
        <c:axId val="404437248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4447232"/>
        <c:crossesAt val="50"/>
        <c:auto val="1"/>
        <c:lblOffset val="100"/>
        <c:baseTimeUnit val="months"/>
        <c:majorUnit val="1"/>
        <c:majorTimeUnit val="years"/>
      </c:dateAx>
      <c:valAx>
        <c:axId val="404447232"/>
        <c:scaling>
          <c:orientation val="minMax"/>
          <c:max val="58"/>
          <c:min val="3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4437248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56E-2"/>
          <c:y val="0.76045636133995975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Greece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EL!$B$71</c:f>
              <c:strCache>
                <c:ptCount val="1"/>
                <c:pt idx="0">
                  <c:v>Greece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EL!$A$72:$A$278</c:f>
              <c:numCache>
                <c:formatCode>[$-409]mmm\-yy;@</c:formatCode>
                <c:ptCount val="207"/>
                <c:pt idx="0">
                  <c:v>40482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EL!$B$72:$B$278</c:f>
              <c:numCache>
                <c:formatCode>0.0</c:formatCode>
                <c:ptCount val="207"/>
                <c:pt idx="0">
                  <c:v>43.6</c:v>
                </c:pt>
                <c:pt idx="1">
                  <c:v>43.9</c:v>
                </c:pt>
                <c:pt idx="2">
                  <c:v>43.1</c:v>
                </c:pt>
                <c:pt idx="3">
                  <c:v>42.8</c:v>
                </c:pt>
                <c:pt idx="4">
                  <c:v>43.8</c:v>
                </c:pt>
                <c:pt idx="5">
                  <c:v>45.4</c:v>
                </c:pt>
                <c:pt idx="6">
                  <c:v>46.8</c:v>
                </c:pt>
                <c:pt idx="7">
                  <c:v>44.5</c:v>
                </c:pt>
                <c:pt idx="8">
                  <c:v>45.5</c:v>
                </c:pt>
                <c:pt idx="9">
                  <c:v>45.2</c:v>
                </c:pt>
                <c:pt idx="10">
                  <c:v>43.3</c:v>
                </c:pt>
                <c:pt idx="11">
                  <c:v>43.2</c:v>
                </c:pt>
                <c:pt idx="12">
                  <c:v>40.5</c:v>
                </c:pt>
                <c:pt idx="13">
                  <c:v>40.9</c:v>
                </c:pt>
                <c:pt idx="14">
                  <c:v>42</c:v>
                </c:pt>
                <c:pt idx="15">
                  <c:v>41</c:v>
                </c:pt>
                <c:pt idx="16">
                  <c:v>37.700000000000003</c:v>
                </c:pt>
                <c:pt idx="17">
                  <c:v>41.3</c:v>
                </c:pt>
                <c:pt idx="18">
                  <c:v>40.700000000000003</c:v>
                </c:pt>
                <c:pt idx="19">
                  <c:v>43.1</c:v>
                </c:pt>
                <c:pt idx="20">
                  <c:v>40.1</c:v>
                </c:pt>
                <c:pt idx="21">
                  <c:v>41.9</c:v>
                </c:pt>
                <c:pt idx="22">
                  <c:v>42.1</c:v>
                </c:pt>
                <c:pt idx="23">
                  <c:v>42.2</c:v>
                </c:pt>
                <c:pt idx="24">
                  <c:v>41</c:v>
                </c:pt>
                <c:pt idx="25">
                  <c:v>41.8</c:v>
                </c:pt>
                <c:pt idx="26">
                  <c:v>41.4</c:v>
                </c:pt>
                <c:pt idx="27">
                  <c:v>41.7</c:v>
                </c:pt>
                <c:pt idx="28">
                  <c:v>43</c:v>
                </c:pt>
                <c:pt idx="29">
                  <c:v>42.1</c:v>
                </c:pt>
                <c:pt idx="30">
                  <c:v>45</c:v>
                </c:pt>
                <c:pt idx="31">
                  <c:v>45.3</c:v>
                </c:pt>
                <c:pt idx="32">
                  <c:v>45.4</c:v>
                </c:pt>
                <c:pt idx="33">
                  <c:v>47</c:v>
                </c:pt>
                <c:pt idx="34">
                  <c:v>48.7</c:v>
                </c:pt>
                <c:pt idx="35">
                  <c:v>47.5</c:v>
                </c:pt>
                <c:pt idx="36">
                  <c:v>47.3</c:v>
                </c:pt>
                <c:pt idx="37">
                  <c:v>49.2</c:v>
                </c:pt>
                <c:pt idx="38">
                  <c:v>49.6</c:v>
                </c:pt>
                <c:pt idx="39">
                  <c:v>51.2</c:v>
                </c:pt>
                <c:pt idx="40">
                  <c:v>51.3</c:v>
                </c:pt>
                <c:pt idx="41">
                  <c:v>49.7</c:v>
                </c:pt>
                <c:pt idx="42">
                  <c:v>51.1</c:v>
                </c:pt>
                <c:pt idx="43">
                  <c:v>51</c:v>
                </c:pt>
                <c:pt idx="44">
                  <c:v>49.4</c:v>
                </c:pt>
                <c:pt idx="45">
                  <c:v>48.7</c:v>
                </c:pt>
                <c:pt idx="46">
                  <c:v>50.1</c:v>
                </c:pt>
                <c:pt idx="47">
                  <c:v>48.4</c:v>
                </c:pt>
                <c:pt idx="48">
                  <c:v>48.8</c:v>
                </c:pt>
                <c:pt idx="49">
                  <c:v>49.1</c:v>
                </c:pt>
                <c:pt idx="83">
                  <c:v>53.3</c:v>
                </c:pt>
                <c:pt idx="84">
                  <c:v>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4-4DE0-AFDE-E5DE44F1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16096"/>
        <c:axId val="410117632"/>
      </c:areaChart>
      <c:barChart>
        <c:barDir val="col"/>
        <c:grouping val="clustered"/>
        <c:varyColors val="0"/>
        <c:ser>
          <c:idx val="2"/>
          <c:order val="2"/>
          <c:tx>
            <c:strRef>
              <c:f>EL!$D$71</c:f>
              <c:strCache>
                <c:ptCount val="1"/>
                <c:pt idx="0">
                  <c:v>Greece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EL!$D$72:$D$278</c:f>
              <c:numCache>
                <c:formatCode>0.0%</c:formatCode>
                <c:ptCount val="207"/>
                <c:pt idx="2">
                  <c:v>-9.1999999999999998E-2</c:v>
                </c:pt>
                <c:pt idx="5">
                  <c:v>-8.3000000000000004E-2</c:v>
                </c:pt>
                <c:pt idx="8">
                  <c:v>-0.08</c:v>
                </c:pt>
                <c:pt idx="11">
                  <c:v>-4.2999999999999997E-2</c:v>
                </c:pt>
                <c:pt idx="14">
                  <c:v>-0.08</c:v>
                </c:pt>
                <c:pt idx="17">
                  <c:v>-7.8E-2</c:v>
                </c:pt>
                <c:pt idx="20">
                  <c:v>-7.3999999999999996E-2</c:v>
                </c:pt>
                <c:pt idx="23">
                  <c:v>-7.6999999999999999E-2</c:v>
                </c:pt>
                <c:pt idx="26">
                  <c:v>-4.9000000000000002E-2</c:v>
                </c:pt>
                <c:pt idx="29">
                  <c:v>-0.06</c:v>
                </c:pt>
                <c:pt idx="32">
                  <c:v>-0.04</c:v>
                </c:pt>
                <c:pt idx="35">
                  <c:v>-3.2000000000000001E-2</c:v>
                </c:pt>
                <c:pt idx="38">
                  <c:v>-2.3E-2</c:v>
                </c:pt>
                <c:pt idx="41" formatCode="0.00%">
                  <c:v>-1.0999999999999999E-2</c:v>
                </c:pt>
                <c:pt idx="44" formatCode="0.00%">
                  <c:v>2E-3</c:v>
                </c:pt>
                <c:pt idx="47" formatCode="0.00%">
                  <c:v>6.9999999999999993E-3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4-4DE0-AFDE-E5DE44F1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1448064"/>
        <c:axId val="410119168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EL!$B$72:$B$278</c:f>
              <c:numCache>
                <c:formatCode>0.0</c:formatCode>
                <c:ptCount val="207"/>
                <c:pt idx="0">
                  <c:v>43.6</c:v>
                </c:pt>
                <c:pt idx="1">
                  <c:v>43.9</c:v>
                </c:pt>
                <c:pt idx="2">
                  <c:v>43.1</c:v>
                </c:pt>
                <c:pt idx="3">
                  <c:v>42.8</c:v>
                </c:pt>
                <c:pt idx="4">
                  <c:v>43.8</c:v>
                </c:pt>
                <c:pt idx="5">
                  <c:v>45.4</c:v>
                </c:pt>
                <c:pt idx="6">
                  <c:v>46.8</c:v>
                </c:pt>
                <c:pt idx="7">
                  <c:v>44.5</c:v>
                </c:pt>
                <c:pt idx="8">
                  <c:v>45.5</c:v>
                </c:pt>
                <c:pt idx="9">
                  <c:v>45.2</c:v>
                </c:pt>
                <c:pt idx="10">
                  <c:v>43.3</c:v>
                </c:pt>
                <c:pt idx="11">
                  <c:v>43.2</c:v>
                </c:pt>
                <c:pt idx="12">
                  <c:v>40.5</c:v>
                </c:pt>
                <c:pt idx="13">
                  <c:v>40.9</c:v>
                </c:pt>
                <c:pt idx="14">
                  <c:v>42</c:v>
                </c:pt>
                <c:pt idx="15">
                  <c:v>41</c:v>
                </c:pt>
                <c:pt idx="16">
                  <c:v>37.700000000000003</c:v>
                </c:pt>
                <c:pt idx="17">
                  <c:v>41.3</c:v>
                </c:pt>
                <c:pt idx="18">
                  <c:v>40.700000000000003</c:v>
                </c:pt>
                <c:pt idx="19">
                  <c:v>43.1</c:v>
                </c:pt>
                <c:pt idx="20">
                  <c:v>40.1</c:v>
                </c:pt>
                <c:pt idx="21">
                  <c:v>41.9</c:v>
                </c:pt>
                <c:pt idx="22">
                  <c:v>42.1</c:v>
                </c:pt>
                <c:pt idx="23">
                  <c:v>42.2</c:v>
                </c:pt>
                <c:pt idx="24">
                  <c:v>41</c:v>
                </c:pt>
                <c:pt idx="25">
                  <c:v>41.8</c:v>
                </c:pt>
                <c:pt idx="26">
                  <c:v>41.4</c:v>
                </c:pt>
                <c:pt idx="27">
                  <c:v>41.7</c:v>
                </c:pt>
                <c:pt idx="28">
                  <c:v>43</c:v>
                </c:pt>
                <c:pt idx="29">
                  <c:v>42.1</c:v>
                </c:pt>
                <c:pt idx="30">
                  <c:v>45</c:v>
                </c:pt>
                <c:pt idx="31">
                  <c:v>45.3</c:v>
                </c:pt>
                <c:pt idx="32">
                  <c:v>45.4</c:v>
                </c:pt>
                <c:pt idx="33">
                  <c:v>47</c:v>
                </c:pt>
                <c:pt idx="34">
                  <c:v>48.7</c:v>
                </c:pt>
                <c:pt idx="35">
                  <c:v>47.5</c:v>
                </c:pt>
                <c:pt idx="36">
                  <c:v>47.3</c:v>
                </c:pt>
                <c:pt idx="37">
                  <c:v>49.2</c:v>
                </c:pt>
                <c:pt idx="38">
                  <c:v>49.6</c:v>
                </c:pt>
                <c:pt idx="39">
                  <c:v>51.2</c:v>
                </c:pt>
                <c:pt idx="40">
                  <c:v>51.3</c:v>
                </c:pt>
                <c:pt idx="41">
                  <c:v>49.7</c:v>
                </c:pt>
                <c:pt idx="42">
                  <c:v>51.1</c:v>
                </c:pt>
                <c:pt idx="43">
                  <c:v>51</c:v>
                </c:pt>
                <c:pt idx="44">
                  <c:v>49.4</c:v>
                </c:pt>
                <c:pt idx="45">
                  <c:v>48.7</c:v>
                </c:pt>
                <c:pt idx="46">
                  <c:v>50.1</c:v>
                </c:pt>
                <c:pt idx="47">
                  <c:v>48.4</c:v>
                </c:pt>
                <c:pt idx="48">
                  <c:v>48.8</c:v>
                </c:pt>
                <c:pt idx="49">
                  <c:v>49.1</c:v>
                </c:pt>
                <c:pt idx="83">
                  <c:v>53.3</c:v>
                </c:pt>
                <c:pt idx="84">
                  <c:v>53.8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4-4DE0-AFDE-E5DE44F11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116096"/>
        <c:axId val="410117632"/>
      </c:lineChart>
      <c:dateAx>
        <c:axId val="410116096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0117632"/>
        <c:crossesAt val="50"/>
        <c:auto val="1"/>
        <c:lblOffset val="100"/>
        <c:baseTimeUnit val="months"/>
        <c:majorUnit val="1"/>
        <c:majorTimeUnit val="years"/>
      </c:dateAx>
      <c:valAx>
        <c:axId val="410117632"/>
        <c:scaling>
          <c:orientation val="minMax"/>
          <c:max val="58"/>
          <c:min val="3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0116096"/>
        <c:crosses val="autoZero"/>
        <c:crossBetween val="between"/>
        <c:majorUnit val="4"/>
      </c:valAx>
      <c:valAx>
        <c:axId val="410119168"/>
        <c:scaling>
          <c:orientation val="minMax"/>
          <c:max val="6.0000000000000012E-2"/>
          <c:min val="-0.12000000000000001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411448064"/>
        <c:crosses val="max"/>
        <c:crossBetween val="between"/>
      </c:valAx>
      <c:catAx>
        <c:axId val="411448064"/>
        <c:scaling>
          <c:orientation val="minMax"/>
        </c:scaling>
        <c:delete val="1"/>
        <c:axPos val="b"/>
        <c:majorTickMark val="out"/>
        <c:minorTickMark val="none"/>
        <c:tickLblPos val="nextTo"/>
        <c:crossAx val="410119168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2548246409782585"/>
          <c:y val="0.15055298794172467"/>
          <c:w val="0.18719697862301271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Ireland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IR!$B$71</c:f>
              <c:strCache>
                <c:ptCount val="1"/>
                <c:pt idx="0">
                  <c:v>Ireland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IR!$A$72:$A$284</c:f>
              <c:numCache>
                <c:formatCode>mmm\-yy</c:formatCode>
                <c:ptCount val="213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IR!$B$72:$B$284</c:f>
              <c:numCache>
                <c:formatCode>0.0</c:formatCode>
                <c:ptCount val="213"/>
                <c:pt idx="0">
                  <c:v>50.9</c:v>
                </c:pt>
                <c:pt idx="1">
                  <c:v>51.2</c:v>
                </c:pt>
                <c:pt idx="2">
                  <c:v>52.2</c:v>
                </c:pt>
                <c:pt idx="3">
                  <c:v>55.8</c:v>
                </c:pt>
                <c:pt idx="4">
                  <c:v>56.7</c:v>
                </c:pt>
                <c:pt idx="5">
                  <c:v>55.7</c:v>
                </c:pt>
                <c:pt idx="6">
                  <c:v>56</c:v>
                </c:pt>
                <c:pt idx="7">
                  <c:v>51.8</c:v>
                </c:pt>
                <c:pt idx="8">
                  <c:v>49.8</c:v>
                </c:pt>
                <c:pt idx="9">
                  <c:v>48.2</c:v>
                </c:pt>
                <c:pt idx="10">
                  <c:v>49.7</c:v>
                </c:pt>
                <c:pt idx="11">
                  <c:v>47.3</c:v>
                </c:pt>
                <c:pt idx="12">
                  <c:v>50.1</c:v>
                </c:pt>
                <c:pt idx="13">
                  <c:v>48.5</c:v>
                </c:pt>
                <c:pt idx="14">
                  <c:v>49.8</c:v>
                </c:pt>
                <c:pt idx="15">
                  <c:v>49.3</c:v>
                </c:pt>
                <c:pt idx="16">
                  <c:v>49.7</c:v>
                </c:pt>
                <c:pt idx="17">
                  <c:v>51.5</c:v>
                </c:pt>
                <c:pt idx="18">
                  <c:v>50.1</c:v>
                </c:pt>
                <c:pt idx="19">
                  <c:v>51.2</c:v>
                </c:pt>
                <c:pt idx="20">
                  <c:v>53.1</c:v>
                </c:pt>
                <c:pt idx="21">
                  <c:v>53.9</c:v>
                </c:pt>
                <c:pt idx="22">
                  <c:v>50.9</c:v>
                </c:pt>
                <c:pt idx="23">
                  <c:v>51.8</c:v>
                </c:pt>
                <c:pt idx="24">
                  <c:v>52.1</c:v>
                </c:pt>
                <c:pt idx="25">
                  <c:v>52.4</c:v>
                </c:pt>
                <c:pt idx="26">
                  <c:v>51.4</c:v>
                </c:pt>
                <c:pt idx="27">
                  <c:v>50.3</c:v>
                </c:pt>
                <c:pt idx="28">
                  <c:v>51.5</c:v>
                </c:pt>
                <c:pt idx="29">
                  <c:v>48.6</c:v>
                </c:pt>
                <c:pt idx="30">
                  <c:v>48</c:v>
                </c:pt>
                <c:pt idx="31">
                  <c:v>49.7</c:v>
                </c:pt>
                <c:pt idx="32">
                  <c:v>50.3</c:v>
                </c:pt>
                <c:pt idx="33">
                  <c:v>51</c:v>
                </c:pt>
                <c:pt idx="34">
                  <c:v>52</c:v>
                </c:pt>
                <c:pt idx="35">
                  <c:v>52.7</c:v>
                </c:pt>
                <c:pt idx="36">
                  <c:v>54.9</c:v>
                </c:pt>
                <c:pt idx="37">
                  <c:v>52.4</c:v>
                </c:pt>
                <c:pt idx="38">
                  <c:v>53.5</c:v>
                </c:pt>
                <c:pt idx="39">
                  <c:v>52.8</c:v>
                </c:pt>
                <c:pt idx="40">
                  <c:v>52.9</c:v>
                </c:pt>
                <c:pt idx="41">
                  <c:v>55.5</c:v>
                </c:pt>
                <c:pt idx="42">
                  <c:v>56.1</c:v>
                </c:pt>
                <c:pt idx="43">
                  <c:v>55</c:v>
                </c:pt>
                <c:pt idx="44">
                  <c:v>55.3</c:v>
                </c:pt>
                <c:pt idx="45">
                  <c:v>55.4</c:v>
                </c:pt>
                <c:pt idx="46">
                  <c:v>57.3</c:v>
                </c:pt>
                <c:pt idx="47">
                  <c:v>55.7</c:v>
                </c:pt>
                <c:pt idx="48">
                  <c:v>56.6</c:v>
                </c:pt>
                <c:pt idx="49">
                  <c:v>56.2</c:v>
                </c:pt>
                <c:pt idx="83">
                  <c:v>55.9</c:v>
                </c:pt>
                <c:pt idx="84">
                  <c:v>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A-489B-B7E8-5F603291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806720"/>
        <c:axId val="411824896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IR!$B$72:$B$284</c:f>
              <c:numCache>
                <c:formatCode>0.0</c:formatCode>
                <c:ptCount val="213"/>
                <c:pt idx="0">
                  <c:v>50.9</c:v>
                </c:pt>
                <c:pt idx="1">
                  <c:v>51.2</c:v>
                </c:pt>
                <c:pt idx="2">
                  <c:v>52.2</c:v>
                </c:pt>
                <c:pt idx="3">
                  <c:v>55.8</c:v>
                </c:pt>
                <c:pt idx="4">
                  <c:v>56.7</c:v>
                </c:pt>
                <c:pt idx="5">
                  <c:v>55.7</c:v>
                </c:pt>
                <c:pt idx="6">
                  <c:v>56</c:v>
                </c:pt>
                <c:pt idx="7">
                  <c:v>51.8</c:v>
                </c:pt>
                <c:pt idx="8">
                  <c:v>49.8</c:v>
                </c:pt>
                <c:pt idx="9">
                  <c:v>48.2</c:v>
                </c:pt>
                <c:pt idx="10">
                  <c:v>49.7</c:v>
                </c:pt>
                <c:pt idx="11">
                  <c:v>47.3</c:v>
                </c:pt>
                <c:pt idx="12">
                  <c:v>50.1</c:v>
                </c:pt>
                <c:pt idx="13">
                  <c:v>48.5</c:v>
                </c:pt>
                <c:pt idx="14">
                  <c:v>49.8</c:v>
                </c:pt>
                <c:pt idx="15">
                  <c:v>49.3</c:v>
                </c:pt>
                <c:pt idx="16">
                  <c:v>49.7</c:v>
                </c:pt>
                <c:pt idx="17">
                  <c:v>51.5</c:v>
                </c:pt>
                <c:pt idx="18">
                  <c:v>50.1</c:v>
                </c:pt>
                <c:pt idx="19">
                  <c:v>51.2</c:v>
                </c:pt>
                <c:pt idx="20">
                  <c:v>53.1</c:v>
                </c:pt>
                <c:pt idx="21">
                  <c:v>53.9</c:v>
                </c:pt>
                <c:pt idx="22">
                  <c:v>50.9</c:v>
                </c:pt>
                <c:pt idx="23">
                  <c:v>51.8</c:v>
                </c:pt>
                <c:pt idx="24">
                  <c:v>52.1</c:v>
                </c:pt>
                <c:pt idx="25">
                  <c:v>52.4</c:v>
                </c:pt>
                <c:pt idx="26">
                  <c:v>51.4</c:v>
                </c:pt>
                <c:pt idx="27">
                  <c:v>50.3</c:v>
                </c:pt>
                <c:pt idx="28">
                  <c:v>51.5</c:v>
                </c:pt>
                <c:pt idx="29">
                  <c:v>48.6</c:v>
                </c:pt>
                <c:pt idx="30">
                  <c:v>48</c:v>
                </c:pt>
                <c:pt idx="31">
                  <c:v>49.7</c:v>
                </c:pt>
                <c:pt idx="32">
                  <c:v>50.3</c:v>
                </c:pt>
                <c:pt idx="33">
                  <c:v>51</c:v>
                </c:pt>
                <c:pt idx="34">
                  <c:v>52</c:v>
                </c:pt>
                <c:pt idx="35">
                  <c:v>52.7</c:v>
                </c:pt>
                <c:pt idx="36">
                  <c:v>54.9</c:v>
                </c:pt>
                <c:pt idx="37">
                  <c:v>52.4</c:v>
                </c:pt>
                <c:pt idx="38">
                  <c:v>53.5</c:v>
                </c:pt>
                <c:pt idx="39">
                  <c:v>52.8</c:v>
                </c:pt>
                <c:pt idx="40">
                  <c:v>52.9</c:v>
                </c:pt>
                <c:pt idx="41">
                  <c:v>55.5</c:v>
                </c:pt>
                <c:pt idx="42">
                  <c:v>56.1</c:v>
                </c:pt>
                <c:pt idx="43">
                  <c:v>55</c:v>
                </c:pt>
                <c:pt idx="44">
                  <c:v>55.3</c:v>
                </c:pt>
                <c:pt idx="45">
                  <c:v>55.4</c:v>
                </c:pt>
                <c:pt idx="46">
                  <c:v>57.3</c:v>
                </c:pt>
                <c:pt idx="47">
                  <c:v>55.7</c:v>
                </c:pt>
                <c:pt idx="48">
                  <c:v>56.6</c:v>
                </c:pt>
                <c:pt idx="49">
                  <c:v>56.2</c:v>
                </c:pt>
                <c:pt idx="83">
                  <c:v>55.9</c:v>
                </c:pt>
                <c:pt idx="84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A-489B-B7E8-5F603291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806720"/>
        <c:axId val="411824896"/>
      </c:lineChart>
      <c:dateAx>
        <c:axId val="411806720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824896"/>
        <c:crossesAt val="50"/>
        <c:auto val="1"/>
        <c:lblOffset val="100"/>
        <c:baseTimeUnit val="months"/>
        <c:majorUnit val="1"/>
        <c:majorTimeUnit val="years"/>
      </c:dateAx>
      <c:valAx>
        <c:axId val="411824896"/>
        <c:scaling>
          <c:orientation val="minMax"/>
          <c:max val="58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1806720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56E-2"/>
          <c:y val="0.76045636133995975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Ireland Manufacturing PMI</a:t>
            </a:r>
            <a:r>
              <a:rPr lang="en-US" baseline="0"/>
              <a:t> vs. GDP Growth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IR!$B$71</c:f>
              <c:strCache>
                <c:ptCount val="1"/>
                <c:pt idx="0">
                  <c:v>Ireland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IR!$A$72:$A$284</c:f>
              <c:numCache>
                <c:formatCode>mmm\-yy</c:formatCode>
                <c:ptCount val="213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IR!$B$72:$B$284</c:f>
              <c:numCache>
                <c:formatCode>0.0</c:formatCode>
                <c:ptCount val="213"/>
                <c:pt idx="0">
                  <c:v>50.9</c:v>
                </c:pt>
                <c:pt idx="1">
                  <c:v>51.2</c:v>
                </c:pt>
                <c:pt idx="2">
                  <c:v>52.2</c:v>
                </c:pt>
                <c:pt idx="3">
                  <c:v>55.8</c:v>
                </c:pt>
                <c:pt idx="4">
                  <c:v>56.7</c:v>
                </c:pt>
                <c:pt idx="5">
                  <c:v>55.7</c:v>
                </c:pt>
                <c:pt idx="6">
                  <c:v>56</c:v>
                </c:pt>
                <c:pt idx="7">
                  <c:v>51.8</c:v>
                </c:pt>
                <c:pt idx="8">
                  <c:v>49.8</c:v>
                </c:pt>
                <c:pt idx="9">
                  <c:v>48.2</c:v>
                </c:pt>
                <c:pt idx="10">
                  <c:v>49.7</c:v>
                </c:pt>
                <c:pt idx="11">
                  <c:v>47.3</c:v>
                </c:pt>
                <c:pt idx="12">
                  <c:v>50.1</c:v>
                </c:pt>
                <c:pt idx="13">
                  <c:v>48.5</c:v>
                </c:pt>
                <c:pt idx="14">
                  <c:v>49.8</c:v>
                </c:pt>
                <c:pt idx="15">
                  <c:v>49.3</c:v>
                </c:pt>
                <c:pt idx="16">
                  <c:v>49.7</c:v>
                </c:pt>
                <c:pt idx="17">
                  <c:v>51.5</c:v>
                </c:pt>
                <c:pt idx="18">
                  <c:v>50.1</c:v>
                </c:pt>
                <c:pt idx="19">
                  <c:v>51.2</c:v>
                </c:pt>
                <c:pt idx="20">
                  <c:v>53.1</c:v>
                </c:pt>
                <c:pt idx="21">
                  <c:v>53.9</c:v>
                </c:pt>
                <c:pt idx="22">
                  <c:v>50.9</c:v>
                </c:pt>
                <c:pt idx="23">
                  <c:v>51.8</c:v>
                </c:pt>
                <c:pt idx="24">
                  <c:v>52.1</c:v>
                </c:pt>
                <c:pt idx="25">
                  <c:v>52.4</c:v>
                </c:pt>
                <c:pt idx="26">
                  <c:v>51.4</c:v>
                </c:pt>
                <c:pt idx="27">
                  <c:v>50.3</c:v>
                </c:pt>
                <c:pt idx="28">
                  <c:v>51.5</c:v>
                </c:pt>
                <c:pt idx="29">
                  <c:v>48.6</c:v>
                </c:pt>
                <c:pt idx="30">
                  <c:v>48</c:v>
                </c:pt>
                <c:pt idx="31">
                  <c:v>49.7</c:v>
                </c:pt>
                <c:pt idx="32">
                  <c:v>50.3</c:v>
                </c:pt>
                <c:pt idx="33">
                  <c:v>51</c:v>
                </c:pt>
                <c:pt idx="34">
                  <c:v>52</c:v>
                </c:pt>
                <c:pt idx="35">
                  <c:v>52.7</c:v>
                </c:pt>
                <c:pt idx="36">
                  <c:v>54.9</c:v>
                </c:pt>
                <c:pt idx="37">
                  <c:v>52.4</c:v>
                </c:pt>
                <c:pt idx="38">
                  <c:v>53.5</c:v>
                </c:pt>
                <c:pt idx="39">
                  <c:v>52.8</c:v>
                </c:pt>
                <c:pt idx="40">
                  <c:v>52.9</c:v>
                </c:pt>
                <c:pt idx="41">
                  <c:v>55.5</c:v>
                </c:pt>
                <c:pt idx="42">
                  <c:v>56.1</c:v>
                </c:pt>
                <c:pt idx="43">
                  <c:v>55</c:v>
                </c:pt>
                <c:pt idx="44">
                  <c:v>55.3</c:v>
                </c:pt>
                <c:pt idx="45">
                  <c:v>55.4</c:v>
                </c:pt>
                <c:pt idx="46">
                  <c:v>57.3</c:v>
                </c:pt>
                <c:pt idx="47">
                  <c:v>55.7</c:v>
                </c:pt>
                <c:pt idx="48">
                  <c:v>56.6</c:v>
                </c:pt>
                <c:pt idx="49">
                  <c:v>56.2</c:v>
                </c:pt>
                <c:pt idx="83">
                  <c:v>55.9</c:v>
                </c:pt>
                <c:pt idx="84">
                  <c:v>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7-4A71-8616-D26AEDA7D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156672"/>
        <c:axId val="412158208"/>
      </c:areaChart>
      <c:barChart>
        <c:barDir val="col"/>
        <c:grouping val="clustered"/>
        <c:varyColors val="0"/>
        <c:ser>
          <c:idx val="2"/>
          <c:order val="2"/>
          <c:tx>
            <c:strRef>
              <c:f>IR!$D$71</c:f>
              <c:strCache>
                <c:ptCount val="1"/>
                <c:pt idx="0">
                  <c:v>Ireland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IR!$D$72:$D$284</c:f>
              <c:numCache>
                <c:formatCode>0.0%</c:formatCode>
                <c:ptCount val="213"/>
                <c:pt idx="11">
                  <c:v>-2E-3</c:v>
                </c:pt>
                <c:pt idx="14">
                  <c:v>1.0999999999999999E-2</c:v>
                </c:pt>
                <c:pt idx="17">
                  <c:v>-2.5000000000000001E-2</c:v>
                </c:pt>
                <c:pt idx="20">
                  <c:v>-1E-3</c:v>
                </c:pt>
                <c:pt idx="23">
                  <c:v>7.0000000000000001E-3</c:v>
                </c:pt>
                <c:pt idx="26">
                  <c:v>2.8000000000000001E-2</c:v>
                </c:pt>
                <c:pt idx="29">
                  <c:v>-3.4000000000000002E-2</c:v>
                </c:pt>
                <c:pt idx="32">
                  <c:v>1E-3</c:v>
                </c:pt>
                <c:pt idx="35">
                  <c:v>2.1999999999999999E-2</c:v>
                </c:pt>
                <c:pt idx="38">
                  <c:v>-1E-3</c:v>
                </c:pt>
                <c:pt idx="41">
                  <c:v>2.8000000000000001E-2</c:v>
                </c:pt>
                <c:pt idx="44" formatCode="0.00%">
                  <c:v>1.4999999999999999E-2</c:v>
                </c:pt>
                <c:pt idx="47" formatCode="0.00%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7-4A71-8616-D26AEDA7D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2169728"/>
        <c:axId val="412168192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IR!$B$72:$B$284</c:f>
              <c:numCache>
                <c:formatCode>0.0</c:formatCode>
                <c:ptCount val="213"/>
                <c:pt idx="0">
                  <c:v>50.9</c:v>
                </c:pt>
                <c:pt idx="1">
                  <c:v>51.2</c:v>
                </c:pt>
                <c:pt idx="2">
                  <c:v>52.2</c:v>
                </c:pt>
                <c:pt idx="3">
                  <c:v>55.8</c:v>
                </c:pt>
                <c:pt idx="4">
                  <c:v>56.7</c:v>
                </c:pt>
                <c:pt idx="5">
                  <c:v>55.7</c:v>
                </c:pt>
                <c:pt idx="6">
                  <c:v>56</c:v>
                </c:pt>
                <c:pt idx="7">
                  <c:v>51.8</c:v>
                </c:pt>
                <c:pt idx="8">
                  <c:v>49.8</c:v>
                </c:pt>
                <c:pt idx="9">
                  <c:v>48.2</c:v>
                </c:pt>
                <c:pt idx="10">
                  <c:v>49.7</c:v>
                </c:pt>
                <c:pt idx="11">
                  <c:v>47.3</c:v>
                </c:pt>
                <c:pt idx="12">
                  <c:v>50.1</c:v>
                </c:pt>
                <c:pt idx="13">
                  <c:v>48.5</c:v>
                </c:pt>
                <c:pt idx="14">
                  <c:v>49.8</c:v>
                </c:pt>
                <c:pt idx="15">
                  <c:v>49.3</c:v>
                </c:pt>
                <c:pt idx="16">
                  <c:v>49.7</c:v>
                </c:pt>
                <c:pt idx="17">
                  <c:v>51.5</c:v>
                </c:pt>
                <c:pt idx="18">
                  <c:v>50.1</c:v>
                </c:pt>
                <c:pt idx="19">
                  <c:v>51.2</c:v>
                </c:pt>
                <c:pt idx="20">
                  <c:v>53.1</c:v>
                </c:pt>
                <c:pt idx="21">
                  <c:v>53.9</c:v>
                </c:pt>
                <c:pt idx="22">
                  <c:v>50.9</c:v>
                </c:pt>
                <c:pt idx="23">
                  <c:v>51.8</c:v>
                </c:pt>
                <c:pt idx="24">
                  <c:v>52.1</c:v>
                </c:pt>
                <c:pt idx="25">
                  <c:v>52.4</c:v>
                </c:pt>
                <c:pt idx="26">
                  <c:v>51.4</c:v>
                </c:pt>
                <c:pt idx="27">
                  <c:v>50.3</c:v>
                </c:pt>
                <c:pt idx="28">
                  <c:v>51.5</c:v>
                </c:pt>
                <c:pt idx="29">
                  <c:v>48.6</c:v>
                </c:pt>
                <c:pt idx="30">
                  <c:v>48</c:v>
                </c:pt>
                <c:pt idx="31">
                  <c:v>49.7</c:v>
                </c:pt>
                <c:pt idx="32">
                  <c:v>50.3</c:v>
                </c:pt>
                <c:pt idx="33">
                  <c:v>51</c:v>
                </c:pt>
                <c:pt idx="34">
                  <c:v>52</c:v>
                </c:pt>
                <c:pt idx="35">
                  <c:v>52.7</c:v>
                </c:pt>
                <c:pt idx="36">
                  <c:v>54.9</c:v>
                </c:pt>
                <c:pt idx="37">
                  <c:v>52.4</c:v>
                </c:pt>
                <c:pt idx="38">
                  <c:v>53.5</c:v>
                </c:pt>
                <c:pt idx="39">
                  <c:v>52.8</c:v>
                </c:pt>
                <c:pt idx="40">
                  <c:v>52.9</c:v>
                </c:pt>
                <c:pt idx="41">
                  <c:v>55.5</c:v>
                </c:pt>
                <c:pt idx="42">
                  <c:v>56.1</c:v>
                </c:pt>
                <c:pt idx="43">
                  <c:v>55</c:v>
                </c:pt>
                <c:pt idx="44">
                  <c:v>55.3</c:v>
                </c:pt>
                <c:pt idx="45">
                  <c:v>55.4</c:v>
                </c:pt>
                <c:pt idx="46">
                  <c:v>57.3</c:v>
                </c:pt>
                <c:pt idx="47">
                  <c:v>55.7</c:v>
                </c:pt>
                <c:pt idx="48">
                  <c:v>56.6</c:v>
                </c:pt>
                <c:pt idx="49">
                  <c:v>56.2</c:v>
                </c:pt>
                <c:pt idx="83">
                  <c:v>55.9</c:v>
                </c:pt>
                <c:pt idx="84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7-4A71-8616-D26AEDA7D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156672"/>
        <c:axId val="412158208"/>
      </c:lineChart>
      <c:dateAx>
        <c:axId val="412156672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158208"/>
        <c:crossesAt val="50"/>
        <c:auto val="1"/>
        <c:lblOffset val="100"/>
        <c:baseTimeUnit val="months"/>
        <c:majorUnit val="1"/>
        <c:majorTimeUnit val="years"/>
      </c:dateAx>
      <c:valAx>
        <c:axId val="412158208"/>
        <c:scaling>
          <c:orientation val="minMax"/>
          <c:max val="58"/>
          <c:min val="42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156672"/>
        <c:crosses val="autoZero"/>
        <c:crossBetween val="between"/>
        <c:majorUnit val="4"/>
      </c:valAx>
      <c:valAx>
        <c:axId val="412168192"/>
        <c:scaling>
          <c:orientation val="minMax"/>
          <c:max val="5.000000000000001E-2"/>
          <c:min val="-5.000000000000001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412169728"/>
        <c:crosses val="max"/>
        <c:crossBetween val="between"/>
      </c:valAx>
      <c:catAx>
        <c:axId val="412169728"/>
        <c:scaling>
          <c:orientation val="minMax"/>
        </c:scaling>
        <c:delete val="1"/>
        <c:axPos val="b"/>
        <c:majorTickMark val="out"/>
        <c:minorTickMark val="none"/>
        <c:tickLblPos val="nextTo"/>
        <c:crossAx val="41216819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8555640112570356E-2"/>
          <c:y val="0.76045636133995975"/>
          <c:w val="0.18671575737958193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China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CH!$B$2</c:f>
              <c:strCache>
                <c:ptCount val="1"/>
                <c:pt idx="0">
                  <c:v>HSBC China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CH!$A$3:$A$216</c:f>
              <c:numCache>
                <c:formatCode>[$-409]mmm\-yy;@</c:formatCode>
                <c:ptCount val="214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41031</c:v>
                </c:pt>
                <c:pt idx="89">
                  <c:v>41063</c:v>
                </c:pt>
                <c:pt idx="90">
                  <c:v>41094</c:v>
                </c:pt>
                <c:pt idx="91">
                  <c:v>41126</c:v>
                </c:pt>
                <c:pt idx="92">
                  <c:v>41158</c:v>
                </c:pt>
                <c:pt idx="93">
                  <c:v>41189</c:v>
                </c:pt>
                <c:pt idx="94">
                  <c:v>41221</c:v>
                </c:pt>
                <c:pt idx="95">
                  <c:v>41252</c:v>
                </c:pt>
                <c:pt idx="96">
                  <c:v>41275</c:v>
                </c:pt>
                <c:pt idx="97">
                  <c:v>41307</c:v>
                </c:pt>
                <c:pt idx="98">
                  <c:v>41336</c:v>
                </c:pt>
                <c:pt idx="99">
                  <c:v>41368</c:v>
                </c:pt>
                <c:pt idx="100">
                  <c:v>41399</c:v>
                </c:pt>
                <c:pt idx="101">
                  <c:v>41431</c:v>
                </c:pt>
                <c:pt idx="102">
                  <c:v>41462</c:v>
                </c:pt>
                <c:pt idx="103">
                  <c:v>41493</c:v>
                </c:pt>
                <c:pt idx="104">
                  <c:v>41524</c:v>
                </c:pt>
                <c:pt idx="105">
                  <c:v>41554</c:v>
                </c:pt>
                <c:pt idx="106">
                  <c:v>41585</c:v>
                </c:pt>
                <c:pt idx="107">
                  <c:v>41615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 formatCode="yyyy/mm/dd">
                  <c:v>46143</c:v>
                </c:pt>
                <c:pt idx="120" formatCode="yyyy/mm/dd">
                  <c:v>46174</c:v>
                </c:pt>
              </c:numCache>
            </c:numRef>
          </c:cat>
          <c:val>
            <c:numRef>
              <c:f>CH!$B$3:$B$216</c:f>
              <c:numCache>
                <c:formatCode>0.0</c:formatCode>
                <c:ptCount val="214"/>
                <c:pt idx="0">
                  <c:v>52.1</c:v>
                </c:pt>
                <c:pt idx="1">
                  <c:v>52.9</c:v>
                </c:pt>
                <c:pt idx="2">
                  <c:v>55.2</c:v>
                </c:pt>
                <c:pt idx="3">
                  <c:v>54.4</c:v>
                </c:pt>
                <c:pt idx="4">
                  <c:v>53.3</c:v>
                </c:pt>
                <c:pt idx="5">
                  <c:v>51</c:v>
                </c:pt>
                <c:pt idx="6">
                  <c:v>51.5</c:v>
                </c:pt>
                <c:pt idx="7">
                  <c:v>50.6</c:v>
                </c:pt>
                <c:pt idx="8">
                  <c:v>50.9</c:v>
                </c:pt>
                <c:pt idx="9">
                  <c:v>50.1</c:v>
                </c:pt>
                <c:pt idx="10">
                  <c:v>49.8</c:v>
                </c:pt>
                <c:pt idx="11">
                  <c:v>50.1</c:v>
                </c:pt>
                <c:pt idx="12">
                  <c:v>50.2</c:v>
                </c:pt>
                <c:pt idx="13">
                  <c:v>50.7</c:v>
                </c:pt>
                <c:pt idx="14">
                  <c:v>51</c:v>
                </c:pt>
                <c:pt idx="15">
                  <c:v>52.7</c:v>
                </c:pt>
                <c:pt idx="16">
                  <c:v>52.8</c:v>
                </c:pt>
                <c:pt idx="17">
                  <c:v>52.9</c:v>
                </c:pt>
                <c:pt idx="18">
                  <c:v>53</c:v>
                </c:pt>
                <c:pt idx="19">
                  <c:v>52.6</c:v>
                </c:pt>
                <c:pt idx="20">
                  <c:v>52.4</c:v>
                </c:pt>
                <c:pt idx="21">
                  <c:v>52.1</c:v>
                </c:pt>
                <c:pt idx="22">
                  <c:v>53</c:v>
                </c:pt>
                <c:pt idx="23">
                  <c:v>52.4</c:v>
                </c:pt>
                <c:pt idx="24">
                  <c:v>52</c:v>
                </c:pt>
                <c:pt idx="25">
                  <c:v>53</c:v>
                </c:pt>
                <c:pt idx="26">
                  <c:v>52.3</c:v>
                </c:pt>
                <c:pt idx="27">
                  <c:v>53.3</c:v>
                </c:pt>
                <c:pt idx="28">
                  <c:v>54.1</c:v>
                </c:pt>
                <c:pt idx="29">
                  <c:v>55</c:v>
                </c:pt>
                <c:pt idx="30">
                  <c:v>53.2</c:v>
                </c:pt>
                <c:pt idx="31">
                  <c:v>53.4</c:v>
                </c:pt>
                <c:pt idx="32">
                  <c:v>55</c:v>
                </c:pt>
                <c:pt idx="33">
                  <c:v>55.2</c:v>
                </c:pt>
                <c:pt idx="34">
                  <c:v>52.8</c:v>
                </c:pt>
                <c:pt idx="35">
                  <c:v>53.3</c:v>
                </c:pt>
                <c:pt idx="36">
                  <c:v>53.2</c:v>
                </c:pt>
                <c:pt idx="37">
                  <c:v>52.8</c:v>
                </c:pt>
                <c:pt idx="38">
                  <c:v>54.4</c:v>
                </c:pt>
                <c:pt idx="39">
                  <c:v>55.4</c:v>
                </c:pt>
                <c:pt idx="40">
                  <c:v>54.7</c:v>
                </c:pt>
                <c:pt idx="41">
                  <c:v>53.3</c:v>
                </c:pt>
                <c:pt idx="42">
                  <c:v>53.3</c:v>
                </c:pt>
                <c:pt idx="43">
                  <c:v>49.2</c:v>
                </c:pt>
                <c:pt idx="44">
                  <c:v>47.7</c:v>
                </c:pt>
                <c:pt idx="45">
                  <c:v>45.2</c:v>
                </c:pt>
                <c:pt idx="46">
                  <c:v>40.9</c:v>
                </c:pt>
                <c:pt idx="47">
                  <c:v>41.2</c:v>
                </c:pt>
                <c:pt idx="48">
                  <c:v>42.2</c:v>
                </c:pt>
                <c:pt idx="49">
                  <c:v>45.1</c:v>
                </c:pt>
                <c:pt idx="50">
                  <c:v>44.8</c:v>
                </c:pt>
                <c:pt idx="51">
                  <c:v>50.1</c:v>
                </c:pt>
                <c:pt idx="52">
                  <c:v>51.2</c:v>
                </c:pt>
                <c:pt idx="53">
                  <c:v>51.8</c:v>
                </c:pt>
                <c:pt idx="54">
                  <c:v>52.8</c:v>
                </c:pt>
                <c:pt idx="55">
                  <c:v>55.1</c:v>
                </c:pt>
                <c:pt idx="56">
                  <c:v>55</c:v>
                </c:pt>
                <c:pt idx="57">
                  <c:v>55.4</c:v>
                </c:pt>
                <c:pt idx="58">
                  <c:v>55.7</c:v>
                </c:pt>
                <c:pt idx="59">
                  <c:v>56.1</c:v>
                </c:pt>
                <c:pt idx="60">
                  <c:v>57.4</c:v>
                </c:pt>
                <c:pt idx="61">
                  <c:v>55.8</c:v>
                </c:pt>
                <c:pt idx="62">
                  <c:v>57</c:v>
                </c:pt>
                <c:pt idx="63">
                  <c:v>55.4</c:v>
                </c:pt>
                <c:pt idx="64">
                  <c:v>52.7</c:v>
                </c:pt>
                <c:pt idx="65">
                  <c:v>50.4</c:v>
                </c:pt>
                <c:pt idx="66">
                  <c:v>49.4</c:v>
                </c:pt>
                <c:pt idx="67">
                  <c:v>51.9</c:v>
                </c:pt>
                <c:pt idx="68">
                  <c:v>52.9</c:v>
                </c:pt>
                <c:pt idx="69">
                  <c:v>54.8</c:v>
                </c:pt>
                <c:pt idx="70">
                  <c:v>55.3</c:v>
                </c:pt>
                <c:pt idx="71">
                  <c:v>54.4</c:v>
                </c:pt>
                <c:pt idx="72">
                  <c:v>54.5</c:v>
                </c:pt>
                <c:pt idx="73">
                  <c:v>51.7</c:v>
                </c:pt>
                <c:pt idx="74">
                  <c:v>51.8</c:v>
                </c:pt>
                <c:pt idx="75">
                  <c:v>51.8</c:v>
                </c:pt>
                <c:pt idx="76">
                  <c:v>51.6</c:v>
                </c:pt>
                <c:pt idx="77">
                  <c:v>50.1</c:v>
                </c:pt>
                <c:pt idx="78">
                  <c:v>49.3</c:v>
                </c:pt>
                <c:pt idx="79">
                  <c:v>49.9</c:v>
                </c:pt>
                <c:pt idx="80">
                  <c:v>49.9</c:v>
                </c:pt>
                <c:pt idx="81">
                  <c:v>51</c:v>
                </c:pt>
                <c:pt idx="82">
                  <c:v>47.7</c:v>
                </c:pt>
                <c:pt idx="83">
                  <c:v>48.7</c:v>
                </c:pt>
                <c:pt idx="84">
                  <c:v>48.8</c:v>
                </c:pt>
                <c:pt idx="85">
                  <c:v>49.6</c:v>
                </c:pt>
                <c:pt idx="86">
                  <c:v>48.3</c:v>
                </c:pt>
                <c:pt idx="87">
                  <c:v>49.3</c:v>
                </c:pt>
                <c:pt idx="88">
                  <c:v>48.4</c:v>
                </c:pt>
                <c:pt idx="89">
                  <c:v>48.2</c:v>
                </c:pt>
                <c:pt idx="90">
                  <c:v>49.3</c:v>
                </c:pt>
                <c:pt idx="91">
                  <c:v>47.7</c:v>
                </c:pt>
                <c:pt idx="92">
                  <c:v>47.9</c:v>
                </c:pt>
                <c:pt idx="93">
                  <c:v>49.5</c:v>
                </c:pt>
                <c:pt idx="94">
                  <c:v>50.5</c:v>
                </c:pt>
                <c:pt idx="95">
                  <c:v>51.5</c:v>
                </c:pt>
                <c:pt idx="96">
                  <c:v>52.3</c:v>
                </c:pt>
                <c:pt idx="97">
                  <c:v>50.4</c:v>
                </c:pt>
                <c:pt idx="98">
                  <c:v>51.6</c:v>
                </c:pt>
                <c:pt idx="99">
                  <c:v>50.4</c:v>
                </c:pt>
                <c:pt idx="100">
                  <c:v>49.2</c:v>
                </c:pt>
                <c:pt idx="101">
                  <c:v>48.2</c:v>
                </c:pt>
                <c:pt idx="102">
                  <c:v>47.7</c:v>
                </c:pt>
                <c:pt idx="103">
                  <c:v>50.1</c:v>
                </c:pt>
                <c:pt idx="104">
                  <c:v>50.2</c:v>
                </c:pt>
                <c:pt idx="105">
                  <c:v>50.9</c:v>
                </c:pt>
                <c:pt idx="106">
                  <c:v>50.8</c:v>
                </c:pt>
                <c:pt idx="107">
                  <c:v>50.5</c:v>
                </c:pt>
                <c:pt idx="108">
                  <c:v>49.5</c:v>
                </c:pt>
                <c:pt idx="109">
                  <c:v>48.5</c:v>
                </c:pt>
                <c:pt idx="110">
                  <c:v>48</c:v>
                </c:pt>
                <c:pt idx="111">
                  <c:v>48.1</c:v>
                </c:pt>
                <c:pt idx="112">
                  <c:v>49.4</c:v>
                </c:pt>
                <c:pt idx="113">
                  <c:v>50.7</c:v>
                </c:pt>
                <c:pt idx="114">
                  <c:v>51.7</c:v>
                </c:pt>
                <c:pt idx="115">
                  <c:v>50.2</c:v>
                </c:pt>
                <c:pt idx="116">
                  <c:v>51.1</c:v>
                </c:pt>
                <c:pt idx="117">
                  <c:v>50.8</c:v>
                </c:pt>
                <c:pt idx="118">
                  <c:v>50.3</c:v>
                </c:pt>
                <c:pt idx="119">
                  <c:v>51.8</c:v>
                </c:pt>
                <c:pt idx="120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5-459D-A323-DEFDE8B08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33856"/>
        <c:axId val="41343539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CH!$B$3:$B$216</c:f>
              <c:numCache>
                <c:formatCode>0.0</c:formatCode>
                <c:ptCount val="214"/>
                <c:pt idx="0">
                  <c:v>52.1</c:v>
                </c:pt>
                <c:pt idx="1">
                  <c:v>52.9</c:v>
                </c:pt>
                <c:pt idx="2">
                  <c:v>55.2</c:v>
                </c:pt>
                <c:pt idx="3">
                  <c:v>54.4</c:v>
                </c:pt>
                <c:pt idx="4">
                  <c:v>53.3</c:v>
                </c:pt>
                <c:pt idx="5">
                  <c:v>51</c:v>
                </c:pt>
                <c:pt idx="6">
                  <c:v>51.5</c:v>
                </c:pt>
                <c:pt idx="7">
                  <c:v>50.6</c:v>
                </c:pt>
                <c:pt idx="8">
                  <c:v>50.9</c:v>
                </c:pt>
                <c:pt idx="9">
                  <c:v>50.1</c:v>
                </c:pt>
                <c:pt idx="10">
                  <c:v>49.8</c:v>
                </c:pt>
                <c:pt idx="11">
                  <c:v>50.1</c:v>
                </c:pt>
                <c:pt idx="12">
                  <c:v>50.2</c:v>
                </c:pt>
                <c:pt idx="13">
                  <c:v>50.7</c:v>
                </c:pt>
                <c:pt idx="14">
                  <c:v>51</c:v>
                </c:pt>
                <c:pt idx="15">
                  <c:v>52.7</c:v>
                </c:pt>
                <c:pt idx="16">
                  <c:v>52.8</c:v>
                </c:pt>
                <c:pt idx="17">
                  <c:v>52.9</c:v>
                </c:pt>
                <c:pt idx="18">
                  <c:v>53</c:v>
                </c:pt>
                <c:pt idx="19">
                  <c:v>52.6</c:v>
                </c:pt>
                <c:pt idx="20">
                  <c:v>52.4</c:v>
                </c:pt>
                <c:pt idx="21">
                  <c:v>52.1</c:v>
                </c:pt>
                <c:pt idx="22">
                  <c:v>53</c:v>
                </c:pt>
                <c:pt idx="23">
                  <c:v>52.4</c:v>
                </c:pt>
                <c:pt idx="24">
                  <c:v>52</c:v>
                </c:pt>
                <c:pt idx="25">
                  <c:v>53</c:v>
                </c:pt>
                <c:pt idx="26">
                  <c:v>52.3</c:v>
                </c:pt>
                <c:pt idx="27">
                  <c:v>53.3</c:v>
                </c:pt>
                <c:pt idx="28">
                  <c:v>54.1</c:v>
                </c:pt>
                <c:pt idx="29">
                  <c:v>55</c:v>
                </c:pt>
                <c:pt idx="30">
                  <c:v>53.2</c:v>
                </c:pt>
                <c:pt idx="31">
                  <c:v>53.4</c:v>
                </c:pt>
                <c:pt idx="32">
                  <c:v>55</c:v>
                </c:pt>
                <c:pt idx="33">
                  <c:v>55.2</c:v>
                </c:pt>
                <c:pt idx="34">
                  <c:v>52.8</c:v>
                </c:pt>
                <c:pt idx="35">
                  <c:v>53.3</c:v>
                </c:pt>
                <c:pt idx="36">
                  <c:v>53.2</c:v>
                </c:pt>
                <c:pt idx="37">
                  <c:v>52.8</c:v>
                </c:pt>
                <c:pt idx="38">
                  <c:v>54.4</c:v>
                </c:pt>
                <c:pt idx="39">
                  <c:v>55.4</c:v>
                </c:pt>
                <c:pt idx="40">
                  <c:v>54.7</c:v>
                </c:pt>
                <c:pt idx="41">
                  <c:v>53.3</c:v>
                </c:pt>
                <c:pt idx="42">
                  <c:v>53.3</c:v>
                </c:pt>
                <c:pt idx="43">
                  <c:v>49.2</c:v>
                </c:pt>
                <c:pt idx="44">
                  <c:v>47.7</c:v>
                </c:pt>
                <c:pt idx="45">
                  <c:v>45.2</c:v>
                </c:pt>
                <c:pt idx="46">
                  <c:v>40.9</c:v>
                </c:pt>
                <c:pt idx="47">
                  <c:v>41.2</c:v>
                </c:pt>
                <c:pt idx="48">
                  <c:v>42.2</c:v>
                </c:pt>
                <c:pt idx="49">
                  <c:v>45.1</c:v>
                </c:pt>
                <c:pt idx="50">
                  <c:v>44.8</c:v>
                </c:pt>
                <c:pt idx="51">
                  <c:v>50.1</c:v>
                </c:pt>
                <c:pt idx="52">
                  <c:v>51.2</c:v>
                </c:pt>
                <c:pt idx="53">
                  <c:v>51.8</c:v>
                </c:pt>
                <c:pt idx="54">
                  <c:v>52.8</c:v>
                </c:pt>
                <c:pt idx="55">
                  <c:v>55.1</c:v>
                </c:pt>
                <c:pt idx="56">
                  <c:v>55</c:v>
                </c:pt>
                <c:pt idx="57">
                  <c:v>55.4</c:v>
                </c:pt>
                <c:pt idx="58">
                  <c:v>55.7</c:v>
                </c:pt>
                <c:pt idx="59">
                  <c:v>56.1</c:v>
                </c:pt>
                <c:pt idx="60">
                  <c:v>57.4</c:v>
                </c:pt>
                <c:pt idx="61">
                  <c:v>55.8</c:v>
                </c:pt>
                <c:pt idx="62">
                  <c:v>57</c:v>
                </c:pt>
                <c:pt idx="63">
                  <c:v>55.4</c:v>
                </c:pt>
                <c:pt idx="64">
                  <c:v>52.7</c:v>
                </c:pt>
                <c:pt idx="65">
                  <c:v>50.4</c:v>
                </c:pt>
                <c:pt idx="66">
                  <c:v>49.4</c:v>
                </c:pt>
                <c:pt idx="67">
                  <c:v>51.9</c:v>
                </c:pt>
                <c:pt idx="68">
                  <c:v>52.9</c:v>
                </c:pt>
                <c:pt idx="69">
                  <c:v>54.8</c:v>
                </c:pt>
                <c:pt idx="70">
                  <c:v>55.3</c:v>
                </c:pt>
                <c:pt idx="71">
                  <c:v>54.4</c:v>
                </c:pt>
                <c:pt idx="72">
                  <c:v>54.5</c:v>
                </c:pt>
                <c:pt idx="73">
                  <c:v>51.7</c:v>
                </c:pt>
                <c:pt idx="74">
                  <c:v>51.8</c:v>
                </c:pt>
                <c:pt idx="75">
                  <c:v>51.8</c:v>
                </c:pt>
                <c:pt idx="76">
                  <c:v>51.6</c:v>
                </c:pt>
                <c:pt idx="77">
                  <c:v>50.1</c:v>
                </c:pt>
                <c:pt idx="78">
                  <c:v>49.3</c:v>
                </c:pt>
                <c:pt idx="79">
                  <c:v>49.9</c:v>
                </c:pt>
                <c:pt idx="80">
                  <c:v>49.9</c:v>
                </c:pt>
                <c:pt idx="81">
                  <c:v>51</c:v>
                </c:pt>
                <c:pt idx="82">
                  <c:v>47.7</c:v>
                </c:pt>
                <c:pt idx="83">
                  <c:v>48.7</c:v>
                </c:pt>
                <c:pt idx="84">
                  <c:v>48.8</c:v>
                </c:pt>
                <c:pt idx="85">
                  <c:v>49.6</c:v>
                </c:pt>
                <c:pt idx="86">
                  <c:v>48.3</c:v>
                </c:pt>
                <c:pt idx="87">
                  <c:v>49.3</c:v>
                </c:pt>
                <c:pt idx="88">
                  <c:v>48.4</c:v>
                </c:pt>
                <c:pt idx="89">
                  <c:v>48.2</c:v>
                </c:pt>
                <c:pt idx="90">
                  <c:v>49.3</c:v>
                </c:pt>
                <c:pt idx="91">
                  <c:v>47.7</c:v>
                </c:pt>
                <c:pt idx="92">
                  <c:v>47.9</c:v>
                </c:pt>
                <c:pt idx="93">
                  <c:v>49.5</c:v>
                </c:pt>
                <c:pt idx="94">
                  <c:v>50.5</c:v>
                </c:pt>
                <c:pt idx="95">
                  <c:v>51.5</c:v>
                </c:pt>
                <c:pt idx="96">
                  <c:v>52.3</c:v>
                </c:pt>
                <c:pt idx="97">
                  <c:v>50.4</c:v>
                </c:pt>
                <c:pt idx="98">
                  <c:v>51.6</c:v>
                </c:pt>
                <c:pt idx="99">
                  <c:v>50.4</c:v>
                </c:pt>
                <c:pt idx="100">
                  <c:v>49.2</c:v>
                </c:pt>
                <c:pt idx="101">
                  <c:v>48.2</c:v>
                </c:pt>
                <c:pt idx="102">
                  <c:v>47.7</c:v>
                </c:pt>
                <c:pt idx="103">
                  <c:v>50.1</c:v>
                </c:pt>
                <c:pt idx="104">
                  <c:v>50.2</c:v>
                </c:pt>
                <c:pt idx="105">
                  <c:v>50.9</c:v>
                </c:pt>
                <c:pt idx="106">
                  <c:v>50.8</c:v>
                </c:pt>
                <c:pt idx="107">
                  <c:v>50.5</c:v>
                </c:pt>
                <c:pt idx="108">
                  <c:v>49.5</c:v>
                </c:pt>
                <c:pt idx="109">
                  <c:v>48.5</c:v>
                </c:pt>
                <c:pt idx="110">
                  <c:v>48</c:v>
                </c:pt>
                <c:pt idx="111">
                  <c:v>48.1</c:v>
                </c:pt>
                <c:pt idx="112">
                  <c:v>49.4</c:v>
                </c:pt>
                <c:pt idx="113">
                  <c:v>50.7</c:v>
                </c:pt>
                <c:pt idx="114">
                  <c:v>51.7</c:v>
                </c:pt>
                <c:pt idx="115">
                  <c:v>50.2</c:v>
                </c:pt>
                <c:pt idx="116">
                  <c:v>51.1</c:v>
                </c:pt>
                <c:pt idx="117">
                  <c:v>50.8</c:v>
                </c:pt>
                <c:pt idx="118">
                  <c:v>50.3</c:v>
                </c:pt>
                <c:pt idx="119">
                  <c:v>51.8</c:v>
                </c:pt>
                <c:pt idx="120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5-459D-A323-DEFDE8B08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433856"/>
        <c:axId val="413435392"/>
      </c:lineChart>
      <c:dateAx>
        <c:axId val="413433856"/>
        <c:scaling>
          <c:orientation val="minMax"/>
          <c:min val="39448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3435392"/>
        <c:crossesAt val="50"/>
        <c:auto val="1"/>
        <c:lblOffset val="100"/>
        <c:baseTimeUnit val="months"/>
        <c:majorUnit val="1"/>
        <c:majorTimeUnit val="years"/>
      </c:dateAx>
      <c:valAx>
        <c:axId val="413435392"/>
        <c:scaling>
          <c:orientation val="minMax"/>
          <c:max val="60"/>
          <c:min val="40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3433856"/>
        <c:crosses val="autoZero"/>
        <c:crossBetween val="between"/>
        <c:majorUnit val="5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7.9638422723872018E-2"/>
          <c:y val="0.1414950169272319"/>
          <c:w val="0.13078853573687077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China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CH!$B$2</c:f>
              <c:strCache>
                <c:ptCount val="1"/>
                <c:pt idx="0">
                  <c:v>HSBC China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CH!$A$3:$A$501</c:f>
              <c:numCache>
                <c:formatCode>[$-409]mmm\-yy;@</c:formatCode>
                <c:ptCount val="499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41031</c:v>
                </c:pt>
                <c:pt idx="89">
                  <c:v>41063</c:v>
                </c:pt>
                <c:pt idx="90">
                  <c:v>41094</c:v>
                </c:pt>
                <c:pt idx="91">
                  <c:v>41126</c:v>
                </c:pt>
                <c:pt idx="92">
                  <c:v>41158</c:v>
                </c:pt>
                <c:pt idx="93">
                  <c:v>41189</c:v>
                </c:pt>
                <c:pt idx="94">
                  <c:v>41221</c:v>
                </c:pt>
                <c:pt idx="95">
                  <c:v>41252</c:v>
                </c:pt>
                <c:pt idx="96">
                  <c:v>41275</c:v>
                </c:pt>
                <c:pt idx="97">
                  <c:v>41307</c:v>
                </c:pt>
                <c:pt idx="98">
                  <c:v>41336</c:v>
                </c:pt>
                <c:pt idx="99">
                  <c:v>41368</c:v>
                </c:pt>
                <c:pt idx="100">
                  <c:v>41399</c:v>
                </c:pt>
                <c:pt idx="101">
                  <c:v>41431</c:v>
                </c:pt>
                <c:pt idx="102">
                  <c:v>41462</c:v>
                </c:pt>
                <c:pt idx="103">
                  <c:v>41493</c:v>
                </c:pt>
                <c:pt idx="104">
                  <c:v>41524</c:v>
                </c:pt>
                <c:pt idx="105">
                  <c:v>41554</c:v>
                </c:pt>
                <c:pt idx="106">
                  <c:v>41585</c:v>
                </c:pt>
                <c:pt idx="107">
                  <c:v>41615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 formatCode="yyyy/mm/dd">
                  <c:v>46143</c:v>
                </c:pt>
                <c:pt idx="120" formatCode="yyyy/mm/dd">
                  <c:v>46174</c:v>
                </c:pt>
              </c:numCache>
            </c:numRef>
          </c:cat>
          <c:val>
            <c:numRef>
              <c:f>CH!$B$3:$B$501</c:f>
              <c:numCache>
                <c:formatCode>0.0</c:formatCode>
                <c:ptCount val="499"/>
                <c:pt idx="0">
                  <c:v>52.1</c:v>
                </c:pt>
                <c:pt idx="1">
                  <c:v>52.9</c:v>
                </c:pt>
                <c:pt idx="2">
                  <c:v>55.2</c:v>
                </c:pt>
                <c:pt idx="3">
                  <c:v>54.4</c:v>
                </c:pt>
                <c:pt idx="4">
                  <c:v>53.3</c:v>
                </c:pt>
                <c:pt idx="5">
                  <c:v>51</c:v>
                </c:pt>
                <c:pt idx="6">
                  <c:v>51.5</c:v>
                </c:pt>
                <c:pt idx="7">
                  <c:v>50.6</c:v>
                </c:pt>
                <c:pt idx="8">
                  <c:v>50.9</c:v>
                </c:pt>
                <c:pt idx="9">
                  <c:v>50.1</c:v>
                </c:pt>
                <c:pt idx="10">
                  <c:v>49.8</c:v>
                </c:pt>
                <c:pt idx="11">
                  <c:v>50.1</c:v>
                </c:pt>
                <c:pt idx="12">
                  <c:v>50.2</c:v>
                </c:pt>
                <c:pt idx="13">
                  <c:v>50.7</c:v>
                </c:pt>
                <c:pt idx="14">
                  <c:v>51</c:v>
                </c:pt>
                <c:pt idx="15">
                  <c:v>52.7</c:v>
                </c:pt>
                <c:pt idx="16">
                  <c:v>52.8</c:v>
                </c:pt>
                <c:pt idx="17">
                  <c:v>52.9</c:v>
                </c:pt>
                <c:pt idx="18">
                  <c:v>53</c:v>
                </c:pt>
                <c:pt idx="19">
                  <c:v>52.6</c:v>
                </c:pt>
                <c:pt idx="20">
                  <c:v>52.4</c:v>
                </c:pt>
                <c:pt idx="21">
                  <c:v>52.1</c:v>
                </c:pt>
                <c:pt idx="22">
                  <c:v>53</c:v>
                </c:pt>
                <c:pt idx="23">
                  <c:v>52.4</c:v>
                </c:pt>
                <c:pt idx="24">
                  <c:v>52</c:v>
                </c:pt>
                <c:pt idx="25">
                  <c:v>53</c:v>
                </c:pt>
                <c:pt idx="26">
                  <c:v>52.3</c:v>
                </c:pt>
                <c:pt idx="27">
                  <c:v>53.3</c:v>
                </c:pt>
                <c:pt idx="28">
                  <c:v>54.1</c:v>
                </c:pt>
                <c:pt idx="29">
                  <c:v>55</c:v>
                </c:pt>
                <c:pt idx="30">
                  <c:v>53.2</c:v>
                </c:pt>
                <c:pt idx="31">
                  <c:v>53.4</c:v>
                </c:pt>
                <c:pt idx="32">
                  <c:v>55</c:v>
                </c:pt>
                <c:pt idx="33">
                  <c:v>55.2</c:v>
                </c:pt>
                <c:pt idx="34">
                  <c:v>52.8</c:v>
                </c:pt>
                <c:pt idx="35">
                  <c:v>53.3</c:v>
                </c:pt>
                <c:pt idx="36">
                  <c:v>53.2</c:v>
                </c:pt>
                <c:pt idx="37">
                  <c:v>52.8</c:v>
                </c:pt>
                <c:pt idx="38">
                  <c:v>54.4</c:v>
                </c:pt>
                <c:pt idx="39">
                  <c:v>55.4</c:v>
                </c:pt>
                <c:pt idx="40">
                  <c:v>54.7</c:v>
                </c:pt>
                <c:pt idx="41">
                  <c:v>53.3</c:v>
                </c:pt>
                <c:pt idx="42">
                  <c:v>53.3</c:v>
                </c:pt>
                <c:pt idx="43">
                  <c:v>49.2</c:v>
                </c:pt>
                <c:pt idx="44">
                  <c:v>47.7</c:v>
                </c:pt>
                <c:pt idx="45">
                  <c:v>45.2</c:v>
                </c:pt>
                <c:pt idx="46">
                  <c:v>40.9</c:v>
                </c:pt>
                <c:pt idx="47">
                  <c:v>41.2</c:v>
                </c:pt>
                <c:pt idx="48">
                  <c:v>42.2</c:v>
                </c:pt>
                <c:pt idx="49">
                  <c:v>45.1</c:v>
                </c:pt>
                <c:pt idx="50">
                  <c:v>44.8</c:v>
                </c:pt>
                <c:pt idx="51">
                  <c:v>50.1</c:v>
                </c:pt>
                <c:pt idx="52">
                  <c:v>51.2</c:v>
                </c:pt>
                <c:pt idx="53">
                  <c:v>51.8</c:v>
                </c:pt>
                <c:pt idx="54">
                  <c:v>52.8</c:v>
                </c:pt>
                <c:pt idx="55">
                  <c:v>55.1</c:v>
                </c:pt>
                <c:pt idx="56">
                  <c:v>55</c:v>
                </c:pt>
                <c:pt idx="57">
                  <c:v>55.4</c:v>
                </c:pt>
                <c:pt idx="58">
                  <c:v>55.7</c:v>
                </c:pt>
                <c:pt idx="59">
                  <c:v>56.1</c:v>
                </c:pt>
                <c:pt idx="60">
                  <c:v>57.4</c:v>
                </c:pt>
                <c:pt idx="61">
                  <c:v>55.8</c:v>
                </c:pt>
                <c:pt idx="62">
                  <c:v>57</c:v>
                </c:pt>
                <c:pt idx="63">
                  <c:v>55.4</c:v>
                </c:pt>
                <c:pt idx="64">
                  <c:v>52.7</c:v>
                </c:pt>
                <c:pt idx="65">
                  <c:v>50.4</c:v>
                </c:pt>
                <c:pt idx="66">
                  <c:v>49.4</c:v>
                </c:pt>
                <c:pt idx="67">
                  <c:v>51.9</c:v>
                </c:pt>
                <c:pt idx="68">
                  <c:v>52.9</c:v>
                </c:pt>
                <c:pt idx="69">
                  <c:v>54.8</c:v>
                </c:pt>
                <c:pt idx="70">
                  <c:v>55.3</c:v>
                </c:pt>
                <c:pt idx="71">
                  <c:v>54.4</c:v>
                </c:pt>
                <c:pt idx="72">
                  <c:v>54.5</c:v>
                </c:pt>
                <c:pt idx="73">
                  <c:v>51.7</c:v>
                </c:pt>
                <c:pt idx="74">
                  <c:v>51.8</c:v>
                </c:pt>
                <c:pt idx="75">
                  <c:v>51.8</c:v>
                </c:pt>
                <c:pt idx="76">
                  <c:v>51.6</c:v>
                </c:pt>
                <c:pt idx="77">
                  <c:v>50.1</c:v>
                </c:pt>
                <c:pt idx="78">
                  <c:v>49.3</c:v>
                </c:pt>
                <c:pt idx="79">
                  <c:v>49.9</c:v>
                </c:pt>
                <c:pt idx="80">
                  <c:v>49.9</c:v>
                </c:pt>
                <c:pt idx="81">
                  <c:v>51</c:v>
                </c:pt>
                <c:pt idx="82">
                  <c:v>47.7</c:v>
                </c:pt>
                <c:pt idx="83">
                  <c:v>48.7</c:v>
                </c:pt>
                <c:pt idx="84">
                  <c:v>48.8</c:v>
                </c:pt>
                <c:pt idx="85">
                  <c:v>49.6</c:v>
                </c:pt>
                <c:pt idx="86">
                  <c:v>48.3</c:v>
                </c:pt>
                <c:pt idx="87">
                  <c:v>49.3</c:v>
                </c:pt>
                <c:pt idx="88">
                  <c:v>48.4</c:v>
                </c:pt>
                <c:pt idx="89">
                  <c:v>48.2</c:v>
                </c:pt>
                <c:pt idx="90">
                  <c:v>49.3</c:v>
                </c:pt>
                <c:pt idx="91">
                  <c:v>47.7</c:v>
                </c:pt>
                <c:pt idx="92">
                  <c:v>47.9</c:v>
                </c:pt>
                <c:pt idx="93">
                  <c:v>49.5</c:v>
                </c:pt>
                <c:pt idx="94">
                  <c:v>50.5</c:v>
                </c:pt>
                <c:pt idx="95">
                  <c:v>51.5</c:v>
                </c:pt>
                <c:pt idx="96">
                  <c:v>52.3</c:v>
                </c:pt>
                <c:pt idx="97">
                  <c:v>50.4</c:v>
                </c:pt>
                <c:pt idx="98">
                  <c:v>51.6</c:v>
                </c:pt>
                <c:pt idx="99">
                  <c:v>50.4</c:v>
                </c:pt>
                <c:pt idx="100">
                  <c:v>49.2</c:v>
                </c:pt>
                <c:pt idx="101">
                  <c:v>48.2</c:v>
                </c:pt>
                <c:pt idx="102">
                  <c:v>47.7</c:v>
                </c:pt>
                <c:pt idx="103">
                  <c:v>50.1</c:v>
                </c:pt>
                <c:pt idx="104">
                  <c:v>50.2</c:v>
                </c:pt>
                <c:pt idx="105">
                  <c:v>50.9</c:v>
                </c:pt>
                <c:pt idx="106">
                  <c:v>50.8</c:v>
                </c:pt>
                <c:pt idx="107">
                  <c:v>50.5</c:v>
                </c:pt>
                <c:pt idx="108">
                  <c:v>49.5</c:v>
                </c:pt>
                <c:pt idx="109">
                  <c:v>48.5</c:v>
                </c:pt>
                <c:pt idx="110">
                  <c:v>48</c:v>
                </c:pt>
                <c:pt idx="111">
                  <c:v>48.1</c:v>
                </c:pt>
                <c:pt idx="112">
                  <c:v>49.4</c:v>
                </c:pt>
                <c:pt idx="113">
                  <c:v>50.7</c:v>
                </c:pt>
                <c:pt idx="114">
                  <c:v>51.7</c:v>
                </c:pt>
                <c:pt idx="115">
                  <c:v>50.2</c:v>
                </c:pt>
                <c:pt idx="116">
                  <c:v>51.1</c:v>
                </c:pt>
                <c:pt idx="117">
                  <c:v>50.8</c:v>
                </c:pt>
                <c:pt idx="118">
                  <c:v>50.3</c:v>
                </c:pt>
                <c:pt idx="119">
                  <c:v>51.8</c:v>
                </c:pt>
                <c:pt idx="120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D-48B8-A7D8-DD36CCB1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554176"/>
        <c:axId val="413555712"/>
      </c:areaChart>
      <c:barChart>
        <c:barDir val="col"/>
        <c:grouping val="clustered"/>
        <c:varyColors val="0"/>
        <c:ser>
          <c:idx val="2"/>
          <c:order val="2"/>
          <c:tx>
            <c:strRef>
              <c:f>CH!$D$2</c:f>
              <c:strCache>
                <c:ptCount val="1"/>
                <c:pt idx="0">
                  <c:v>China GDP y/y %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CH!$D$3:$D$501</c:f>
              <c:numCache>
                <c:formatCode>0.0%</c:formatCode>
                <c:ptCount val="499"/>
                <c:pt idx="2">
                  <c:v>0.105</c:v>
                </c:pt>
                <c:pt idx="5">
                  <c:v>0.10100000000000001</c:v>
                </c:pt>
                <c:pt idx="8">
                  <c:v>9.98E-2</c:v>
                </c:pt>
                <c:pt idx="11">
                  <c:v>9.9000000000000005E-2</c:v>
                </c:pt>
                <c:pt idx="14">
                  <c:v>0.114</c:v>
                </c:pt>
                <c:pt idx="17">
                  <c:v>0.115</c:v>
                </c:pt>
                <c:pt idx="20">
                  <c:v>0.106</c:v>
                </c:pt>
                <c:pt idx="23">
                  <c:v>0.10400000000000001</c:v>
                </c:pt>
                <c:pt idx="26">
                  <c:v>0.13</c:v>
                </c:pt>
                <c:pt idx="29">
                  <c:v>0.126</c:v>
                </c:pt>
                <c:pt idx="32">
                  <c:v>0.115</c:v>
                </c:pt>
                <c:pt idx="35">
                  <c:v>0.11199999999999999</c:v>
                </c:pt>
                <c:pt idx="38">
                  <c:v>0.106</c:v>
                </c:pt>
                <c:pt idx="41">
                  <c:v>0.10099999999999999</c:v>
                </c:pt>
                <c:pt idx="44">
                  <c:v>0.09</c:v>
                </c:pt>
                <c:pt idx="47">
                  <c:v>6.8000000000000005E-2</c:v>
                </c:pt>
                <c:pt idx="50">
                  <c:v>6.2E-2</c:v>
                </c:pt>
                <c:pt idx="53">
                  <c:v>7.9000000000000001E-2</c:v>
                </c:pt>
                <c:pt idx="56">
                  <c:v>9.0999999999999998E-2</c:v>
                </c:pt>
                <c:pt idx="59">
                  <c:v>0.107</c:v>
                </c:pt>
                <c:pt idx="62">
                  <c:v>0.11899999999999999</c:v>
                </c:pt>
                <c:pt idx="65">
                  <c:v>0.10299999999999999</c:v>
                </c:pt>
                <c:pt idx="68">
                  <c:v>9.6000000000000002E-2</c:v>
                </c:pt>
                <c:pt idx="71">
                  <c:v>9.8000000000000004E-2</c:v>
                </c:pt>
                <c:pt idx="74">
                  <c:v>9.7000000000000003E-2</c:v>
                </c:pt>
                <c:pt idx="77">
                  <c:v>9.5000000000000001E-2</c:v>
                </c:pt>
                <c:pt idx="80">
                  <c:v>9.0999999999999998E-2</c:v>
                </c:pt>
                <c:pt idx="83">
                  <c:v>8.8999999999999996E-2</c:v>
                </c:pt>
                <c:pt idx="86">
                  <c:v>8.1000000000000003E-2</c:v>
                </c:pt>
                <c:pt idx="89">
                  <c:v>7.5999999999999998E-2</c:v>
                </c:pt>
                <c:pt idx="92">
                  <c:v>7.3999999999999996E-2</c:v>
                </c:pt>
                <c:pt idx="95">
                  <c:v>7.9000000000000001E-2</c:v>
                </c:pt>
                <c:pt idx="98">
                  <c:v>7.6999999999999999E-2</c:v>
                </c:pt>
                <c:pt idx="101">
                  <c:v>7.4999999999999997E-2</c:v>
                </c:pt>
                <c:pt idx="104">
                  <c:v>7.8E-2</c:v>
                </c:pt>
                <c:pt idx="107">
                  <c:v>7.6999999999999999E-2</c:v>
                </c:pt>
                <c:pt idx="110">
                  <c:v>7.3999999999999996E-2</c:v>
                </c:pt>
                <c:pt idx="113">
                  <c:v>7.4999999999999997E-2</c:v>
                </c:pt>
                <c:pt idx="116" formatCode="0.00%">
                  <c:v>7.2999999999999995E-2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D-48B8-A7D8-DD36CCB1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3698304"/>
        <c:axId val="413696768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CH!$B$3:$B$501</c:f>
              <c:numCache>
                <c:formatCode>0.0</c:formatCode>
                <c:ptCount val="499"/>
                <c:pt idx="0">
                  <c:v>52.1</c:v>
                </c:pt>
                <c:pt idx="1">
                  <c:v>52.9</c:v>
                </c:pt>
                <c:pt idx="2">
                  <c:v>55.2</c:v>
                </c:pt>
                <c:pt idx="3">
                  <c:v>54.4</c:v>
                </c:pt>
                <c:pt idx="4">
                  <c:v>53.3</c:v>
                </c:pt>
                <c:pt idx="5">
                  <c:v>51</c:v>
                </c:pt>
                <c:pt idx="6">
                  <c:v>51.5</c:v>
                </c:pt>
                <c:pt idx="7">
                  <c:v>50.6</c:v>
                </c:pt>
                <c:pt idx="8">
                  <c:v>50.9</c:v>
                </c:pt>
                <c:pt idx="9">
                  <c:v>50.1</c:v>
                </c:pt>
                <c:pt idx="10">
                  <c:v>49.8</c:v>
                </c:pt>
                <c:pt idx="11">
                  <c:v>50.1</c:v>
                </c:pt>
                <c:pt idx="12">
                  <c:v>50.2</c:v>
                </c:pt>
                <c:pt idx="13">
                  <c:v>50.7</c:v>
                </c:pt>
                <c:pt idx="14">
                  <c:v>51</c:v>
                </c:pt>
                <c:pt idx="15">
                  <c:v>52.7</c:v>
                </c:pt>
                <c:pt idx="16">
                  <c:v>52.8</c:v>
                </c:pt>
                <c:pt idx="17">
                  <c:v>52.9</c:v>
                </c:pt>
                <c:pt idx="18">
                  <c:v>53</c:v>
                </c:pt>
                <c:pt idx="19">
                  <c:v>52.6</c:v>
                </c:pt>
                <c:pt idx="20">
                  <c:v>52.4</c:v>
                </c:pt>
                <c:pt idx="21">
                  <c:v>52.1</c:v>
                </c:pt>
                <c:pt idx="22">
                  <c:v>53</c:v>
                </c:pt>
                <c:pt idx="23">
                  <c:v>52.4</c:v>
                </c:pt>
                <c:pt idx="24">
                  <c:v>52</c:v>
                </c:pt>
                <c:pt idx="25">
                  <c:v>53</c:v>
                </c:pt>
                <c:pt idx="26">
                  <c:v>52.3</c:v>
                </c:pt>
                <c:pt idx="27">
                  <c:v>53.3</c:v>
                </c:pt>
                <c:pt idx="28">
                  <c:v>54.1</c:v>
                </c:pt>
                <c:pt idx="29">
                  <c:v>55</c:v>
                </c:pt>
                <c:pt idx="30">
                  <c:v>53.2</c:v>
                </c:pt>
                <c:pt idx="31">
                  <c:v>53.4</c:v>
                </c:pt>
                <c:pt idx="32">
                  <c:v>55</c:v>
                </c:pt>
                <c:pt idx="33">
                  <c:v>55.2</c:v>
                </c:pt>
                <c:pt idx="34">
                  <c:v>52.8</c:v>
                </c:pt>
                <c:pt idx="35">
                  <c:v>53.3</c:v>
                </c:pt>
                <c:pt idx="36">
                  <c:v>53.2</c:v>
                </c:pt>
                <c:pt idx="37">
                  <c:v>52.8</c:v>
                </c:pt>
                <c:pt idx="38">
                  <c:v>54.4</c:v>
                </c:pt>
                <c:pt idx="39">
                  <c:v>55.4</c:v>
                </c:pt>
                <c:pt idx="40">
                  <c:v>54.7</c:v>
                </c:pt>
                <c:pt idx="41">
                  <c:v>53.3</c:v>
                </c:pt>
                <c:pt idx="42">
                  <c:v>53.3</c:v>
                </c:pt>
                <c:pt idx="43">
                  <c:v>49.2</c:v>
                </c:pt>
                <c:pt idx="44">
                  <c:v>47.7</c:v>
                </c:pt>
                <c:pt idx="45">
                  <c:v>45.2</c:v>
                </c:pt>
                <c:pt idx="46">
                  <c:v>40.9</c:v>
                </c:pt>
                <c:pt idx="47">
                  <c:v>41.2</c:v>
                </c:pt>
                <c:pt idx="48">
                  <c:v>42.2</c:v>
                </c:pt>
                <c:pt idx="49">
                  <c:v>45.1</c:v>
                </c:pt>
                <c:pt idx="50">
                  <c:v>44.8</c:v>
                </c:pt>
                <c:pt idx="51">
                  <c:v>50.1</c:v>
                </c:pt>
                <c:pt idx="52">
                  <c:v>51.2</c:v>
                </c:pt>
                <c:pt idx="53">
                  <c:v>51.8</c:v>
                </c:pt>
                <c:pt idx="54">
                  <c:v>52.8</c:v>
                </c:pt>
                <c:pt idx="55">
                  <c:v>55.1</c:v>
                </c:pt>
                <c:pt idx="56">
                  <c:v>55</c:v>
                </c:pt>
                <c:pt idx="57">
                  <c:v>55.4</c:v>
                </c:pt>
                <c:pt idx="58">
                  <c:v>55.7</c:v>
                </c:pt>
                <c:pt idx="59">
                  <c:v>56.1</c:v>
                </c:pt>
                <c:pt idx="60">
                  <c:v>57.4</c:v>
                </c:pt>
                <c:pt idx="61">
                  <c:v>55.8</c:v>
                </c:pt>
                <c:pt idx="62">
                  <c:v>57</c:v>
                </c:pt>
                <c:pt idx="63">
                  <c:v>55.4</c:v>
                </c:pt>
                <c:pt idx="64">
                  <c:v>52.7</c:v>
                </c:pt>
                <c:pt idx="65">
                  <c:v>50.4</c:v>
                </c:pt>
                <c:pt idx="66">
                  <c:v>49.4</c:v>
                </c:pt>
                <c:pt idx="67">
                  <c:v>51.9</c:v>
                </c:pt>
                <c:pt idx="68">
                  <c:v>52.9</c:v>
                </c:pt>
                <c:pt idx="69">
                  <c:v>54.8</c:v>
                </c:pt>
                <c:pt idx="70">
                  <c:v>55.3</c:v>
                </c:pt>
                <c:pt idx="71">
                  <c:v>54.4</c:v>
                </c:pt>
                <c:pt idx="72">
                  <c:v>54.5</c:v>
                </c:pt>
                <c:pt idx="73">
                  <c:v>51.7</c:v>
                </c:pt>
                <c:pt idx="74">
                  <c:v>51.8</c:v>
                </c:pt>
                <c:pt idx="75">
                  <c:v>51.8</c:v>
                </c:pt>
                <c:pt idx="76">
                  <c:v>51.6</c:v>
                </c:pt>
                <c:pt idx="77">
                  <c:v>50.1</c:v>
                </c:pt>
                <c:pt idx="78">
                  <c:v>49.3</c:v>
                </c:pt>
                <c:pt idx="79">
                  <c:v>49.9</c:v>
                </c:pt>
                <c:pt idx="80">
                  <c:v>49.9</c:v>
                </c:pt>
                <c:pt idx="81">
                  <c:v>51</c:v>
                </c:pt>
                <c:pt idx="82">
                  <c:v>47.7</c:v>
                </c:pt>
                <c:pt idx="83">
                  <c:v>48.7</c:v>
                </c:pt>
                <c:pt idx="84">
                  <c:v>48.8</c:v>
                </c:pt>
                <c:pt idx="85">
                  <c:v>49.6</c:v>
                </c:pt>
                <c:pt idx="86">
                  <c:v>48.3</c:v>
                </c:pt>
                <c:pt idx="87">
                  <c:v>49.3</c:v>
                </c:pt>
                <c:pt idx="88">
                  <c:v>48.4</c:v>
                </c:pt>
                <c:pt idx="89">
                  <c:v>48.2</c:v>
                </c:pt>
                <c:pt idx="90">
                  <c:v>49.3</c:v>
                </c:pt>
                <c:pt idx="91">
                  <c:v>47.7</c:v>
                </c:pt>
                <c:pt idx="92">
                  <c:v>47.9</c:v>
                </c:pt>
                <c:pt idx="93">
                  <c:v>49.5</c:v>
                </c:pt>
                <c:pt idx="94">
                  <c:v>50.5</c:v>
                </c:pt>
                <c:pt idx="95">
                  <c:v>51.5</c:v>
                </c:pt>
                <c:pt idx="96">
                  <c:v>52.3</c:v>
                </c:pt>
                <c:pt idx="97">
                  <c:v>50.4</c:v>
                </c:pt>
                <c:pt idx="98">
                  <c:v>51.6</c:v>
                </c:pt>
                <c:pt idx="99">
                  <c:v>50.4</c:v>
                </c:pt>
                <c:pt idx="100">
                  <c:v>49.2</c:v>
                </c:pt>
                <c:pt idx="101">
                  <c:v>48.2</c:v>
                </c:pt>
                <c:pt idx="102">
                  <c:v>47.7</c:v>
                </c:pt>
                <c:pt idx="103">
                  <c:v>50.1</c:v>
                </c:pt>
                <c:pt idx="104">
                  <c:v>50.2</c:v>
                </c:pt>
                <c:pt idx="105">
                  <c:v>50.9</c:v>
                </c:pt>
                <c:pt idx="106">
                  <c:v>50.8</c:v>
                </c:pt>
                <c:pt idx="107">
                  <c:v>50.5</c:v>
                </c:pt>
                <c:pt idx="108">
                  <c:v>49.5</c:v>
                </c:pt>
                <c:pt idx="109">
                  <c:v>48.5</c:v>
                </c:pt>
                <c:pt idx="110">
                  <c:v>48</c:v>
                </c:pt>
                <c:pt idx="111">
                  <c:v>48.1</c:v>
                </c:pt>
                <c:pt idx="112">
                  <c:v>49.4</c:v>
                </c:pt>
                <c:pt idx="113">
                  <c:v>50.7</c:v>
                </c:pt>
                <c:pt idx="114">
                  <c:v>51.7</c:v>
                </c:pt>
                <c:pt idx="115">
                  <c:v>50.2</c:v>
                </c:pt>
                <c:pt idx="116">
                  <c:v>51.1</c:v>
                </c:pt>
                <c:pt idx="117">
                  <c:v>50.8</c:v>
                </c:pt>
                <c:pt idx="118">
                  <c:v>50.3</c:v>
                </c:pt>
                <c:pt idx="119">
                  <c:v>51.8</c:v>
                </c:pt>
                <c:pt idx="120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7D-48B8-A7D8-DD36CCB1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554176"/>
        <c:axId val="413555712"/>
      </c:lineChart>
      <c:dateAx>
        <c:axId val="413554176"/>
        <c:scaling>
          <c:orientation val="minMax"/>
          <c:min val="39600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3555712"/>
        <c:crossesAt val="50"/>
        <c:auto val="1"/>
        <c:lblOffset val="100"/>
        <c:baseTimeUnit val="months"/>
        <c:majorUnit val="1"/>
        <c:majorTimeUnit val="years"/>
      </c:dateAx>
      <c:valAx>
        <c:axId val="413555712"/>
        <c:scaling>
          <c:orientation val="minMax"/>
          <c:max val="60"/>
          <c:min val="40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3554176"/>
        <c:crosses val="autoZero"/>
        <c:crossBetween val="between"/>
        <c:majorUnit val="5"/>
      </c:valAx>
      <c:valAx>
        <c:axId val="413696768"/>
        <c:scaling>
          <c:orientation val="minMax"/>
          <c:max val="0.13"/>
          <c:min val="1.0000000000000002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413698304"/>
        <c:crosses val="max"/>
        <c:crossBetween val="between"/>
      </c:valAx>
      <c:catAx>
        <c:axId val="413698304"/>
        <c:scaling>
          <c:orientation val="minMax"/>
        </c:scaling>
        <c:delete val="1"/>
        <c:axPos val="b"/>
        <c:majorTickMark val="out"/>
        <c:minorTickMark val="none"/>
        <c:tickLblPos val="nextTo"/>
        <c:crossAx val="413696768"/>
        <c:crossesAt val="7.0000000000000007E-2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3001543970111124"/>
          <c:y val="0.7423404275552512"/>
          <c:w val="0.17821423381981594"/>
          <c:h val="8.21612651679409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Japan Manufacturing PMI</a:t>
            </a:r>
            <a:r>
              <a:rPr lang="en-US" baseline="0"/>
              <a:t> 2012-2014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JP!$B$62</c:f>
              <c:strCache>
                <c:ptCount val="1"/>
                <c:pt idx="0">
                  <c:v>Japan PMI</c:v>
                </c:pt>
              </c:strCache>
            </c:strRef>
          </c:tx>
          <c:spPr>
            <a:solidFill>
              <a:srgbClr val="00B05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JP!$A$87:$A$116</c:f>
              <c:numCache>
                <c:formatCode>mmm\-yy</c:formatCode>
                <c:ptCount val="30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</c:numCache>
            </c:numRef>
          </c:cat>
          <c:val>
            <c:numRef>
              <c:f>JP!$B$87:$B$116</c:f>
              <c:numCache>
                <c:formatCode>0.0</c:formatCode>
                <c:ptCount val="30"/>
                <c:pt idx="0">
                  <c:v>50.7</c:v>
                </c:pt>
                <c:pt idx="1">
                  <c:v>50.5</c:v>
                </c:pt>
                <c:pt idx="2">
                  <c:v>51.1</c:v>
                </c:pt>
                <c:pt idx="3">
                  <c:v>50.7</c:v>
                </c:pt>
                <c:pt idx="4">
                  <c:v>50.7</c:v>
                </c:pt>
                <c:pt idx="5">
                  <c:v>52.6</c:v>
                </c:pt>
                <c:pt idx="6">
                  <c:v>52</c:v>
                </c:pt>
                <c:pt idx="7">
                  <c:v>52.1</c:v>
                </c:pt>
                <c:pt idx="8">
                  <c:v>48</c:v>
                </c:pt>
                <c:pt idx="9">
                  <c:v>46.9</c:v>
                </c:pt>
                <c:pt idx="10">
                  <c:v>46.5</c:v>
                </c:pt>
                <c:pt idx="11">
                  <c:v>45</c:v>
                </c:pt>
                <c:pt idx="12">
                  <c:v>47.7</c:v>
                </c:pt>
                <c:pt idx="13">
                  <c:v>48.5</c:v>
                </c:pt>
                <c:pt idx="14">
                  <c:v>50.4</c:v>
                </c:pt>
                <c:pt idx="15">
                  <c:v>51.1</c:v>
                </c:pt>
                <c:pt idx="16">
                  <c:v>51.5</c:v>
                </c:pt>
                <c:pt idx="17">
                  <c:v>52.3</c:v>
                </c:pt>
                <c:pt idx="18">
                  <c:v>50.7</c:v>
                </c:pt>
                <c:pt idx="19">
                  <c:v>52.2</c:v>
                </c:pt>
                <c:pt idx="20">
                  <c:v>52.5</c:v>
                </c:pt>
                <c:pt idx="21">
                  <c:v>54.2</c:v>
                </c:pt>
                <c:pt idx="22">
                  <c:v>55.1</c:v>
                </c:pt>
                <c:pt idx="23">
                  <c:v>55.2</c:v>
                </c:pt>
                <c:pt idx="24">
                  <c:v>56.6</c:v>
                </c:pt>
                <c:pt idx="25">
                  <c:v>55.5</c:v>
                </c:pt>
                <c:pt idx="26">
                  <c:v>53.9</c:v>
                </c:pt>
                <c:pt idx="27">
                  <c:v>49.4</c:v>
                </c:pt>
                <c:pt idx="28">
                  <c:v>49.9</c:v>
                </c:pt>
                <c:pt idx="29">
                  <c:v>51.5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9EF-4530-B3A3-A0C7358E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415129984"/>
        <c:axId val="415131520"/>
      </c:barChart>
      <c:dateAx>
        <c:axId val="4151299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131520"/>
        <c:crossesAt val="50"/>
        <c:auto val="1"/>
        <c:lblOffset val="100"/>
        <c:baseTimeUnit val="months"/>
        <c:majorUnit val="1"/>
        <c:majorTimeUnit val="months"/>
      </c:dateAx>
      <c:valAx>
        <c:axId val="415131520"/>
        <c:scaling>
          <c:orientation val="minMax"/>
          <c:max val="58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129984"/>
        <c:crosses val="autoZero"/>
        <c:crossBetween val="between"/>
        <c:majorUnit val="1"/>
      </c:valAx>
      <c:spPr>
        <a:solidFill>
          <a:sysClr val="windowText" lastClr="000000"/>
        </a:solidFill>
      </c:spPr>
    </c:plotArea>
    <c:legend>
      <c:legendPos val="r"/>
      <c:layout>
        <c:manualLayout>
          <c:xMode val="edge"/>
          <c:yMode val="edge"/>
          <c:x val="0.10656662352137486"/>
          <c:y val="0.728107050477386"/>
          <c:w val="0.16854753172976666"/>
          <c:h val="7.0083970481950628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 rtl="0">
            <a:defRPr sz="1000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Japan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JP!$B$62</c:f>
              <c:strCache>
                <c:ptCount val="1"/>
                <c:pt idx="0">
                  <c:v>Japan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JP!$A$63:$A$161</c:f>
              <c:numCache>
                <c:formatCode>mmm\-yy</c:formatCode>
                <c:ptCount val="99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 formatCode="yyyy/mm/dd">
                  <c:v>46143</c:v>
                </c:pt>
                <c:pt idx="93" formatCode="yyyy/mm/dd">
                  <c:v>46174</c:v>
                </c:pt>
              </c:numCache>
            </c:numRef>
          </c:cat>
          <c:val>
            <c:numRef>
              <c:f>JP!$B$63:$B$161</c:f>
              <c:numCache>
                <c:formatCode>0.0</c:formatCode>
                <c:ptCount val="99"/>
                <c:pt idx="0">
                  <c:v>53.8</c:v>
                </c:pt>
                <c:pt idx="1">
                  <c:v>52.5</c:v>
                </c:pt>
                <c:pt idx="2">
                  <c:v>53.8</c:v>
                </c:pt>
                <c:pt idx="3">
                  <c:v>53.5</c:v>
                </c:pt>
                <c:pt idx="4">
                  <c:v>54.7</c:v>
                </c:pt>
                <c:pt idx="5">
                  <c:v>53.9</c:v>
                </c:pt>
                <c:pt idx="6">
                  <c:v>52.8</c:v>
                </c:pt>
                <c:pt idx="7">
                  <c:v>50.1</c:v>
                </c:pt>
                <c:pt idx="8">
                  <c:v>49.5</c:v>
                </c:pt>
                <c:pt idx="9">
                  <c:v>47.2</c:v>
                </c:pt>
                <c:pt idx="10">
                  <c:v>47.3</c:v>
                </c:pt>
                <c:pt idx="11">
                  <c:v>48.3</c:v>
                </c:pt>
                <c:pt idx="12">
                  <c:v>51.4</c:v>
                </c:pt>
                <c:pt idx="13">
                  <c:v>52.9</c:v>
                </c:pt>
                <c:pt idx="14">
                  <c:v>41.4</c:v>
                </c:pt>
                <c:pt idx="15">
                  <c:v>45.7</c:v>
                </c:pt>
                <c:pt idx="16">
                  <c:v>51.3</c:v>
                </c:pt>
                <c:pt idx="17">
                  <c:v>50.7</c:v>
                </c:pt>
                <c:pt idx="18">
                  <c:v>52.1</c:v>
                </c:pt>
                <c:pt idx="19">
                  <c:v>51.9</c:v>
                </c:pt>
                <c:pt idx="20">
                  <c:v>49.3</c:v>
                </c:pt>
                <c:pt idx="21">
                  <c:v>50.6</c:v>
                </c:pt>
                <c:pt idx="22">
                  <c:v>49.1</c:v>
                </c:pt>
                <c:pt idx="23">
                  <c:v>50.2</c:v>
                </c:pt>
                <c:pt idx="24">
                  <c:v>50.7</c:v>
                </c:pt>
                <c:pt idx="25">
                  <c:v>50.5</c:v>
                </c:pt>
                <c:pt idx="26">
                  <c:v>51.1</c:v>
                </c:pt>
                <c:pt idx="27">
                  <c:v>50.7</c:v>
                </c:pt>
                <c:pt idx="28">
                  <c:v>50.7</c:v>
                </c:pt>
                <c:pt idx="29">
                  <c:v>52.6</c:v>
                </c:pt>
                <c:pt idx="30">
                  <c:v>52</c:v>
                </c:pt>
                <c:pt idx="31">
                  <c:v>52.1</c:v>
                </c:pt>
                <c:pt idx="32">
                  <c:v>48</c:v>
                </c:pt>
                <c:pt idx="33">
                  <c:v>46.9</c:v>
                </c:pt>
                <c:pt idx="34">
                  <c:v>46.5</c:v>
                </c:pt>
                <c:pt idx="35">
                  <c:v>45</c:v>
                </c:pt>
                <c:pt idx="36">
                  <c:v>47.7</c:v>
                </c:pt>
                <c:pt idx="37">
                  <c:v>48.5</c:v>
                </c:pt>
                <c:pt idx="38">
                  <c:v>50.4</c:v>
                </c:pt>
                <c:pt idx="39">
                  <c:v>51.1</c:v>
                </c:pt>
                <c:pt idx="40">
                  <c:v>51.5</c:v>
                </c:pt>
                <c:pt idx="41">
                  <c:v>52.3</c:v>
                </c:pt>
                <c:pt idx="42">
                  <c:v>50.7</c:v>
                </c:pt>
                <c:pt idx="43">
                  <c:v>52.2</c:v>
                </c:pt>
                <c:pt idx="44">
                  <c:v>52.5</c:v>
                </c:pt>
                <c:pt idx="45">
                  <c:v>54.2</c:v>
                </c:pt>
                <c:pt idx="46">
                  <c:v>55.1</c:v>
                </c:pt>
                <c:pt idx="47">
                  <c:v>55.2</c:v>
                </c:pt>
                <c:pt idx="48">
                  <c:v>56.6</c:v>
                </c:pt>
                <c:pt idx="49">
                  <c:v>55.5</c:v>
                </c:pt>
                <c:pt idx="50">
                  <c:v>53.9</c:v>
                </c:pt>
                <c:pt idx="51">
                  <c:v>49.4</c:v>
                </c:pt>
                <c:pt idx="52">
                  <c:v>49.9</c:v>
                </c:pt>
                <c:pt idx="53">
                  <c:v>51.5</c:v>
                </c:pt>
                <c:pt idx="54">
                  <c:v>50.5</c:v>
                </c:pt>
                <c:pt idx="55">
                  <c:v>52.2</c:v>
                </c:pt>
                <c:pt idx="56">
                  <c:v>51.7</c:v>
                </c:pt>
                <c:pt idx="57">
                  <c:v>52.4</c:v>
                </c:pt>
                <c:pt idx="58">
                  <c:v>52</c:v>
                </c:pt>
                <c:pt idx="92">
                  <c:v>54.5</c:v>
                </c:pt>
                <c:pt idx="93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1-4B7C-B825-DFF7A7C66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673728"/>
        <c:axId val="415822976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cat>
            <c:numRef>
              <c:f>JP!$A$63:$A$115</c:f>
              <c:numCache>
                <c:formatCode>mmm\-yy</c:formatCode>
                <c:ptCount val="5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</c:numCache>
            </c:numRef>
          </c:cat>
          <c:val>
            <c:numRef>
              <c:f>JP!$B$63:$B$185</c:f>
              <c:numCache>
                <c:formatCode>0.0</c:formatCode>
                <c:ptCount val="123"/>
                <c:pt idx="0">
                  <c:v>53.8</c:v>
                </c:pt>
                <c:pt idx="1">
                  <c:v>52.5</c:v>
                </c:pt>
                <c:pt idx="2">
                  <c:v>53.8</c:v>
                </c:pt>
                <c:pt idx="3">
                  <c:v>53.5</c:v>
                </c:pt>
                <c:pt idx="4">
                  <c:v>54.7</c:v>
                </c:pt>
                <c:pt idx="5">
                  <c:v>53.9</c:v>
                </c:pt>
                <c:pt idx="6">
                  <c:v>52.8</c:v>
                </c:pt>
                <c:pt idx="7">
                  <c:v>50.1</c:v>
                </c:pt>
                <c:pt idx="8">
                  <c:v>49.5</c:v>
                </c:pt>
                <c:pt idx="9">
                  <c:v>47.2</c:v>
                </c:pt>
                <c:pt idx="10">
                  <c:v>47.3</c:v>
                </c:pt>
                <c:pt idx="11">
                  <c:v>48.3</c:v>
                </c:pt>
                <c:pt idx="12">
                  <c:v>51.4</c:v>
                </c:pt>
                <c:pt idx="13">
                  <c:v>52.9</c:v>
                </c:pt>
                <c:pt idx="14">
                  <c:v>41.4</c:v>
                </c:pt>
                <c:pt idx="15">
                  <c:v>45.7</c:v>
                </c:pt>
                <c:pt idx="16">
                  <c:v>51.3</c:v>
                </c:pt>
                <c:pt idx="17">
                  <c:v>50.7</c:v>
                </c:pt>
                <c:pt idx="18">
                  <c:v>52.1</c:v>
                </c:pt>
                <c:pt idx="19">
                  <c:v>51.9</c:v>
                </c:pt>
                <c:pt idx="20">
                  <c:v>49.3</c:v>
                </c:pt>
                <c:pt idx="21">
                  <c:v>50.6</c:v>
                </c:pt>
                <c:pt idx="22">
                  <c:v>49.1</c:v>
                </c:pt>
                <c:pt idx="23">
                  <c:v>50.2</c:v>
                </c:pt>
                <c:pt idx="24">
                  <c:v>50.7</c:v>
                </c:pt>
                <c:pt idx="25">
                  <c:v>50.5</c:v>
                </c:pt>
                <c:pt idx="26">
                  <c:v>51.1</c:v>
                </c:pt>
                <c:pt idx="27">
                  <c:v>50.7</c:v>
                </c:pt>
                <c:pt idx="28">
                  <c:v>50.7</c:v>
                </c:pt>
                <c:pt idx="29">
                  <c:v>52.6</c:v>
                </c:pt>
                <c:pt idx="30">
                  <c:v>52</c:v>
                </c:pt>
                <c:pt idx="31">
                  <c:v>52.1</c:v>
                </c:pt>
                <c:pt idx="32">
                  <c:v>48</c:v>
                </c:pt>
                <c:pt idx="33">
                  <c:v>46.9</c:v>
                </c:pt>
                <c:pt idx="34">
                  <c:v>46.5</c:v>
                </c:pt>
                <c:pt idx="35">
                  <c:v>45</c:v>
                </c:pt>
                <c:pt idx="36">
                  <c:v>47.7</c:v>
                </c:pt>
                <c:pt idx="37">
                  <c:v>48.5</c:v>
                </c:pt>
                <c:pt idx="38">
                  <c:v>50.4</c:v>
                </c:pt>
                <c:pt idx="39">
                  <c:v>51.1</c:v>
                </c:pt>
                <c:pt idx="40">
                  <c:v>51.5</c:v>
                </c:pt>
                <c:pt idx="41">
                  <c:v>52.3</c:v>
                </c:pt>
                <c:pt idx="42">
                  <c:v>50.7</c:v>
                </c:pt>
                <c:pt idx="43">
                  <c:v>52.2</c:v>
                </c:pt>
                <c:pt idx="44">
                  <c:v>52.5</c:v>
                </c:pt>
                <c:pt idx="45">
                  <c:v>54.2</c:v>
                </c:pt>
                <c:pt idx="46">
                  <c:v>55.1</c:v>
                </c:pt>
                <c:pt idx="47">
                  <c:v>55.2</c:v>
                </c:pt>
                <c:pt idx="48">
                  <c:v>56.6</c:v>
                </c:pt>
                <c:pt idx="49">
                  <c:v>55.5</c:v>
                </c:pt>
                <c:pt idx="50">
                  <c:v>53.9</c:v>
                </c:pt>
                <c:pt idx="51">
                  <c:v>49.4</c:v>
                </c:pt>
                <c:pt idx="52">
                  <c:v>49.9</c:v>
                </c:pt>
                <c:pt idx="53">
                  <c:v>51.5</c:v>
                </c:pt>
                <c:pt idx="54">
                  <c:v>50.5</c:v>
                </c:pt>
                <c:pt idx="55">
                  <c:v>52.2</c:v>
                </c:pt>
                <c:pt idx="56">
                  <c:v>51.7</c:v>
                </c:pt>
                <c:pt idx="57">
                  <c:v>52.4</c:v>
                </c:pt>
                <c:pt idx="58">
                  <c:v>52</c:v>
                </c:pt>
                <c:pt idx="92">
                  <c:v>54.5</c:v>
                </c:pt>
                <c:pt idx="93">
                  <c:v>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1-4B7C-B825-DFF7A7C66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673728"/>
        <c:axId val="415822976"/>
      </c:lineChart>
      <c:dateAx>
        <c:axId val="415673728"/>
        <c:scaling>
          <c:orientation val="minMax"/>
          <c:min val="40179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822976"/>
        <c:crossesAt val="50"/>
        <c:auto val="1"/>
        <c:lblOffset val="100"/>
        <c:baseTimeUnit val="months"/>
        <c:majorUnit val="1"/>
        <c:majorTimeUnit val="years"/>
      </c:dateAx>
      <c:valAx>
        <c:axId val="415822976"/>
        <c:scaling>
          <c:orientation val="minMax"/>
          <c:max val="58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673728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7168245664497415"/>
          <c:y val="0.18795907984328045"/>
          <c:w val="0.22852697779215955"/>
          <c:h val="7.3404288822653735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Japan Manufacturing PMI</a:t>
            </a:r>
            <a:r>
              <a:rPr lang="en-US" baseline="0"/>
              <a:t> vs. GDP Growth q/q 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JP!$B$62</c:f>
              <c:strCache>
                <c:ptCount val="1"/>
                <c:pt idx="0">
                  <c:v>Japan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JP!$A$63:$A$185</c:f>
              <c:numCache>
                <c:formatCode>mmm\-yy</c:formatCode>
                <c:ptCount val="12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 formatCode="yyyy/mm/dd">
                  <c:v>46143</c:v>
                </c:pt>
                <c:pt idx="93" formatCode="yyyy/mm/dd">
                  <c:v>46174</c:v>
                </c:pt>
              </c:numCache>
            </c:numRef>
          </c:cat>
          <c:val>
            <c:numRef>
              <c:f>JP!$B$63:$B$185</c:f>
              <c:numCache>
                <c:formatCode>0.0</c:formatCode>
                <c:ptCount val="123"/>
                <c:pt idx="0">
                  <c:v>53.8</c:v>
                </c:pt>
                <c:pt idx="1">
                  <c:v>52.5</c:v>
                </c:pt>
                <c:pt idx="2">
                  <c:v>53.8</c:v>
                </c:pt>
                <c:pt idx="3">
                  <c:v>53.5</c:v>
                </c:pt>
                <c:pt idx="4">
                  <c:v>54.7</c:v>
                </c:pt>
                <c:pt idx="5">
                  <c:v>53.9</c:v>
                </c:pt>
                <c:pt idx="6">
                  <c:v>52.8</c:v>
                </c:pt>
                <c:pt idx="7">
                  <c:v>50.1</c:v>
                </c:pt>
                <c:pt idx="8">
                  <c:v>49.5</c:v>
                </c:pt>
                <c:pt idx="9">
                  <c:v>47.2</c:v>
                </c:pt>
                <c:pt idx="10">
                  <c:v>47.3</c:v>
                </c:pt>
                <c:pt idx="11">
                  <c:v>48.3</c:v>
                </c:pt>
                <c:pt idx="12">
                  <c:v>51.4</c:v>
                </c:pt>
                <c:pt idx="13">
                  <c:v>52.9</c:v>
                </c:pt>
                <c:pt idx="14">
                  <c:v>41.4</c:v>
                </c:pt>
                <c:pt idx="15">
                  <c:v>45.7</c:v>
                </c:pt>
                <c:pt idx="16">
                  <c:v>51.3</c:v>
                </c:pt>
                <c:pt idx="17">
                  <c:v>50.7</c:v>
                </c:pt>
                <c:pt idx="18">
                  <c:v>52.1</c:v>
                </c:pt>
                <c:pt idx="19">
                  <c:v>51.9</c:v>
                </c:pt>
                <c:pt idx="20">
                  <c:v>49.3</c:v>
                </c:pt>
                <c:pt idx="21">
                  <c:v>50.6</c:v>
                </c:pt>
                <c:pt idx="22">
                  <c:v>49.1</c:v>
                </c:pt>
                <c:pt idx="23">
                  <c:v>50.2</c:v>
                </c:pt>
                <c:pt idx="24">
                  <c:v>50.7</c:v>
                </c:pt>
                <c:pt idx="25">
                  <c:v>50.5</c:v>
                </c:pt>
                <c:pt idx="26">
                  <c:v>51.1</c:v>
                </c:pt>
                <c:pt idx="27">
                  <c:v>50.7</c:v>
                </c:pt>
                <c:pt idx="28">
                  <c:v>50.7</c:v>
                </c:pt>
                <c:pt idx="29">
                  <c:v>52.6</c:v>
                </c:pt>
                <c:pt idx="30">
                  <c:v>52</c:v>
                </c:pt>
                <c:pt idx="31">
                  <c:v>52.1</c:v>
                </c:pt>
                <c:pt idx="32">
                  <c:v>48</c:v>
                </c:pt>
                <c:pt idx="33">
                  <c:v>46.9</c:v>
                </c:pt>
                <c:pt idx="34">
                  <c:v>46.5</c:v>
                </c:pt>
                <c:pt idx="35">
                  <c:v>45</c:v>
                </c:pt>
                <c:pt idx="36">
                  <c:v>47.7</c:v>
                </c:pt>
                <c:pt idx="37">
                  <c:v>48.5</c:v>
                </c:pt>
                <c:pt idx="38">
                  <c:v>50.4</c:v>
                </c:pt>
                <c:pt idx="39">
                  <c:v>51.1</c:v>
                </c:pt>
                <c:pt idx="40">
                  <c:v>51.5</c:v>
                </c:pt>
                <c:pt idx="41">
                  <c:v>52.3</c:v>
                </c:pt>
                <c:pt idx="42">
                  <c:v>50.7</c:v>
                </c:pt>
                <c:pt idx="43">
                  <c:v>52.2</c:v>
                </c:pt>
                <c:pt idx="44">
                  <c:v>52.5</c:v>
                </c:pt>
                <c:pt idx="45">
                  <c:v>54.2</c:v>
                </c:pt>
                <c:pt idx="46">
                  <c:v>55.1</c:v>
                </c:pt>
                <c:pt idx="47">
                  <c:v>55.2</c:v>
                </c:pt>
                <c:pt idx="48">
                  <c:v>56.6</c:v>
                </c:pt>
                <c:pt idx="49">
                  <c:v>55.5</c:v>
                </c:pt>
                <c:pt idx="50">
                  <c:v>53.9</c:v>
                </c:pt>
                <c:pt idx="51">
                  <c:v>49.4</c:v>
                </c:pt>
                <c:pt idx="52">
                  <c:v>49.9</c:v>
                </c:pt>
                <c:pt idx="53">
                  <c:v>51.5</c:v>
                </c:pt>
                <c:pt idx="54">
                  <c:v>50.5</c:v>
                </c:pt>
                <c:pt idx="55">
                  <c:v>52.2</c:v>
                </c:pt>
                <c:pt idx="56">
                  <c:v>51.7</c:v>
                </c:pt>
                <c:pt idx="57">
                  <c:v>52.4</c:v>
                </c:pt>
                <c:pt idx="58">
                  <c:v>52</c:v>
                </c:pt>
                <c:pt idx="92">
                  <c:v>54.5</c:v>
                </c:pt>
                <c:pt idx="93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F-48CF-8E38-FA0E0A6A6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88512"/>
        <c:axId val="415890048"/>
      </c:areaChart>
      <c:barChart>
        <c:barDir val="col"/>
        <c:grouping val="clustered"/>
        <c:varyColors val="0"/>
        <c:ser>
          <c:idx val="2"/>
          <c:order val="2"/>
          <c:tx>
            <c:strRef>
              <c:f>JP!$D$62</c:f>
              <c:strCache>
                <c:ptCount val="1"/>
                <c:pt idx="0">
                  <c:v>Japan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JP!$D$63:$D$141</c:f>
              <c:numCache>
                <c:formatCode>0.0%</c:formatCode>
                <c:ptCount val="79"/>
                <c:pt idx="2">
                  <c:v>1.4E-2</c:v>
                </c:pt>
                <c:pt idx="5">
                  <c:v>1.0999999999999999E-2</c:v>
                </c:pt>
                <c:pt idx="8">
                  <c:v>1.4E-2</c:v>
                </c:pt>
                <c:pt idx="11">
                  <c:v>-5.0000000000000001E-3</c:v>
                </c:pt>
                <c:pt idx="14">
                  <c:v>-1.7999999999999999E-2</c:v>
                </c:pt>
                <c:pt idx="17">
                  <c:v>-7.0000000000000001E-3</c:v>
                </c:pt>
                <c:pt idx="20">
                  <c:v>2.5999999999999999E-2</c:v>
                </c:pt>
                <c:pt idx="23">
                  <c:v>2E-3</c:v>
                </c:pt>
                <c:pt idx="26">
                  <c:v>8.9999999999999993E-3</c:v>
                </c:pt>
                <c:pt idx="29">
                  <c:v>-5.0000000000000001E-3</c:v>
                </c:pt>
                <c:pt idx="32">
                  <c:v>-8.0000000000000002E-3</c:v>
                </c:pt>
                <c:pt idx="35">
                  <c:v>1E-3</c:v>
                </c:pt>
                <c:pt idx="38">
                  <c:v>1.2E-2</c:v>
                </c:pt>
                <c:pt idx="41">
                  <c:v>8.9999999999999993E-3</c:v>
                </c:pt>
                <c:pt idx="44">
                  <c:v>3.0000000000000001E-3</c:v>
                </c:pt>
                <c:pt idx="47">
                  <c:v>1E-3</c:v>
                </c:pt>
                <c:pt idx="50">
                  <c:v>1.6E-2</c:v>
                </c:pt>
                <c:pt idx="53" formatCode="0.00%">
                  <c:v>-1.7000000000000001E-2</c:v>
                </c:pt>
                <c:pt idx="56" formatCode="0.00%">
                  <c:v>-4.0000000000000001E-3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F-48CF-8E38-FA0E0A6A6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15963008"/>
        <c:axId val="41596147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cat>
            <c:numRef>
              <c:f>JP!$A$87:$A$115</c:f>
              <c:numCache>
                <c:formatCode>mmm\-yy</c:formatCode>
                <c:ptCount val="29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</c:numCache>
            </c:numRef>
          </c:cat>
          <c:val>
            <c:numRef>
              <c:f>JP!$B$63:$B$185</c:f>
              <c:numCache>
                <c:formatCode>0.0</c:formatCode>
                <c:ptCount val="123"/>
                <c:pt idx="0">
                  <c:v>53.8</c:v>
                </c:pt>
                <c:pt idx="1">
                  <c:v>52.5</c:v>
                </c:pt>
                <c:pt idx="2">
                  <c:v>53.8</c:v>
                </c:pt>
                <c:pt idx="3">
                  <c:v>53.5</c:v>
                </c:pt>
                <c:pt idx="4">
                  <c:v>54.7</c:v>
                </c:pt>
                <c:pt idx="5">
                  <c:v>53.9</c:v>
                </c:pt>
                <c:pt idx="6">
                  <c:v>52.8</c:v>
                </c:pt>
                <c:pt idx="7">
                  <c:v>50.1</c:v>
                </c:pt>
                <c:pt idx="8">
                  <c:v>49.5</c:v>
                </c:pt>
                <c:pt idx="9">
                  <c:v>47.2</c:v>
                </c:pt>
                <c:pt idx="10">
                  <c:v>47.3</c:v>
                </c:pt>
                <c:pt idx="11">
                  <c:v>48.3</c:v>
                </c:pt>
                <c:pt idx="12">
                  <c:v>51.4</c:v>
                </c:pt>
                <c:pt idx="13">
                  <c:v>52.9</c:v>
                </c:pt>
                <c:pt idx="14">
                  <c:v>41.4</c:v>
                </c:pt>
                <c:pt idx="15">
                  <c:v>45.7</c:v>
                </c:pt>
                <c:pt idx="16">
                  <c:v>51.3</c:v>
                </c:pt>
                <c:pt idx="17">
                  <c:v>50.7</c:v>
                </c:pt>
                <c:pt idx="18">
                  <c:v>52.1</c:v>
                </c:pt>
                <c:pt idx="19">
                  <c:v>51.9</c:v>
                </c:pt>
                <c:pt idx="20">
                  <c:v>49.3</c:v>
                </c:pt>
                <c:pt idx="21">
                  <c:v>50.6</c:v>
                </c:pt>
                <c:pt idx="22">
                  <c:v>49.1</c:v>
                </c:pt>
                <c:pt idx="23">
                  <c:v>50.2</c:v>
                </c:pt>
                <c:pt idx="24">
                  <c:v>50.7</c:v>
                </c:pt>
                <c:pt idx="25">
                  <c:v>50.5</c:v>
                </c:pt>
                <c:pt idx="26">
                  <c:v>51.1</c:v>
                </c:pt>
                <c:pt idx="27">
                  <c:v>50.7</c:v>
                </c:pt>
                <c:pt idx="28">
                  <c:v>50.7</c:v>
                </c:pt>
                <c:pt idx="29">
                  <c:v>52.6</c:v>
                </c:pt>
                <c:pt idx="30">
                  <c:v>52</c:v>
                </c:pt>
                <c:pt idx="31">
                  <c:v>52.1</c:v>
                </c:pt>
                <c:pt idx="32">
                  <c:v>48</c:v>
                </c:pt>
                <c:pt idx="33">
                  <c:v>46.9</c:v>
                </c:pt>
                <c:pt idx="34">
                  <c:v>46.5</c:v>
                </c:pt>
                <c:pt idx="35">
                  <c:v>45</c:v>
                </c:pt>
                <c:pt idx="36">
                  <c:v>47.7</c:v>
                </c:pt>
                <c:pt idx="37">
                  <c:v>48.5</c:v>
                </c:pt>
                <c:pt idx="38">
                  <c:v>50.4</c:v>
                </c:pt>
                <c:pt idx="39">
                  <c:v>51.1</c:v>
                </c:pt>
                <c:pt idx="40">
                  <c:v>51.5</c:v>
                </c:pt>
                <c:pt idx="41">
                  <c:v>52.3</c:v>
                </c:pt>
                <c:pt idx="42">
                  <c:v>50.7</c:v>
                </c:pt>
                <c:pt idx="43">
                  <c:v>52.2</c:v>
                </c:pt>
                <c:pt idx="44">
                  <c:v>52.5</c:v>
                </c:pt>
                <c:pt idx="45">
                  <c:v>54.2</c:v>
                </c:pt>
                <c:pt idx="46">
                  <c:v>55.1</c:v>
                </c:pt>
                <c:pt idx="47">
                  <c:v>55.2</c:v>
                </c:pt>
                <c:pt idx="48">
                  <c:v>56.6</c:v>
                </c:pt>
                <c:pt idx="49">
                  <c:v>55.5</c:v>
                </c:pt>
                <c:pt idx="50">
                  <c:v>53.9</c:v>
                </c:pt>
                <c:pt idx="51">
                  <c:v>49.4</c:v>
                </c:pt>
                <c:pt idx="52">
                  <c:v>49.9</c:v>
                </c:pt>
                <c:pt idx="53">
                  <c:v>51.5</c:v>
                </c:pt>
                <c:pt idx="54">
                  <c:v>50.5</c:v>
                </c:pt>
                <c:pt idx="55">
                  <c:v>52.2</c:v>
                </c:pt>
                <c:pt idx="56">
                  <c:v>51.7</c:v>
                </c:pt>
                <c:pt idx="57">
                  <c:v>52.4</c:v>
                </c:pt>
                <c:pt idx="58">
                  <c:v>52</c:v>
                </c:pt>
                <c:pt idx="92">
                  <c:v>54.5</c:v>
                </c:pt>
                <c:pt idx="93">
                  <c:v>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4F-48CF-8E38-FA0E0A6A6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888512"/>
        <c:axId val="415890048"/>
      </c:lineChart>
      <c:dateAx>
        <c:axId val="41588851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890048"/>
        <c:crossesAt val="50"/>
        <c:auto val="1"/>
        <c:lblOffset val="100"/>
        <c:baseTimeUnit val="months"/>
        <c:majorUnit val="1"/>
        <c:majorTimeUnit val="years"/>
      </c:dateAx>
      <c:valAx>
        <c:axId val="415890048"/>
        <c:scaling>
          <c:orientation val="minMax"/>
          <c:max val="58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888512"/>
        <c:crosses val="autoZero"/>
        <c:crossBetween val="between"/>
        <c:majorUnit val="4"/>
      </c:valAx>
      <c:valAx>
        <c:axId val="415961472"/>
        <c:scaling>
          <c:orientation val="minMax"/>
          <c:max val="3.0000000000000006E-2"/>
          <c:min val="-3.0000000000000006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415963008"/>
        <c:crosses val="max"/>
        <c:crossBetween val="between"/>
        <c:majorUnit val="1.0000000000000002E-2"/>
      </c:valAx>
      <c:catAx>
        <c:axId val="415963008"/>
        <c:scaling>
          <c:orientation val="minMax"/>
        </c:scaling>
        <c:delete val="1"/>
        <c:axPos val="b"/>
        <c:majorTickMark val="out"/>
        <c:minorTickMark val="none"/>
        <c:tickLblPos val="nextTo"/>
        <c:crossAx val="41596147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824952520450342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Brazil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BRL!$B$71</c:f>
              <c:strCache>
                <c:ptCount val="1"/>
                <c:pt idx="0">
                  <c:v>Brasil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BRL!$A$72:$A$285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BRL!$B$72:$B$285</c:f>
              <c:numCache>
                <c:formatCode>0.0</c:formatCode>
                <c:ptCount val="214"/>
                <c:pt idx="0">
                  <c:v>49.5</c:v>
                </c:pt>
                <c:pt idx="1">
                  <c:v>49.9</c:v>
                </c:pt>
                <c:pt idx="2">
                  <c:v>52.4</c:v>
                </c:pt>
                <c:pt idx="3">
                  <c:v>53.1</c:v>
                </c:pt>
                <c:pt idx="4">
                  <c:v>54.6</c:v>
                </c:pt>
                <c:pt idx="5">
                  <c:v>53.2</c:v>
                </c:pt>
                <c:pt idx="6">
                  <c:v>52.5</c:v>
                </c:pt>
                <c:pt idx="7">
                  <c:v>53</c:v>
                </c:pt>
                <c:pt idx="8">
                  <c:v>49</c:v>
                </c:pt>
                <c:pt idx="9">
                  <c:v>47.8</c:v>
                </c:pt>
                <c:pt idx="10">
                  <c:v>46</c:v>
                </c:pt>
                <c:pt idx="11">
                  <c:v>45.5</c:v>
                </c:pt>
                <c:pt idx="12">
                  <c:v>46.5</c:v>
                </c:pt>
                <c:pt idx="13">
                  <c:v>48.7</c:v>
                </c:pt>
                <c:pt idx="14">
                  <c:v>49.3</c:v>
                </c:pt>
                <c:pt idx="15">
                  <c:v>50.6</c:v>
                </c:pt>
                <c:pt idx="16">
                  <c:v>51.4</c:v>
                </c:pt>
                <c:pt idx="17">
                  <c:v>51.1</c:v>
                </c:pt>
                <c:pt idx="18">
                  <c:v>49.3</c:v>
                </c:pt>
                <c:pt idx="19">
                  <c:v>49.3</c:v>
                </c:pt>
                <c:pt idx="20">
                  <c:v>48.5</c:v>
                </c:pt>
                <c:pt idx="21">
                  <c:v>48.7</c:v>
                </c:pt>
                <c:pt idx="22">
                  <c:v>49.3</c:v>
                </c:pt>
                <c:pt idx="23">
                  <c:v>49.8</c:v>
                </c:pt>
                <c:pt idx="24">
                  <c:v>50.2</c:v>
                </c:pt>
                <c:pt idx="25">
                  <c:v>52.2</c:v>
                </c:pt>
                <c:pt idx="26">
                  <c:v>51.1</c:v>
                </c:pt>
                <c:pt idx="27">
                  <c:v>53.2</c:v>
                </c:pt>
                <c:pt idx="28">
                  <c:v>52.5</c:v>
                </c:pt>
                <c:pt idx="29">
                  <c:v>51.8</c:v>
                </c:pt>
                <c:pt idx="30">
                  <c:v>50.8</c:v>
                </c:pt>
                <c:pt idx="31">
                  <c:v>50.4</c:v>
                </c:pt>
                <c:pt idx="32">
                  <c:v>50.4</c:v>
                </c:pt>
                <c:pt idx="33">
                  <c:v>48.5</c:v>
                </c:pt>
                <c:pt idx="34">
                  <c:v>49.4</c:v>
                </c:pt>
                <c:pt idx="35">
                  <c:v>49.9</c:v>
                </c:pt>
                <c:pt idx="36">
                  <c:v>50.2</c:v>
                </c:pt>
                <c:pt idx="37">
                  <c:v>49.7</c:v>
                </c:pt>
                <c:pt idx="38">
                  <c:v>50.5</c:v>
                </c:pt>
                <c:pt idx="39">
                  <c:v>51.7</c:v>
                </c:pt>
                <c:pt idx="40">
                  <c:v>50.4</c:v>
                </c:pt>
                <c:pt idx="41">
                  <c:v>50.6</c:v>
                </c:pt>
                <c:pt idx="42">
                  <c:v>49.3</c:v>
                </c:pt>
                <c:pt idx="43">
                  <c:v>48.8</c:v>
                </c:pt>
                <c:pt idx="44">
                  <c:v>48.7</c:v>
                </c:pt>
                <c:pt idx="45">
                  <c:v>49.1</c:v>
                </c:pt>
                <c:pt idx="46">
                  <c:v>50.2</c:v>
                </c:pt>
                <c:pt idx="47">
                  <c:v>49.3</c:v>
                </c:pt>
                <c:pt idx="48">
                  <c:v>49.1</c:v>
                </c:pt>
                <c:pt idx="49">
                  <c:v>48.7</c:v>
                </c:pt>
                <c:pt idx="83">
                  <c:v>49.1</c:v>
                </c:pt>
                <c:pt idx="84">
                  <c:v>50.8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1-4D8B-8BD7-C171B66B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66784"/>
        <c:axId val="53616832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BRL!$B$72:$B$285</c:f>
              <c:numCache>
                <c:formatCode>0.0</c:formatCode>
                <c:ptCount val="214"/>
                <c:pt idx="0">
                  <c:v>49.5</c:v>
                </c:pt>
                <c:pt idx="1">
                  <c:v>49.9</c:v>
                </c:pt>
                <c:pt idx="2">
                  <c:v>52.4</c:v>
                </c:pt>
                <c:pt idx="3">
                  <c:v>53.1</c:v>
                </c:pt>
                <c:pt idx="4">
                  <c:v>54.6</c:v>
                </c:pt>
                <c:pt idx="5">
                  <c:v>53.2</c:v>
                </c:pt>
                <c:pt idx="6">
                  <c:v>52.5</c:v>
                </c:pt>
                <c:pt idx="7">
                  <c:v>53</c:v>
                </c:pt>
                <c:pt idx="8">
                  <c:v>49</c:v>
                </c:pt>
                <c:pt idx="9">
                  <c:v>47.8</c:v>
                </c:pt>
                <c:pt idx="10">
                  <c:v>46</c:v>
                </c:pt>
                <c:pt idx="11">
                  <c:v>45.5</c:v>
                </c:pt>
                <c:pt idx="12">
                  <c:v>46.5</c:v>
                </c:pt>
                <c:pt idx="13">
                  <c:v>48.7</c:v>
                </c:pt>
                <c:pt idx="14">
                  <c:v>49.3</c:v>
                </c:pt>
                <c:pt idx="15">
                  <c:v>50.6</c:v>
                </c:pt>
                <c:pt idx="16">
                  <c:v>51.4</c:v>
                </c:pt>
                <c:pt idx="17">
                  <c:v>51.1</c:v>
                </c:pt>
                <c:pt idx="18">
                  <c:v>49.3</c:v>
                </c:pt>
                <c:pt idx="19">
                  <c:v>49.3</c:v>
                </c:pt>
                <c:pt idx="20">
                  <c:v>48.5</c:v>
                </c:pt>
                <c:pt idx="21">
                  <c:v>48.7</c:v>
                </c:pt>
                <c:pt idx="22">
                  <c:v>49.3</c:v>
                </c:pt>
                <c:pt idx="23">
                  <c:v>49.8</c:v>
                </c:pt>
                <c:pt idx="24">
                  <c:v>50.2</c:v>
                </c:pt>
                <c:pt idx="25">
                  <c:v>52.2</c:v>
                </c:pt>
                <c:pt idx="26">
                  <c:v>51.1</c:v>
                </c:pt>
                <c:pt idx="27">
                  <c:v>53.2</c:v>
                </c:pt>
                <c:pt idx="28">
                  <c:v>52.5</c:v>
                </c:pt>
                <c:pt idx="29">
                  <c:v>51.8</c:v>
                </c:pt>
                <c:pt idx="30">
                  <c:v>50.8</c:v>
                </c:pt>
                <c:pt idx="31">
                  <c:v>50.4</c:v>
                </c:pt>
                <c:pt idx="32">
                  <c:v>50.4</c:v>
                </c:pt>
                <c:pt idx="33">
                  <c:v>48.5</c:v>
                </c:pt>
                <c:pt idx="34">
                  <c:v>49.4</c:v>
                </c:pt>
                <c:pt idx="35">
                  <c:v>49.9</c:v>
                </c:pt>
                <c:pt idx="36">
                  <c:v>50.2</c:v>
                </c:pt>
                <c:pt idx="37">
                  <c:v>49.7</c:v>
                </c:pt>
                <c:pt idx="38">
                  <c:v>50.5</c:v>
                </c:pt>
                <c:pt idx="39">
                  <c:v>51.7</c:v>
                </c:pt>
                <c:pt idx="40">
                  <c:v>50.4</c:v>
                </c:pt>
                <c:pt idx="41">
                  <c:v>50.6</c:v>
                </c:pt>
                <c:pt idx="42">
                  <c:v>49.3</c:v>
                </c:pt>
                <c:pt idx="43">
                  <c:v>48.8</c:v>
                </c:pt>
                <c:pt idx="44">
                  <c:v>48.7</c:v>
                </c:pt>
                <c:pt idx="45">
                  <c:v>49.1</c:v>
                </c:pt>
                <c:pt idx="46">
                  <c:v>50.2</c:v>
                </c:pt>
                <c:pt idx="47">
                  <c:v>49.3</c:v>
                </c:pt>
                <c:pt idx="48">
                  <c:v>49.1</c:v>
                </c:pt>
                <c:pt idx="49">
                  <c:v>48.7</c:v>
                </c:pt>
                <c:pt idx="83">
                  <c:v>49.1</c:v>
                </c:pt>
                <c:pt idx="84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A1-4D8B-8BD7-C171B66B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166784"/>
        <c:axId val="536168320"/>
      </c:lineChart>
      <c:dateAx>
        <c:axId val="536166784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6168320"/>
        <c:crossesAt val="50"/>
        <c:auto val="1"/>
        <c:lblOffset val="100"/>
        <c:baseTimeUnit val="months"/>
        <c:majorUnit val="1"/>
        <c:majorTimeUnit val="years"/>
      </c:dateAx>
      <c:valAx>
        <c:axId val="536168320"/>
        <c:scaling>
          <c:orientation val="minMax"/>
          <c:max val="55"/>
          <c:min val="45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6166784"/>
        <c:crosses val="autoZero"/>
        <c:crossBetween val="between"/>
        <c:majorUnit val="2.5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6786544661369383"/>
          <c:y val="0.17470757731370534"/>
          <c:w val="0.16001779743285513"/>
          <c:h val="8.21612651679409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Brazil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BRL!$B$71</c:f>
              <c:strCache>
                <c:ptCount val="1"/>
                <c:pt idx="0">
                  <c:v>Brasil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BRL!$A$72:$A$285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BRL!$B$72:$B$285</c:f>
              <c:numCache>
                <c:formatCode>0.0</c:formatCode>
                <c:ptCount val="214"/>
                <c:pt idx="0">
                  <c:v>49.5</c:v>
                </c:pt>
                <c:pt idx="1">
                  <c:v>49.9</c:v>
                </c:pt>
                <c:pt idx="2">
                  <c:v>52.4</c:v>
                </c:pt>
                <c:pt idx="3">
                  <c:v>53.1</c:v>
                </c:pt>
                <c:pt idx="4">
                  <c:v>54.6</c:v>
                </c:pt>
                <c:pt idx="5">
                  <c:v>53.2</c:v>
                </c:pt>
                <c:pt idx="6">
                  <c:v>52.5</c:v>
                </c:pt>
                <c:pt idx="7">
                  <c:v>53</c:v>
                </c:pt>
                <c:pt idx="8">
                  <c:v>49</c:v>
                </c:pt>
                <c:pt idx="9">
                  <c:v>47.8</c:v>
                </c:pt>
                <c:pt idx="10">
                  <c:v>46</c:v>
                </c:pt>
                <c:pt idx="11">
                  <c:v>45.5</c:v>
                </c:pt>
                <c:pt idx="12">
                  <c:v>46.5</c:v>
                </c:pt>
                <c:pt idx="13">
                  <c:v>48.7</c:v>
                </c:pt>
                <c:pt idx="14">
                  <c:v>49.3</c:v>
                </c:pt>
                <c:pt idx="15">
                  <c:v>50.6</c:v>
                </c:pt>
                <c:pt idx="16">
                  <c:v>51.4</c:v>
                </c:pt>
                <c:pt idx="17">
                  <c:v>51.1</c:v>
                </c:pt>
                <c:pt idx="18">
                  <c:v>49.3</c:v>
                </c:pt>
                <c:pt idx="19">
                  <c:v>49.3</c:v>
                </c:pt>
                <c:pt idx="20">
                  <c:v>48.5</c:v>
                </c:pt>
                <c:pt idx="21">
                  <c:v>48.7</c:v>
                </c:pt>
                <c:pt idx="22">
                  <c:v>49.3</c:v>
                </c:pt>
                <c:pt idx="23">
                  <c:v>49.8</c:v>
                </c:pt>
                <c:pt idx="24">
                  <c:v>50.2</c:v>
                </c:pt>
                <c:pt idx="25">
                  <c:v>52.2</c:v>
                </c:pt>
                <c:pt idx="26">
                  <c:v>51.1</c:v>
                </c:pt>
                <c:pt idx="27">
                  <c:v>53.2</c:v>
                </c:pt>
                <c:pt idx="28">
                  <c:v>52.5</c:v>
                </c:pt>
                <c:pt idx="29">
                  <c:v>51.8</c:v>
                </c:pt>
                <c:pt idx="30">
                  <c:v>50.8</c:v>
                </c:pt>
                <c:pt idx="31">
                  <c:v>50.4</c:v>
                </c:pt>
                <c:pt idx="32">
                  <c:v>50.4</c:v>
                </c:pt>
                <c:pt idx="33">
                  <c:v>48.5</c:v>
                </c:pt>
                <c:pt idx="34">
                  <c:v>49.4</c:v>
                </c:pt>
                <c:pt idx="35">
                  <c:v>49.9</c:v>
                </c:pt>
                <c:pt idx="36">
                  <c:v>50.2</c:v>
                </c:pt>
                <c:pt idx="37">
                  <c:v>49.7</c:v>
                </c:pt>
                <c:pt idx="38">
                  <c:v>50.5</c:v>
                </c:pt>
                <c:pt idx="39">
                  <c:v>51.7</c:v>
                </c:pt>
                <c:pt idx="40">
                  <c:v>50.4</c:v>
                </c:pt>
                <c:pt idx="41">
                  <c:v>50.6</c:v>
                </c:pt>
                <c:pt idx="42">
                  <c:v>49.3</c:v>
                </c:pt>
                <c:pt idx="43">
                  <c:v>48.8</c:v>
                </c:pt>
                <c:pt idx="44">
                  <c:v>48.7</c:v>
                </c:pt>
                <c:pt idx="45">
                  <c:v>49.1</c:v>
                </c:pt>
                <c:pt idx="46">
                  <c:v>50.2</c:v>
                </c:pt>
                <c:pt idx="47">
                  <c:v>49.3</c:v>
                </c:pt>
                <c:pt idx="48">
                  <c:v>49.1</c:v>
                </c:pt>
                <c:pt idx="49">
                  <c:v>48.7</c:v>
                </c:pt>
                <c:pt idx="83">
                  <c:v>49.1</c:v>
                </c:pt>
                <c:pt idx="84">
                  <c:v>50.8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59B-ACDA-E7DF6A53E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557440"/>
        <c:axId val="536558976"/>
      </c:areaChart>
      <c:barChart>
        <c:barDir val="col"/>
        <c:grouping val="clustered"/>
        <c:varyColors val="0"/>
        <c:ser>
          <c:idx val="2"/>
          <c:order val="2"/>
          <c:tx>
            <c:strRef>
              <c:f>BRL!$D$71</c:f>
              <c:strCache>
                <c:ptCount val="1"/>
                <c:pt idx="0">
                  <c:v>Brazil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BRL!$D$72:$D$150</c:f>
              <c:numCache>
                <c:formatCode>0.0%</c:formatCode>
                <c:ptCount val="79"/>
                <c:pt idx="2">
                  <c:v>1.0999999999999999E-2</c:v>
                </c:pt>
                <c:pt idx="5">
                  <c:v>6.0000000000000001E-3</c:v>
                </c:pt>
                <c:pt idx="8">
                  <c:v>5.0000000000000001E-3</c:v>
                </c:pt>
                <c:pt idx="11">
                  <c:v>-1E-3</c:v>
                </c:pt>
                <c:pt idx="14">
                  <c:v>1E-3</c:v>
                </c:pt>
                <c:pt idx="17">
                  <c:v>1E-3</c:v>
                </c:pt>
                <c:pt idx="20">
                  <c:v>1E-3</c:v>
                </c:pt>
                <c:pt idx="23">
                  <c:v>6.0000000000000001E-3</c:v>
                </c:pt>
                <c:pt idx="26">
                  <c:v>8.9999999999999993E-3</c:v>
                </c:pt>
                <c:pt idx="29">
                  <c:v>0</c:v>
                </c:pt>
                <c:pt idx="32">
                  <c:v>1.7999999999999999E-2</c:v>
                </c:pt>
                <c:pt idx="35">
                  <c:v>-5.0000000000000001E-3</c:v>
                </c:pt>
                <c:pt idx="38">
                  <c:v>7.0000000000000001E-3</c:v>
                </c:pt>
                <c:pt idx="41">
                  <c:v>2E-3</c:v>
                </c:pt>
                <c:pt idx="44">
                  <c:v>-6.0000000000000001E-3</c:v>
                </c:pt>
                <c:pt idx="47" formatCode="0.00%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9-459B-ACDA-E7DF6A53E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6590976"/>
        <c:axId val="53658944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BRL!$B$72:$B$285</c:f>
              <c:numCache>
                <c:formatCode>0.0</c:formatCode>
                <c:ptCount val="214"/>
                <c:pt idx="0">
                  <c:v>49.5</c:v>
                </c:pt>
                <c:pt idx="1">
                  <c:v>49.9</c:v>
                </c:pt>
                <c:pt idx="2">
                  <c:v>52.4</c:v>
                </c:pt>
                <c:pt idx="3">
                  <c:v>53.1</c:v>
                </c:pt>
                <c:pt idx="4">
                  <c:v>54.6</c:v>
                </c:pt>
                <c:pt idx="5">
                  <c:v>53.2</c:v>
                </c:pt>
                <c:pt idx="6">
                  <c:v>52.5</c:v>
                </c:pt>
                <c:pt idx="7">
                  <c:v>53</c:v>
                </c:pt>
                <c:pt idx="8">
                  <c:v>49</c:v>
                </c:pt>
                <c:pt idx="9">
                  <c:v>47.8</c:v>
                </c:pt>
                <c:pt idx="10">
                  <c:v>46</c:v>
                </c:pt>
                <c:pt idx="11">
                  <c:v>45.5</c:v>
                </c:pt>
                <c:pt idx="12">
                  <c:v>46.5</c:v>
                </c:pt>
                <c:pt idx="13">
                  <c:v>48.7</c:v>
                </c:pt>
                <c:pt idx="14">
                  <c:v>49.3</c:v>
                </c:pt>
                <c:pt idx="15">
                  <c:v>50.6</c:v>
                </c:pt>
                <c:pt idx="16">
                  <c:v>51.4</c:v>
                </c:pt>
                <c:pt idx="17">
                  <c:v>51.1</c:v>
                </c:pt>
                <c:pt idx="18">
                  <c:v>49.3</c:v>
                </c:pt>
                <c:pt idx="19">
                  <c:v>49.3</c:v>
                </c:pt>
                <c:pt idx="20">
                  <c:v>48.5</c:v>
                </c:pt>
                <c:pt idx="21">
                  <c:v>48.7</c:v>
                </c:pt>
                <c:pt idx="22">
                  <c:v>49.3</c:v>
                </c:pt>
                <c:pt idx="23">
                  <c:v>49.8</c:v>
                </c:pt>
                <c:pt idx="24">
                  <c:v>50.2</c:v>
                </c:pt>
                <c:pt idx="25">
                  <c:v>52.2</c:v>
                </c:pt>
                <c:pt idx="26">
                  <c:v>51.1</c:v>
                </c:pt>
                <c:pt idx="27">
                  <c:v>53.2</c:v>
                </c:pt>
                <c:pt idx="28">
                  <c:v>52.5</c:v>
                </c:pt>
                <c:pt idx="29">
                  <c:v>51.8</c:v>
                </c:pt>
                <c:pt idx="30">
                  <c:v>50.8</c:v>
                </c:pt>
                <c:pt idx="31">
                  <c:v>50.4</c:v>
                </c:pt>
                <c:pt idx="32">
                  <c:v>50.4</c:v>
                </c:pt>
                <c:pt idx="33">
                  <c:v>48.5</c:v>
                </c:pt>
                <c:pt idx="34">
                  <c:v>49.4</c:v>
                </c:pt>
                <c:pt idx="35">
                  <c:v>49.9</c:v>
                </c:pt>
                <c:pt idx="36">
                  <c:v>50.2</c:v>
                </c:pt>
                <c:pt idx="37">
                  <c:v>49.7</c:v>
                </c:pt>
                <c:pt idx="38">
                  <c:v>50.5</c:v>
                </c:pt>
                <c:pt idx="39">
                  <c:v>51.7</c:v>
                </c:pt>
                <c:pt idx="40">
                  <c:v>50.4</c:v>
                </c:pt>
                <c:pt idx="41">
                  <c:v>50.6</c:v>
                </c:pt>
                <c:pt idx="42">
                  <c:v>49.3</c:v>
                </c:pt>
                <c:pt idx="43">
                  <c:v>48.8</c:v>
                </c:pt>
                <c:pt idx="44">
                  <c:v>48.7</c:v>
                </c:pt>
                <c:pt idx="45">
                  <c:v>49.1</c:v>
                </c:pt>
                <c:pt idx="46">
                  <c:v>50.2</c:v>
                </c:pt>
                <c:pt idx="47">
                  <c:v>49.3</c:v>
                </c:pt>
                <c:pt idx="48">
                  <c:v>49.1</c:v>
                </c:pt>
                <c:pt idx="49">
                  <c:v>48.7</c:v>
                </c:pt>
                <c:pt idx="83">
                  <c:v>49.1</c:v>
                </c:pt>
                <c:pt idx="84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99-459B-ACDA-E7DF6A53E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557440"/>
        <c:axId val="536558976"/>
      </c:lineChart>
      <c:dateAx>
        <c:axId val="536557440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6558976"/>
        <c:crossesAt val="50"/>
        <c:auto val="1"/>
        <c:lblOffset val="100"/>
        <c:baseTimeUnit val="months"/>
        <c:majorUnit val="1"/>
        <c:majorTimeUnit val="years"/>
      </c:dateAx>
      <c:valAx>
        <c:axId val="536558976"/>
        <c:scaling>
          <c:orientation val="minMax"/>
          <c:max val="55"/>
          <c:min val="45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6557440"/>
        <c:crosses val="autoZero"/>
        <c:crossBetween val="between"/>
        <c:majorUnit val="2.5"/>
      </c:valAx>
      <c:valAx>
        <c:axId val="536589440"/>
        <c:scaling>
          <c:orientation val="minMax"/>
          <c:max val="2.0000000000000004E-2"/>
          <c:min val="-2.0000000000000004E-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36590976"/>
        <c:crosses val="max"/>
        <c:crossBetween val="between"/>
      </c:valAx>
      <c:catAx>
        <c:axId val="536590976"/>
        <c:scaling>
          <c:orientation val="minMax"/>
        </c:scaling>
        <c:delete val="1"/>
        <c:axPos val="b"/>
        <c:majorTickMark val="out"/>
        <c:minorTickMark val="none"/>
        <c:tickLblPos val="nextTo"/>
        <c:crossAx val="53658944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3932663382830571"/>
          <c:y val="0.15055298794172467"/>
          <c:w val="0.17656689148369512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India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IND!$B$71</c:f>
              <c:strCache>
                <c:ptCount val="1"/>
                <c:pt idx="0">
                  <c:v>India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IND!$A$72:$A$285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IND!$B$72:$B$285</c:f>
              <c:numCache>
                <c:formatCode>0.0</c:formatCode>
                <c:ptCount val="214"/>
                <c:pt idx="0">
                  <c:v>57.2</c:v>
                </c:pt>
                <c:pt idx="1">
                  <c:v>58.4</c:v>
                </c:pt>
                <c:pt idx="2">
                  <c:v>56.7</c:v>
                </c:pt>
                <c:pt idx="3">
                  <c:v>56.8</c:v>
                </c:pt>
                <c:pt idx="4">
                  <c:v>57.9</c:v>
                </c:pt>
                <c:pt idx="5">
                  <c:v>57.9</c:v>
                </c:pt>
                <c:pt idx="6">
                  <c:v>58</c:v>
                </c:pt>
                <c:pt idx="7">
                  <c:v>57.5</c:v>
                </c:pt>
                <c:pt idx="8">
                  <c:v>55.3</c:v>
                </c:pt>
                <c:pt idx="9">
                  <c:v>56.3</c:v>
                </c:pt>
                <c:pt idx="10">
                  <c:v>52.6</c:v>
                </c:pt>
                <c:pt idx="11">
                  <c:v>50.4</c:v>
                </c:pt>
                <c:pt idx="12">
                  <c:v>51</c:v>
                </c:pt>
                <c:pt idx="13">
                  <c:v>52</c:v>
                </c:pt>
                <c:pt idx="14">
                  <c:v>57</c:v>
                </c:pt>
                <c:pt idx="15">
                  <c:v>57.5</c:v>
                </c:pt>
                <c:pt idx="16">
                  <c:v>56.6</c:v>
                </c:pt>
                <c:pt idx="17">
                  <c:v>54.7</c:v>
                </c:pt>
                <c:pt idx="18">
                  <c:v>54.9</c:v>
                </c:pt>
                <c:pt idx="19">
                  <c:v>54.8</c:v>
                </c:pt>
                <c:pt idx="20">
                  <c:v>55</c:v>
                </c:pt>
                <c:pt idx="21">
                  <c:v>52.9</c:v>
                </c:pt>
                <c:pt idx="22">
                  <c:v>52.8</c:v>
                </c:pt>
                <c:pt idx="23">
                  <c:v>52.8</c:v>
                </c:pt>
                <c:pt idx="24">
                  <c:v>52.9</c:v>
                </c:pt>
                <c:pt idx="25">
                  <c:v>53.7</c:v>
                </c:pt>
                <c:pt idx="26">
                  <c:v>54.7</c:v>
                </c:pt>
                <c:pt idx="27">
                  <c:v>53.2</c:v>
                </c:pt>
                <c:pt idx="28">
                  <c:v>54.2</c:v>
                </c:pt>
                <c:pt idx="29">
                  <c:v>52</c:v>
                </c:pt>
                <c:pt idx="30">
                  <c:v>51</c:v>
                </c:pt>
                <c:pt idx="31">
                  <c:v>50.1</c:v>
                </c:pt>
                <c:pt idx="32">
                  <c:v>50.3</c:v>
                </c:pt>
                <c:pt idx="33">
                  <c:v>50.1</c:v>
                </c:pt>
                <c:pt idx="34">
                  <c:v>48.5</c:v>
                </c:pt>
                <c:pt idx="35">
                  <c:v>49.6</c:v>
                </c:pt>
                <c:pt idx="36">
                  <c:v>49.6</c:v>
                </c:pt>
                <c:pt idx="37">
                  <c:v>51.3</c:v>
                </c:pt>
                <c:pt idx="38">
                  <c:v>50.7</c:v>
                </c:pt>
                <c:pt idx="39">
                  <c:v>51.4</c:v>
                </c:pt>
                <c:pt idx="40">
                  <c:v>52.5</c:v>
                </c:pt>
                <c:pt idx="41">
                  <c:v>51.3</c:v>
                </c:pt>
                <c:pt idx="42">
                  <c:v>51.3</c:v>
                </c:pt>
                <c:pt idx="43">
                  <c:v>51.4</c:v>
                </c:pt>
                <c:pt idx="44">
                  <c:v>51.5</c:v>
                </c:pt>
                <c:pt idx="45">
                  <c:v>53</c:v>
                </c:pt>
                <c:pt idx="46">
                  <c:v>52.4</c:v>
                </c:pt>
                <c:pt idx="47">
                  <c:v>51</c:v>
                </c:pt>
                <c:pt idx="48">
                  <c:v>51.6</c:v>
                </c:pt>
                <c:pt idx="49">
                  <c:v>53.3</c:v>
                </c:pt>
                <c:pt idx="83">
                  <c:v>55</c:v>
                </c:pt>
                <c:pt idx="84">
                  <c:v>54.2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A-41BA-9774-DF1CCD05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33216"/>
        <c:axId val="53743475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IND!$B$72:$B$285</c:f>
              <c:numCache>
                <c:formatCode>0.0</c:formatCode>
                <c:ptCount val="214"/>
                <c:pt idx="0">
                  <c:v>57.2</c:v>
                </c:pt>
                <c:pt idx="1">
                  <c:v>58.4</c:v>
                </c:pt>
                <c:pt idx="2">
                  <c:v>56.7</c:v>
                </c:pt>
                <c:pt idx="3">
                  <c:v>56.8</c:v>
                </c:pt>
                <c:pt idx="4">
                  <c:v>57.9</c:v>
                </c:pt>
                <c:pt idx="5">
                  <c:v>57.9</c:v>
                </c:pt>
                <c:pt idx="6">
                  <c:v>58</c:v>
                </c:pt>
                <c:pt idx="7">
                  <c:v>57.5</c:v>
                </c:pt>
                <c:pt idx="8">
                  <c:v>55.3</c:v>
                </c:pt>
                <c:pt idx="9">
                  <c:v>56.3</c:v>
                </c:pt>
                <c:pt idx="10">
                  <c:v>52.6</c:v>
                </c:pt>
                <c:pt idx="11">
                  <c:v>50.4</c:v>
                </c:pt>
                <c:pt idx="12">
                  <c:v>51</c:v>
                </c:pt>
                <c:pt idx="13">
                  <c:v>52</c:v>
                </c:pt>
                <c:pt idx="14">
                  <c:v>57</c:v>
                </c:pt>
                <c:pt idx="15">
                  <c:v>57.5</c:v>
                </c:pt>
                <c:pt idx="16">
                  <c:v>56.6</c:v>
                </c:pt>
                <c:pt idx="17">
                  <c:v>54.7</c:v>
                </c:pt>
                <c:pt idx="18">
                  <c:v>54.9</c:v>
                </c:pt>
                <c:pt idx="19">
                  <c:v>54.8</c:v>
                </c:pt>
                <c:pt idx="20">
                  <c:v>55</c:v>
                </c:pt>
                <c:pt idx="21">
                  <c:v>52.9</c:v>
                </c:pt>
                <c:pt idx="22">
                  <c:v>52.8</c:v>
                </c:pt>
                <c:pt idx="23">
                  <c:v>52.8</c:v>
                </c:pt>
                <c:pt idx="24">
                  <c:v>52.9</c:v>
                </c:pt>
                <c:pt idx="25">
                  <c:v>53.7</c:v>
                </c:pt>
                <c:pt idx="26">
                  <c:v>54.7</c:v>
                </c:pt>
                <c:pt idx="27">
                  <c:v>53.2</c:v>
                </c:pt>
                <c:pt idx="28">
                  <c:v>54.2</c:v>
                </c:pt>
                <c:pt idx="29">
                  <c:v>52</c:v>
                </c:pt>
                <c:pt idx="30">
                  <c:v>51</c:v>
                </c:pt>
                <c:pt idx="31">
                  <c:v>50.1</c:v>
                </c:pt>
                <c:pt idx="32">
                  <c:v>50.3</c:v>
                </c:pt>
                <c:pt idx="33">
                  <c:v>50.1</c:v>
                </c:pt>
                <c:pt idx="34">
                  <c:v>48.5</c:v>
                </c:pt>
                <c:pt idx="35">
                  <c:v>49.6</c:v>
                </c:pt>
                <c:pt idx="36">
                  <c:v>49.6</c:v>
                </c:pt>
                <c:pt idx="37">
                  <c:v>51.3</c:v>
                </c:pt>
                <c:pt idx="38">
                  <c:v>50.7</c:v>
                </c:pt>
                <c:pt idx="39">
                  <c:v>51.4</c:v>
                </c:pt>
                <c:pt idx="40">
                  <c:v>52.5</c:v>
                </c:pt>
                <c:pt idx="41">
                  <c:v>51.3</c:v>
                </c:pt>
                <c:pt idx="42">
                  <c:v>51.3</c:v>
                </c:pt>
                <c:pt idx="43">
                  <c:v>51.4</c:v>
                </c:pt>
                <c:pt idx="44">
                  <c:v>51.5</c:v>
                </c:pt>
                <c:pt idx="45">
                  <c:v>53</c:v>
                </c:pt>
                <c:pt idx="46">
                  <c:v>52.4</c:v>
                </c:pt>
                <c:pt idx="47">
                  <c:v>51</c:v>
                </c:pt>
                <c:pt idx="48">
                  <c:v>51.6</c:v>
                </c:pt>
                <c:pt idx="49">
                  <c:v>53.3</c:v>
                </c:pt>
                <c:pt idx="83">
                  <c:v>55</c:v>
                </c:pt>
                <c:pt idx="84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A-41BA-9774-DF1CCD05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433216"/>
        <c:axId val="537434752"/>
      </c:lineChart>
      <c:dateAx>
        <c:axId val="537433216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434752"/>
        <c:crossesAt val="50"/>
        <c:auto val="1"/>
        <c:lblOffset val="100"/>
        <c:baseTimeUnit val="months"/>
        <c:majorUnit val="1"/>
        <c:majorTimeUnit val="years"/>
      </c:dateAx>
      <c:valAx>
        <c:axId val="537434752"/>
        <c:scaling>
          <c:orientation val="minMax"/>
          <c:max val="62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433216"/>
        <c:crosses val="autoZero"/>
        <c:crossBetween val="between"/>
        <c:majorUnit val="4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8555640112570356E-2"/>
          <c:y val="0.76045636133995975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India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IND!$B$71</c:f>
              <c:strCache>
                <c:ptCount val="1"/>
                <c:pt idx="0">
                  <c:v>India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IND!$A$72:$A$285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IND!$B$72:$B$285</c:f>
              <c:numCache>
                <c:formatCode>0.0</c:formatCode>
                <c:ptCount val="214"/>
                <c:pt idx="0">
                  <c:v>57.2</c:v>
                </c:pt>
                <c:pt idx="1">
                  <c:v>58.4</c:v>
                </c:pt>
                <c:pt idx="2">
                  <c:v>56.7</c:v>
                </c:pt>
                <c:pt idx="3">
                  <c:v>56.8</c:v>
                </c:pt>
                <c:pt idx="4">
                  <c:v>57.9</c:v>
                </c:pt>
                <c:pt idx="5">
                  <c:v>57.9</c:v>
                </c:pt>
                <c:pt idx="6">
                  <c:v>58</c:v>
                </c:pt>
                <c:pt idx="7">
                  <c:v>57.5</c:v>
                </c:pt>
                <c:pt idx="8">
                  <c:v>55.3</c:v>
                </c:pt>
                <c:pt idx="9">
                  <c:v>56.3</c:v>
                </c:pt>
                <c:pt idx="10">
                  <c:v>52.6</c:v>
                </c:pt>
                <c:pt idx="11">
                  <c:v>50.4</c:v>
                </c:pt>
                <c:pt idx="12">
                  <c:v>51</c:v>
                </c:pt>
                <c:pt idx="13">
                  <c:v>52</c:v>
                </c:pt>
                <c:pt idx="14">
                  <c:v>57</c:v>
                </c:pt>
                <c:pt idx="15">
                  <c:v>57.5</c:v>
                </c:pt>
                <c:pt idx="16">
                  <c:v>56.6</c:v>
                </c:pt>
                <c:pt idx="17">
                  <c:v>54.7</c:v>
                </c:pt>
                <c:pt idx="18">
                  <c:v>54.9</c:v>
                </c:pt>
                <c:pt idx="19">
                  <c:v>54.8</c:v>
                </c:pt>
                <c:pt idx="20">
                  <c:v>55</c:v>
                </c:pt>
                <c:pt idx="21">
                  <c:v>52.9</c:v>
                </c:pt>
                <c:pt idx="22">
                  <c:v>52.8</c:v>
                </c:pt>
                <c:pt idx="23">
                  <c:v>52.8</c:v>
                </c:pt>
                <c:pt idx="24">
                  <c:v>52.9</c:v>
                </c:pt>
                <c:pt idx="25">
                  <c:v>53.7</c:v>
                </c:pt>
                <c:pt idx="26">
                  <c:v>54.7</c:v>
                </c:pt>
                <c:pt idx="27">
                  <c:v>53.2</c:v>
                </c:pt>
                <c:pt idx="28">
                  <c:v>54.2</c:v>
                </c:pt>
                <c:pt idx="29">
                  <c:v>52</c:v>
                </c:pt>
                <c:pt idx="30">
                  <c:v>51</c:v>
                </c:pt>
                <c:pt idx="31">
                  <c:v>50.1</c:v>
                </c:pt>
                <c:pt idx="32">
                  <c:v>50.3</c:v>
                </c:pt>
                <c:pt idx="33">
                  <c:v>50.1</c:v>
                </c:pt>
                <c:pt idx="34">
                  <c:v>48.5</c:v>
                </c:pt>
                <c:pt idx="35">
                  <c:v>49.6</c:v>
                </c:pt>
                <c:pt idx="36">
                  <c:v>49.6</c:v>
                </c:pt>
                <c:pt idx="37">
                  <c:v>51.3</c:v>
                </c:pt>
                <c:pt idx="38">
                  <c:v>50.7</c:v>
                </c:pt>
                <c:pt idx="39">
                  <c:v>51.4</c:v>
                </c:pt>
                <c:pt idx="40">
                  <c:v>52.5</c:v>
                </c:pt>
                <c:pt idx="41">
                  <c:v>51.3</c:v>
                </c:pt>
                <c:pt idx="42">
                  <c:v>51.3</c:v>
                </c:pt>
                <c:pt idx="43">
                  <c:v>51.4</c:v>
                </c:pt>
                <c:pt idx="44">
                  <c:v>51.5</c:v>
                </c:pt>
                <c:pt idx="45">
                  <c:v>53</c:v>
                </c:pt>
                <c:pt idx="46">
                  <c:v>52.4</c:v>
                </c:pt>
                <c:pt idx="47">
                  <c:v>51</c:v>
                </c:pt>
                <c:pt idx="48">
                  <c:v>51.6</c:v>
                </c:pt>
                <c:pt idx="49">
                  <c:v>53.3</c:v>
                </c:pt>
                <c:pt idx="83">
                  <c:v>55</c:v>
                </c:pt>
                <c:pt idx="84">
                  <c:v>54.2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C-4AFD-AB3F-EF1BE038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33056"/>
        <c:axId val="537538944"/>
      </c:areaChart>
      <c:barChart>
        <c:barDir val="col"/>
        <c:grouping val="clustered"/>
        <c:varyColors val="0"/>
        <c:ser>
          <c:idx val="2"/>
          <c:order val="2"/>
          <c:tx>
            <c:strRef>
              <c:f>IND!$D$71</c:f>
              <c:strCache>
                <c:ptCount val="1"/>
                <c:pt idx="0">
                  <c:v>India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IND!$D$72:$D$285</c:f>
              <c:numCache>
                <c:formatCode>0.0%</c:formatCode>
                <c:ptCount val="214"/>
                <c:pt idx="2">
                  <c:v>2.3E-2</c:v>
                </c:pt>
                <c:pt idx="5">
                  <c:v>1.9E-2</c:v>
                </c:pt>
                <c:pt idx="8">
                  <c:v>1.6E-2</c:v>
                </c:pt>
                <c:pt idx="11">
                  <c:v>1.0999999999999999E-2</c:v>
                </c:pt>
                <c:pt idx="14">
                  <c:v>1.0999999999999999E-2</c:v>
                </c:pt>
                <c:pt idx="17">
                  <c:v>1.2999999999999999E-2</c:v>
                </c:pt>
                <c:pt idx="20">
                  <c:v>1.4E-2</c:v>
                </c:pt>
                <c:pt idx="23">
                  <c:v>7.0000000000000001E-3</c:v>
                </c:pt>
                <c:pt idx="26">
                  <c:v>1.4999999999999999E-2</c:v>
                </c:pt>
                <c:pt idx="29">
                  <c:v>0.01</c:v>
                </c:pt>
                <c:pt idx="32">
                  <c:v>7.0000000000000001E-3</c:v>
                </c:pt>
                <c:pt idx="35">
                  <c:v>1.7999999999999999E-2</c:v>
                </c:pt>
                <c:pt idx="38">
                  <c:v>1.0999999999999999E-2</c:v>
                </c:pt>
                <c:pt idx="41" formatCode="0.00%">
                  <c:v>2.1000000000000001E-2</c:v>
                </c:pt>
                <c:pt idx="44" formatCode="0.00%">
                  <c:v>2.4899999999999999E-2</c:v>
                </c:pt>
                <c:pt idx="47" formatCode="0.00%">
                  <c:v>2.9600000000000001E-2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C-4AFD-AB3F-EF1BE038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7542016"/>
        <c:axId val="53754048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IND!$B$72:$B$285</c:f>
              <c:numCache>
                <c:formatCode>0.0</c:formatCode>
                <c:ptCount val="214"/>
                <c:pt idx="0">
                  <c:v>57.2</c:v>
                </c:pt>
                <c:pt idx="1">
                  <c:v>58.4</c:v>
                </c:pt>
                <c:pt idx="2">
                  <c:v>56.7</c:v>
                </c:pt>
                <c:pt idx="3">
                  <c:v>56.8</c:v>
                </c:pt>
                <c:pt idx="4">
                  <c:v>57.9</c:v>
                </c:pt>
                <c:pt idx="5">
                  <c:v>57.9</c:v>
                </c:pt>
                <c:pt idx="6">
                  <c:v>58</c:v>
                </c:pt>
                <c:pt idx="7">
                  <c:v>57.5</c:v>
                </c:pt>
                <c:pt idx="8">
                  <c:v>55.3</c:v>
                </c:pt>
                <c:pt idx="9">
                  <c:v>56.3</c:v>
                </c:pt>
                <c:pt idx="10">
                  <c:v>52.6</c:v>
                </c:pt>
                <c:pt idx="11">
                  <c:v>50.4</c:v>
                </c:pt>
                <c:pt idx="12">
                  <c:v>51</c:v>
                </c:pt>
                <c:pt idx="13">
                  <c:v>52</c:v>
                </c:pt>
                <c:pt idx="14">
                  <c:v>57</c:v>
                </c:pt>
                <c:pt idx="15">
                  <c:v>57.5</c:v>
                </c:pt>
                <c:pt idx="16">
                  <c:v>56.6</c:v>
                </c:pt>
                <c:pt idx="17">
                  <c:v>54.7</c:v>
                </c:pt>
                <c:pt idx="18">
                  <c:v>54.9</c:v>
                </c:pt>
                <c:pt idx="19">
                  <c:v>54.8</c:v>
                </c:pt>
                <c:pt idx="20">
                  <c:v>55</c:v>
                </c:pt>
                <c:pt idx="21">
                  <c:v>52.9</c:v>
                </c:pt>
                <c:pt idx="22">
                  <c:v>52.8</c:v>
                </c:pt>
                <c:pt idx="23">
                  <c:v>52.8</c:v>
                </c:pt>
                <c:pt idx="24">
                  <c:v>52.9</c:v>
                </c:pt>
                <c:pt idx="25">
                  <c:v>53.7</c:v>
                </c:pt>
                <c:pt idx="26">
                  <c:v>54.7</c:v>
                </c:pt>
                <c:pt idx="27">
                  <c:v>53.2</c:v>
                </c:pt>
                <c:pt idx="28">
                  <c:v>54.2</c:v>
                </c:pt>
                <c:pt idx="29">
                  <c:v>52</c:v>
                </c:pt>
                <c:pt idx="30">
                  <c:v>51</c:v>
                </c:pt>
                <c:pt idx="31">
                  <c:v>50.1</c:v>
                </c:pt>
                <c:pt idx="32">
                  <c:v>50.3</c:v>
                </c:pt>
                <c:pt idx="33">
                  <c:v>50.1</c:v>
                </c:pt>
                <c:pt idx="34">
                  <c:v>48.5</c:v>
                </c:pt>
                <c:pt idx="35">
                  <c:v>49.6</c:v>
                </c:pt>
                <c:pt idx="36">
                  <c:v>49.6</c:v>
                </c:pt>
                <c:pt idx="37">
                  <c:v>51.3</c:v>
                </c:pt>
                <c:pt idx="38">
                  <c:v>50.7</c:v>
                </c:pt>
                <c:pt idx="39">
                  <c:v>51.4</c:v>
                </c:pt>
                <c:pt idx="40">
                  <c:v>52.5</c:v>
                </c:pt>
                <c:pt idx="41">
                  <c:v>51.3</c:v>
                </c:pt>
                <c:pt idx="42">
                  <c:v>51.3</c:v>
                </c:pt>
                <c:pt idx="43">
                  <c:v>51.4</c:v>
                </c:pt>
                <c:pt idx="44">
                  <c:v>51.5</c:v>
                </c:pt>
                <c:pt idx="45">
                  <c:v>53</c:v>
                </c:pt>
                <c:pt idx="46">
                  <c:v>52.4</c:v>
                </c:pt>
                <c:pt idx="47">
                  <c:v>51</c:v>
                </c:pt>
                <c:pt idx="48">
                  <c:v>51.6</c:v>
                </c:pt>
                <c:pt idx="49">
                  <c:v>53.3</c:v>
                </c:pt>
                <c:pt idx="83">
                  <c:v>55</c:v>
                </c:pt>
                <c:pt idx="84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FC-4AFD-AB3F-EF1BE038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533056"/>
        <c:axId val="537538944"/>
      </c:lineChart>
      <c:dateAx>
        <c:axId val="537533056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538944"/>
        <c:crossesAt val="50"/>
        <c:auto val="1"/>
        <c:lblOffset val="100"/>
        <c:baseTimeUnit val="months"/>
        <c:majorUnit val="1"/>
        <c:majorTimeUnit val="years"/>
      </c:dateAx>
      <c:valAx>
        <c:axId val="537538944"/>
        <c:scaling>
          <c:orientation val="minMax"/>
          <c:max val="62"/>
          <c:min val="42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533056"/>
        <c:crosses val="autoZero"/>
        <c:crossBetween val="between"/>
        <c:majorUnit val="4"/>
      </c:valAx>
      <c:valAx>
        <c:axId val="537540480"/>
        <c:scaling>
          <c:orientation val="minMax"/>
          <c:max val="3.0000000000000006E-2"/>
          <c:min val="-2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37542016"/>
        <c:crosses val="max"/>
        <c:crossBetween val="between"/>
      </c:valAx>
      <c:catAx>
        <c:axId val="537542016"/>
        <c:scaling>
          <c:orientation val="minMax"/>
        </c:scaling>
        <c:delete val="1"/>
        <c:axPos val="b"/>
        <c:majorTickMark val="out"/>
        <c:minorTickMark val="none"/>
        <c:tickLblPos val="nextTo"/>
        <c:crossAx val="53754048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8555640112570356E-2"/>
          <c:y val="0.76045636133995975"/>
          <c:w val="0.17312677043596963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Russia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RS!$B$71</c:f>
              <c:strCache>
                <c:ptCount val="1"/>
                <c:pt idx="0">
                  <c:v>Russia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RS!$A$72:$A$285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RS!$B$72:$B$285</c:f>
              <c:numCache>
                <c:formatCode>0.0</c:formatCode>
                <c:ptCount val="214"/>
                <c:pt idx="0">
                  <c:v>51.8</c:v>
                </c:pt>
                <c:pt idx="1">
                  <c:v>51.1</c:v>
                </c:pt>
                <c:pt idx="2">
                  <c:v>53.5</c:v>
                </c:pt>
                <c:pt idx="3">
                  <c:v>53.5</c:v>
                </c:pt>
                <c:pt idx="4">
                  <c:v>56.4</c:v>
                </c:pt>
                <c:pt idx="5">
                  <c:v>55.1</c:v>
                </c:pt>
                <c:pt idx="6">
                  <c:v>52.1</c:v>
                </c:pt>
                <c:pt idx="7">
                  <c:v>50.9</c:v>
                </c:pt>
                <c:pt idx="8">
                  <c:v>50.6</c:v>
                </c:pt>
                <c:pt idx="9">
                  <c:v>49.8</c:v>
                </c:pt>
                <c:pt idx="10">
                  <c:v>49.9</c:v>
                </c:pt>
                <c:pt idx="11">
                  <c:v>50</c:v>
                </c:pt>
                <c:pt idx="12">
                  <c:v>50.4</c:v>
                </c:pt>
                <c:pt idx="13">
                  <c:v>52.6</c:v>
                </c:pt>
                <c:pt idx="14">
                  <c:v>51.6</c:v>
                </c:pt>
                <c:pt idx="15">
                  <c:v>50.8</c:v>
                </c:pt>
                <c:pt idx="16">
                  <c:v>50.7</c:v>
                </c:pt>
                <c:pt idx="17">
                  <c:v>50.8</c:v>
                </c:pt>
                <c:pt idx="18">
                  <c:v>52.9</c:v>
                </c:pt>
                <c:pt idx="19">
                  <c:v>53.2</c:v>
                </c:pt>
                <c:pt idx="20">
                  <c:v>51</c:v>
                </c:pt>
                <c:pt idx="21">
                  <c:v>52</c:v>
                </c:pt>
                <c:pt idx="22">
                  <c:v>51</c:v>
                </c:pt>
                <c:pt idx="23">
                  <c:v>52.4</c:v>
                </c:pt>
                <c:pt idx="24">
                  <c:v>52.9</c:v>
                </c:pt>
                <c:pt idx="25">
                  <c:v>52.2</c:v>
                </c:pt>
                <c:pt idx="26">
                  <c:v>50</c:v>
                </c:pt>
                <c:pt idx="27">
                  <c:v>52</c:v>
                </c:pt>
                <c:pt idx="28">
                  <c:v>52</c:v>
                </c:pt>
                <c:pt idx="29">
                  <c:v>50.8</c:v>
                </c:pt>
                <c:pt idx="30">
                  <c:v>50.6</c:v>
                </c:pt>
                <c:pt idx="31">
                  <c:v>50.4</c:v>
                </c:pt>
                <c:pt idx="32">
                  <c:v>51.7</c:v>
                </c:pt>
                <c:pt idx="33">
                  <c:v>49.2</c:v>
                </c:pt>
                <c:pt idx="34">
                  <c:v>49.4</c:v>
                </c:pt>
                <c:pt idx="35">
                  <c:v>49.4</c:v>
                </c:pt>
                <c:pt idx="36">
                  <c:v>51.8</c:v>
                </c:pt>
                <c:pt idx="37">
                  <c:v>49.4</c:v>
                </c:pt>
                <c:pt idx="38">
                  <c:v>48.8</c:v>
                </c:pt>
                <c:pt idx="39">
                  <c:v>48</c:v>
                </c:pt>
                <c:pt idx="40">
                  <c:v>48.5</c:v>
                </c:pt>
                <c:pt idx="41">
                  <c:v>48.3</c:v>
                </c:pt>
                <c:pt idx="42">
                  <c:v>48.5</c:v>
                </c:pt>
                <c:pt idx="43">
                  <c:v>48.9</c:v>
                </c:pt>
                <c:pt idx="44">
                  <c:v>49.1</c:v>
                </c:pt>
                <c:pt idx="45">
                  <c:v>51</c:v>
                </c:pt>
                <c:pt idx="46">
                  <c:v>51</c:v>
                </c:pt>
                <c:pt idx="47">
                  <c:v>50.4</c:v>
                </c:pt>
                <c:pt idx="48">
                  <c:v>50.3</c:v>
                </c:pt>
                <c:pt idx="49">
                  <c:v>51.7</c:v>
                </c:pt>
                <c:pt idx="83">
                  <c:v>48.8</c:v>
                </c:pt>
                <c:pt idx="84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6-4F24-A4B9-575BA1B34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79744"/>
        <c:axId val="53768128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RS!$B$72:$B$285</c:f>
              <c:numCache>
                <c:formatCode>0.0</c:formatCode>
                <c:ptCount val="214"/>
                <c:pt idx="0">
                  <c:v>51.8</c:v>
                </c:pt>
                <c:pt idx="1">
                  <c:v>51.1</c:v>
                </c:pt>
                <c:pt idx="2">
                  <c:v>53.5</c:v>
                </c:pt>
                <c:pt idx="3">
                  <c:v>53.5</c:v>
                </c:pt>
                <c:pt idx="4">
                  <c:v>56.4</c:v>
                </c:pt>
                <c:pt idx="5">
                  <c:v>55.1</c:v>
                </c:pt>
                <c:pt idx="6">
                  <c:v>52.1</c:v>
                </c:pt>
                <c:pt idx="7">
                  <c:v>50.9</c:v>
                </c:pt>
                <c:pt idx="8">
                  <c:v>50.6</c:v>
                </c:pt>
                <c:pt idx="9">
                  <c:v>49.8</c:v>
                </c:pt>
                <c:pt idx="10">
                  <c:v>49.9</c:v>
                </c:pt>
                <c:pt idx="11">
                  <c:v>50</c:v>
                </c:pt>
                <c:pt idx="12">
                  <c:v>50.4</c:v>
                </c:pt>
                <c:pt idx="13">
                  <c:v>52.6</c:v>
                </c:pt>
                <c:pt idx="14">
                  <c:v>51.6</c:v>
                </c:pt>
                <c:pt idx="15">
                  <c:v>50.8</c:v>
                </c:pt>
                <c:pt idx="16">
                  <c:v>50.7</c:v>
                </c:pt>
                <c:pt idx="17">
                  <c:v>50.8</c:v>
                </c:pt>
                <c:pt idx="18">
                  <c:v>52.9</c:v>
                </c:pt>
                <c:pt idx="19">
                  <c:v>53.2</c:v>
                </c:pt>
                <c:pt idx="20">
                  <c:v>51</c:v>
                </c:pt>
                <c:pt idx="21">
                  <c:v>52</c:v>
                </c:pt>
                <c:pt idx="22">
                  <c:v>51</c:v>
                </c:pt>
                <c:pt idx="23">
                  <c:v>52.4</c:v>
                </c:pt>
                <c:pt idx="24">
                  <c:v>52.9</c:v>
                </c:pt>
                <c:pt idx="25">
                  <c:v>52.2</c:v>
                </c:pt>
                <c:pt idx="26">
                  <c:v>50</c:v>
                </c:pt>
                <c:pt idx="27">
                  <c:v>52</c:v>
                </c:pt>
                <c:pt idx="28">
                  <c:v>52</c:v>
                </c:pt>
                <c:pt idx="29">
                  <c:v>50.8</c:v>
                </c:pt>
                <c:pt idx="30">
                  <c:v>50.6</c:v>
                </c:pt>
                <c:pt idx="31">
                  <c:v>50.4</c:v>
                </c:pt>
                <c:pt idx="32">
                  <c:v>51.7</c:v>
                </c:pt>
                <c:pt idx="33">
                  <c:v>49.2</c:v>
                </c:pt>
                <c:pt idx="34">
                  <c:v>49.4</c:v>
                </c:pt>
                <c:pt idx="35">
                  <c:v>49.4</c:v>
                </c:pt>
                <c:pt idx="36">
                  <c:v>51.8</c:v>
                </c:pt>
                <c:pt idx="37">
                  <c:v>49.4</c:v>
                </c:pt>
                <c:pt idx="38">
                  <c:v>48.8</c:v>
                </c:pt>
                <c:pt idx="39">
                  <c:v>48</c:v>
                </c:pt>
                <c:pt idx="40">
                  <c:v>48.5</c:v>
                </c:pt>
                <c:pt idx="41">
                  <c:v>48.3</c:v>
                </c:pt>
                <c:pt idx="42">
                  <c:v>48.5</c:v>
                </c:pt>
                <c:pt idx="43">
                  <c:v>48.9</c:v>
                </c:pt>
                <c:pt idx="44">
                  <c:v>49.1</c:v>
                </c:pt>
                <c:pt idx="45">
                  <c:v>51</c:v>
                </c:pt>
                <c:pt idx="46">
                  <c:v>51</c:v>
                </c:pt>
                <c:pt idx="47">
                  <c:v>50.4</c:v>
                </c:pt>
                <c:pt idx="48">
                  <c:v>50.3</c:v>
                </c:pt>
                <c:pt idx="49">
                  <c:v>51.7</c:v>
                </c:pt>
                <c:pt idx="83">
                  <c:v>48.8</c:v>
                </c:pt>
                <c:pt idx="84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6-4F24-A4B9-575BA1B34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679744"/>
        <c:axId val="537681280"/>
      </c:lineChart>
      <c:dateAx>
        <c:axId val="537679744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681280"/>
        <c:crossesAt val="50"/>
        <c:auto val="1"/>
        <c:lblOffset val="100"/>
        <c:baseTimeUnit val="months"/>
        <c:majorUnit val="1"/>
        <c:majorTimeUnit val="years"/>
      </c:dateAx>
      <c:valAx>
        <c:axId val="537681280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679744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335140339669303E-2"/>
          <c:y val="0.72120516185476813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Russia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RS!$B$71</c:f>
              <c:strCache>
                <c:ptCount val="1"/>
                <c:pt idx="0">
                  <c:v>Russia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RS!$A$72:$A$285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RS!$B$72:$B$285</c:f>
              <c:numCache>
                <c:formatCode>0.0</c:formatCode>
                <c:ptCount val="214"/>
                <c:pt idx="0">
                  <c:v>51.8</c:v>
                </c:pt>
                <c:pt idx="1">
                  <c:v>51.1</c:v>
                </c:pt>
                <c:pt idx="2">
                  <c:v>53.5</c:v>
                </c:pt>
                <c:pt idx="3">
                  <c:v>53.5</c:v>
                </c:pt>
                <c:pt idx="4">
                  <c:v>56.4</c:v>
                </c:pt>
                <c:pt idx="5">
                  <c:v>55.1</c:v>
                </c:pt>
                <c:pt idx="6">
                  <c:v>52.1</c:v>
                </c:pt>
                <c:pt idx="7">
                  <c:v>50.9</c:v>
                </c:pt>
                <c:pt idx="8">
                  <c:v>50.6</c:v>
                </c:pt>
                <c:pt idx="9">
                  <c:v>49.8</c:v>
                </c:pt>
                <c:pt idx="10">
                  <c:v>49.9</c:v>
                </c:pt>
                <c:pt idx="11">
                  <c:v>50</c:v>
                </c:pt>
                <c:pt idx="12">
                  <c:v>50.4</c:v>
                </c:pt>
                <c:pt idx="13">
                  <c:v>52.6</c:v>
                </c:pt>
                <c:pt idx="14">
                  <c:v>51.6</c:v>
                </c:pt>
                <c:pt idx="15">
                  <c:v>50.8</c:v>
                </c:pt>
                <c:pt idx="16">
                  <c:v>50.7</c:v>
                </c:pt>
                <c:pt idx="17">
                  <c:v>50.8</c:v>
                </c:pt>
                <c:pt idx="18">
                  <c:v>52.9</c:v>
                </c:pt>
                <c:pt idx="19">
                  <c:v>53.2</c:v>
                </c:pt>
                <c:pt idx="20">
                  <c:v>51</c:v>
                </c:pt>
                <c:pt idx="21">
                  <c:v>52</c:v>
                </c:pt>
                <c:pt idx="22">
                  <c:v>51</c:v>
                </c:pt>
                <c:pt idx="23">
                  <c:v>52.4</c:v>
                </c:pt>
                <c:pt idx="24">
                  <c:v>52.9</c:v>
                </c:pt>
                <c:pt idx="25">
                  <c:v>52.2</c:v>
                </c:pt>
                <c:pt idx="26">
                  <c:v>50</c:v>
                </c:pt>
                <c:pt idx="27">
                  <c:v>52</c:v>
                </c:pt>
                <c:pt idx="28">
                  <c:v>52</c:v>
                </c:pt>
                <c:pt idx="29">
                  <c:v>50.8</c:v>
                </c:pt>
                <c:pt idx="30">
                  <c:v>50.6</c:v>
                </c:pt>
                <c:pt idx="31">
                  <c:v>50.4</c:v>
                </c:pt>
                <c:pt idx="32">
                  <c:v>51.7</c:v>
                </c:pt>
                <c:pt idx="33">
                  <c:v>49.2</c:v>
                </c:pt>
                <c:pt idx="34">
                  <c:v>49.4</c:v>
                </c:pt>
                <c:pt idx="35">
                  <c:v>49.4</c:v>
                </c:pt>
                <c:pt idx="36">
                  <c:v>51.8</c:v>
                </c:pt>
                <c:pt idx="37">
                  <c:v>49.4</c:v>
                </c:pt>
                <c:pt idx="38">
                  <c:v>48.8</c:v>
                </c:pt>
                <c:pt idx="39">
                  <c:v>48</c:v>
                </c:pt>
                <c:pt idx="40">
                  <c:v>48.5</c:v>
                </c:pt>
                <c:pt idx="41">
                  <c:v>48.3</c:v>
                </c:pt>
                <c:pt idx="42">
                  <c:v>48.5</c:v>
                </c:pt>
                <c:pt idx="43">
                  <c:v>48.9</c:v>
                </c:pt>
                <c:pt idx="44">
                  <c:v>49.1</c:v>
                </c:pt>
                <c:pt idx="45">
                  <c:v>51</c:v>
                </c:pt>
                <c:pt idx="46">
                  <c:v>51</c:v>
                </c:pt>
                <c:pt idx="47">
                  <c:v>50.4</c:v>
                </c:pt>
                <c:pt idx="48">
                  <c:v>50.3</c:v>
                </c:pt>
                <c:pt idx="49">
                  <c:v>51.7</c:v>
                </c:pt>
                <c:pt idx="83">
                  <c:v>48.8</c:v>
                </c:pt>
                <c:pt idx="84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F-4004-BABA-64B3F832E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1760"/>
        <c:axId val="537711744"/>
      </c:areaChart>
      <c:barChart>
        <c:barDir val="col"/>
        <c:grouping val="clustered"/>
        <c:varyColors val="0"/>
        <c:ser>
          <c:idx val="2"/>
          <c:order val="2"/>
          <c:tx>
            <c:strRef>
              <c:f>RS!$D$71</c:f>
              <c:strCache>
                <c:ptCount val="1"/>
                <c:pt idx="0">
                  <c:v>Russian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RS!$D$72:$D$270</c:f>
              <c:numCache>
                <c:formatCode>0.0%</c:formatCode>
                <c:ptCount val="199"/>
                <c:pt idx="2">
                  <c:v>0.01</c:v>
                </c:pt>
                <c:pt idx="5">
                  <c:v>8.9999999999999993E-3</c:v>
                </c:pt>
                <c:pt idx="8">
                  <c:v>1.2999999999999999E-2</c:v>
                </c:pt>
                <c:pt idx="11">
                  <c:v>1.4E-2</c:v>
                </c:pt>
                <c:pt idx="14">
                  <c:v>1.4999999999999999E-2</c:v>
                </c:pt>
                <c:pt idx="17">
                  <c:v>8.0000000000000002E-3</c:v>
                </c:pt>
                <c:pt idx="20">
                  <c:v>6.0000000000000001E-3</c:v>
                </c:pt>
                <c:pt idx="23">
                  <c:v>3.0000000000000001E-3</c:v>
                </c:pt>
                <c:pt idx="26">
                  <c:v>-2E-3</c:v>
                </c:pt>
                <c:pt idx="29">
                  <c:v>5.0000000000000001E-3</c:v>
                </c:pt>
                <c:pt idx="32">
                  <c:v>4.0000000000000001E-3</c:v>
                </c:pt>
                <c:pt idx="35">
                  <c:v>3.0000000000000001E-3</c:v>
                </c:pt>
                <c:pt idx="38">
                  <c:v>3.0000000000000001E-3</c:v>
                </c:pt>
                <c:pt idx="41">
                  <c:v>-3.0000000000000001E-3</c:v>
                </c:pt>
                <c:pt idx="44" formatCode="0.00%">
                  <c:v>2.5000000000000001E-3</c:v>
                </c:pt>
                <c:pt idx="47" formatCode="0.00%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F-4004-BABA-64B3F832E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7919872"/>
        <c:axId val="53771328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RS!$B$72:$B$285</c:f>
              <c:numCache>
                <c:formatCode>0.0</c:formatCode>
                <c:ptCount val="214"/>
                <c:pt idx="0">
                  <c:v>51.8</c:v>
                </c:pt>
                <c:pt idx="1">
                  <c:v>51.1</c:v>
                </c:pt>
                <c:pt idx="2">
                  <c:v>53.5</c:v>
                </c:pt>
                <c:pt idx="3">
                  <c:v>53.5</c:v>
                </c:pt>
                <c:pt idx="4">
                  <c:v>56.4</c:v>
                </c:pt>
                <c:pt idx="5">
                  <c:v>55.1</c:v>
                </c:pt>
                <c:pt idx="6">
                  <c:v>52.1</c:v>
                </c:pt>
                <c:pt idx="7">
                  <c:v>50.9</c:v>
                </c:pt>
                <c:pt idx="8">
                  <c:v>50.6</c:v>
                </c:pt>
                <c:pt idx="9">
                  <c:v>49.8</c:v>
                </c:pt>
                <c:pt idx="10">
                  <c:v>49.9</c:v>
                </c:pt>
                <c:pt idx="11">
                  <c:v>50</c:v>
                </c:pt>
                <c:pt idx="12">
                  <c:v>50.4</c:v>
                </c:pt>
                <c:pt idx="13">
                  <c:v>52.6</c:v>
                </c:pt>
                <c:pt idx="14">
                  <c:v>51.6</c:v>
                </c:pt>
                <c:pt idx="15">
                  <c:v>50.8</c:v>
                </c:pt>
                <c:pt idx="16">
                  <c:v>50.7</c:v>
                </c:pt>
                <c:pt idx="17">
                  <c:v>50.8</c:v>
                </c:pt>
                <c:pt idx="18">
                  <c:v>52.9</c:v>
                </c:pt>
                <c:pt idx="19">
                  <c:v>53.2</c:v>
                </c:pt>
                <c:pt idx="20">
                  <c:v>51</c:v>
                </c:pt>
                <c:pt idx="21">
                  <c:v>52</c:v>
                </c:pt>
                <c:pt idx="22">
                  <c:v>51</c:v>
                </c:pt>
                <c:pt idx="23">
                  <c:v>52.4</c:v>
                </c:pt>
                <c:pt idx="24">
                  <c:v>52.9</c:v>
                </c:pt>
                <c:pt idx="25">
                  <c:v>52.2</c:v>
                </c:pt>
                <c:pt idx="26">
                  <c:v>50</c:v>
                </c:pt>
                <c:pt idx="27">
                  <c:v>52</c:v>
                </c:pt>
                <c:pt idx="28">
                  <c:v>52</c:v>
                </c:pt>
                <c:pt idx="29">
                  <c:v>50.8</c:v>
                </c:pt>
                <c:pt idx="30">
                  <c:v>50.6</c:v>
                </c:pt>
                <c:pt idx="31">
                  <c:v>50.4</c:v>
                </c:pt>
                <c:pt idx="32">
                  <c:v>51.7</c:v>
                </c:pt>
                <c:pt idx="33">
                  <c:v>49.2</c:v>
                </c:pt>
                <c:pt idx="34">
                  <c:v>49.4</c:v>
                </c:pt>
                <c:pt idx="35">
                  <c:v>49.4</c:v>
                </c:pt>
                <c:pt idx="36">
                  <c:v>51.8</c:v>
                </c:pt>
                <c:pt idx="37">
                  <c:v>49.4</c:v>
                </c:pt>
                <c:pt idx="38">
                  <c:v>48.8</c:v>
                </c:pt>
                <c:pt idx="39">
                  <c:v>48</c:v>
                </c:pt>
                <c:pt idx="40">
                  <c:v>48.5</c:v>
                </c:pt>
                <c:pt idx="41">
                  <c:v>48.3</c:v>
                </c:pt>
                <c:pt idx="42">
                  <c:v>48.5</c:v>
                </c:pt>
                <c:pt idx="43">
                  <c:v>48.9</c:v>
                </c:pt>
                <c:pt idx="44">
                  <c:v>49.1</c:v>
                </c:pt>
                <c:pt idx="45">
                  <c:v>51</c:v>
                </c:pt>
                <c:pt idx="46">
                  <c:v>51</c:v>
                </c:pt>
                <c:pt idx="47">
                  <c:v>50.4</c:v>
                </c:pt>
                <c:pt idx="48">
                  <c:v>50.3</c:v>
                </c:pt>
                <c:pt idx="49">
                  <c:v>51.7</c:v>
                </c:pt>
                <c:pt idx="83">
                  <c:v>48.8</c:v>
                </c:pt>
                <c:pt idx="84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FF-4004-BABA-64B3F832E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701760"/>
        <c:axId val="537711744"/>
      </c:lineChart>
      <c:dateAx>
        <c:axId val="537701760"/>
        <c:scaling>
          <c:orientation val="minMax"/>
          <c:min val="4054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11744"/>
        <c:crossesAt val="50"/>
        <c:auto val="1"/>
        <c:lblOffset val="100"/>
        <c:baseTimeUnit val="months"/>
        <c:majorUnit val="1"/>
        <c:majorTimeUnit val="years"/>
      </c:dateAx>
      <c:valAx>
        <c:axId val="537711744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701760"/>
        <c:crosses val="autoZero"/>
        <c:crossBetween val="between"/>
        <c:majorUnit val="3"/>
      </c:valAx>
      <c:valAx>
        <c:axId val="537713280"/>
        <c:scaling>
          <c:orientation val="minMax"/>
          <c:max val="2.2000000000000006E-2"/>
          <c:min val="-1.5000000000000003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37919872"/>
        <c:crosses val="max"/>
        <c:crossBetween val="between"/>
      </c:valAx>
      <c:catAx>
        <c:axId val="537919872"/>
        <c:scaling>
          <c:orientation val="minMax"/>
        </c:scaling>
        <c:delete val="1"/>
        <c:axPos val="b"/>
        <c:majorTickMark val="out"/>
        <c:minorTickMark val="none"/>
        <c:tickLblPos val="nextTo"/>
        <c:crossAx val="53771328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335140339669303E-2"/>
          <c:y val="0.72120516185476813"/>
          <c:w val="0.1903647878140580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Mexico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MX!$B$77</c:f>
              <c:strCache>
                <c:ptCount val="1"/>
                <c:pt idx="0">
                  <c:v>Mexico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MX!$A$78:$A$291</c:f>
              <c:numCache>
                <c:formatCode>mmm\-yy</c:formatCode>
                <c:ptCount val="214"/>
                <c:pt idx="0">
                  <c:v>40634</c:v>
                </c:pt>
                <c:pt idx="1">
                  <c:v>40664</c:v>
                </c:pt>
                <c:pt idx="2">
                  <c:v>40695</c:v>
                </c:pt>
                <c:pt idx="3">
                  <c:v>40725</c:v>
                </c:pt>
                <c:pt idx="4">
                  <c:v>40756</c:v>
                </c:pt>
                <c:pt idx="5">
                  <c:v>40787</c:v>
                </c:pt>
                <c:pt idx="6">
                  <c:v>40817</c:v>
                </c:pt>
                <c:pt idx="7">
                  <c:v>40848</c:v>
                </c:pt>
                <c:pt idx="8">
                  <c:v>40878</c:v>
                </c:pt>
                <c:pt idx="9">
                  <c:v>40909</c:v>
                </c:pt>
                <c:pt idx="10">
                  <c:v>40940</c:v>
                </c:pt>
                <c:pt idx="11">
                  <c:v>40969</c:v>
                </c:pt>
                <c:pt idx="12">
                  <c:v>41000</c:v>
                </c:pt>
                <c:pt idx="13">
                  <c:v>41030</c:v>
                </c:pt>
                <c:pt idx="14">
                  <c:v>41061</c:v>
                </c:pt>
                <c:pt idx="15">
                  <c:v>41091</c:v>
                </c:pt>
                <c:pt idx="16">
                  <c:v>41122</c:v>
                </c:pt>
                <c:pt idx="17">
                  <c:v>41153</c:v>
                </c:pt>
                <c:pt idx="18">
                  <c:v>41183</c:v>
                </c:pt>
                <c:pt idx="19">
                  <c:v>41214</c:v>
                </c:pt>
                <c:pt idx="20">
                  <c:v>41244</c:v>
                </c:pt>
                <c:pt idx="21">
                  <c:v>41275</c:v>
                </c:pt>
                <c:pt idx="22">
                  <c:v>41306</c:v>
                </c:pt>
                <c:pt idx="23">
                  <c:v>41334</c:v>
                </c:pt>
                <c:pt idx="24">
                  <c:v>41365</c:v>
                </c:pt>
                <c:pt idx="25">
                  <c:v>41395</c:v>
                </c:pt>
                <c:pt idx="26">
                  <c:v>41426</c:v>
                </c:pt>
                <c:pt idx="27">
                  <c:v>41456</c:v>
                </c:pt>
                <c:pt idx="28">
                  <c:v>41487</c:v>
                </c:pt>
                <c:pt idx="29">
                  <c:v>41518</c:v>
                </c:pt>
                <c:pt idx="30">
                  <c:v>41548</c:v>
                </c:pt>
                <c:pt idx="31">
                  <c:v>41579</c:v>
                </c:pt>
                <c:pt idx="32">
                  <c:v>41609</c:v>
                </c:pt>
                <c:pt idx="33">
                  <c:v>41640</c:v>
                </c:pt>
                <c:pt idx="34">
                  <c:v>41671</c:v>
                </c:pt>
                <c:pt idx="35">
                  <c:v>41699</c:v>
                </c:pt>
                <c:pt idx="36">
                  <c:v>41730</c:v>
                </c:pt>
                <c:pt idx="37">
                  <c:v>41760</c:v>
                </c:pt>
                <c:pt idx="38">
                  <c:v>41791</c:v>
                </c:pt>
                <c:pt idx="39">
                  <c:v>41821</c:v>
                </c:pt>
                <c:pt idx="40">
                  <c:v>41852</c:v>
                </c:pt>
                <c:pt idx="41">
                  <c:v>41883</c:v>
                </c:pt>
                <c:pt idx="42">
                  <c:v>41913</c:v>
                </c:pt>
                <c:pt idx="43">
                  <c:v>41944</c:v>
                </c:pt>
                <c:pt idx="44">
                  <c:v>41974</c:v>
                </c:pt>
                <c:pt idx="45">
                  <c:v>42005</c:v>
                </c:pt>
                <c:pt idx="46">
                  <c:v>42036</c:v>
                </c:pt>
                <c:pt idx="47">
                  <c:v>42064</c:v>
                </c:pt>
                <c:pt idx="48">
                  <c:v>42095</c:v>
                </c:pt>
                <c:pt idx="49">
                  <c:v>42125</c:v>
                </c:pt>
                <c:pt idx="50">
                  <c:v>42156</c:v>
                </c:pt>
                <c:pt idx="51">
                  <c:v>42186</c:v>
                </c:pt>
                <c:pt idx="52">
                  <c:v>42217</c:v>
                </c:pt>
                <c:pt idx="53">
                  <c:v>42248</c:v>
                </c:pt>
                <c:pt idx="54">
                  <c:v>42278</c:v>
                </c:pt>
                <c:pt idx="55">
                  <c:v>42309</c:v>
                </c:pt>
                <c:pt idx="56">
                  <c:v>42339</c:v>
                </c:pt>
                <c:pt idx="57">
                  <c:v>42370</c:v>
                </c:pt>
                <c:pt idx="58">
                  <c:v>42401</c:v>
                </c:pt>
                <c:pt idx="59">
                  <c:v>42430</c:v>
                </c:pt>
                <c:pt idx="60">
                  <c:v>42461</c:v>
                </c:pt>
                <c:pt idx="61">
                  <c:v>42491</c:v>
                </c:pt>
                <c:pt idx="62">
                  <c:v>42522</c:v>
                </c:pt>
                <c:pt idx="63">
                  <c:v>42552</c:v>
                </c:pt>
                <c:pt idx="64">
                  <c:v>42583</c:v>
                </c:pt>
                <c:pt idx="65">
                  <c:v>42614</c:v>
                </c:pt>
                <c:pt idx="66">
                  <c:v>42644</c:v>
                </c:pt>
                <c:pt idx="67">
                  <c:v>42675</c:v>
                </c:pt>
                <c:pt idx="68">
                  <c:v>42705</c:v>
                </c:pt>
                <c:pt idx="69">
                  <c:v>42736</c:v>
                </c:pt>
                <c:pt idx="70">
                  <c:v>42767</c:v>
                </c:pt>
                <c:pt idx="71">
                  <c:v>42795</c:v>
                </c:pt>
                <c:pt idx="72">
                  <c:v>42826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 formatCode="yyyy/mm/dd">
                  <c:v>46143</c:v>
                </c:pt>
                <c:pt idx="78" formatCode="yyyy/mm/dd">
                  <c:v>46174</c:v>
                </c:pt>
              </c:numCache>
            </c:numRef>
          </c:cat>
          <c:val>
            <c:numRef>
              <c:f>MX!$B$78:$B$291</c:f>
              <c:numCache>
                <c:formatCode>0.0</c:formatCode>
                <c:ptCount val="214"/>
                <c:pt idx="0">
                  <c:v>56.1</c:v>
                </c:pt>
                <c:pt idx="1">
                  <c:v>54.5</c:v>
                </c:pt>
                <c:pt idx="2">
                  <c:v>55.1</c:v>
                </c:pt>
                <c:pt idx="3">
                  <c:v>54.8</c:v>
                </c:pt>
                <c:pt idx="4">
                  <c:v>51.7</c:v>
                </c:pt>
                <c:pt idx="5">
                  <c:v>53.2</c:v>
                </c:pt>
                <c:pt idx="6">
                  <c:v>54.8</c:v>
                </c:pt>
                <c:pt idx="7">
                  <c:v>53.9</c:v>
                </c:pt>
                <c:pt idx="8">
                  <c:v>53.1</c:v>
                </c:pt>
                <c:pt idx="9">
                  <c:v>52.2</c:v>
                </c:pt>
                <c:pt idx="10">
                  <c:v>53.7</c:v>
                </c:pt>
                <c:pt idx="11">
                  <c:v>53.8</c:v>
                </c:pt>
                <c:pt idx="12">
                  <c:v>56.3</c:v>
                </c:pt>
                <c:pt idx="13">
                  <c:v>55.2</c:v>
                </c:pt>
                <c:pt idx="14">
                  <c:v>55.9</c:v>
                </c:pt>
                <c:pt idx="15">
                  <c:v>55.2</c:v>
                </c:pt>
                <c:pt idx="16">
                  <c:v>55.1</c:v>
                </c:pt>
                <c:pt idx="17">
                  <c:v>54.4</c:v>
                </c:pt>
                <c:pt idx="18">
                  <c:v>55.5</c:v>
                </c:pt>
                <c:pt idx="19">
                  <c:v>55.6</c:v>
                </c:pt>
                <c:pt idx="20">
                  <c:v>57.1</c:v>
                </c:pt>
                <c:pt idx="21">
                  <c:v>55</c:v>
                </c:pt>
                <c:pt idx="22">
                  <c:v>53.4</c:v>
                </c:pt>
                <c:pt idx="23">
                  <c:v>52.2</c:v>
                </c:pt>
                <c:pt idx="24">
                  <c:v>51.7</c:v>
                </c:pt>
                <c:pt idx="25">
                  <c:v>51.8</c:v>
                </c:pt>
                <c:pt idx="26">
                  <c:v>51.3</c:v>
                </c:pt>
                <c:pt idx="27">
                  <c:v>49.7</c:v>
                </c:pt>
                <c:pt idx="28">
                  <c:v>50.8</c:v>
                </c:pt>
                <c:pt idx="29">
                  <c:v>50</c:v>
                </c:pt>
                <c:pt idx="30">
                  <c:v>50.2</c:v>
                </c:pt>
                <c:pt idx="31">
                  <c:v>51.9</c:v>
                </c:pt>
                <c:pt idx="32">
                  <c:v>52.6</c:v>
                </c:pt>
                <c:pt idx="33">
                  <c:v>54</c:v>
                </c:pt>
                <c:pt idx="34">
                  <c:v>52</c:v>
                </c:pt>
                <c:pt idx="35">
                  <c:v>51.7</c:v>
                </c:pt>
                <c:pt idx="36">
                  <c:v>51.8</c:v>
                </c:pt>
                <c:pt idx="37">
                  <c:v>51.9</c:v>
                </c:pt>
                <c:pt idx="38">
                  <c:v>51.8</c:v>
                </c:pt>
                <c:pt idx="39">
                  <c:v>51.5</c:v>
                </c:pt>
                <c:pt idx="40">
                  <c:v>52.1</c:v>
                </c:pt>
                <c:pt idx="41">
                  <c:v>52.6</c:v>
                </c:pt>
                <c:pt idx="42">
                  <c:v>53.3</c:v>
                </c:pt>
                <c:pt idx="43">
                  <c:v>54.3</c:v>
                </c:pt>
                <c:pt idx="77">
                  <c:v>49.6</c:v>
                </c:pt>
                <c:pt idx="78">
                  <c:v>51.3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D-4455-B1B7-410350C4D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967232"/>
        <c:axId val="537981312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MX!$B$78:$B$291</c:f>
              <c:numCache>
                <c:formatCode>0.0</c:formatCode>
                <c:ptCount val="214"/>
                <c:pt idx="0">
                  <c:v>56.1</c:v>
                </c:pt>
                <c:pt idx="1">
                  <c:v>54.5</c:v>
                </c:pt>
                <c:pt idx="2">
                  <c:v>55.1</c:v>
                </c:pt>
                <c:pt idx="3">
                  <c:v>54.8</c:v>
                </c:pt>
                <c:pt idx="4">
                  <c:v>51.7</c:v>
                </c:pt>
                <c:pt idx="5">
                  <c:v>53.2</c:v>
                </c:pt>
                <c:pt idx="6">
                  <c:v>54.8</c:v>
                </c:pt>
                <c:pt idx="7">
                  <c:v>53.9</c:v>
                </c:pt>
                <c:pt idx="8">
                  <c:v>53.1</c:v>
                </c:pt>
                <c:pt idx="9">
                  <c:v>52.2</c:v>
                </c:pt>
                <c:pt idx="10">
                  <c:v>53.7</c:v>
                </c:pt>
                <c:pt idx="11">
                  <c:v>53.8</c:v>
                </c:pt>
                <c:pt idx="12">
                  <c:v>56.3</c:v>
                </c:pt>
                <c:pt idx="13">
                  <c:v>55.2</c:v>
                </c:pt>
                <c:pt idx="14">
                  <c:v>55.9</c:v>
                </c:pt>
                <c:pt idx="15">
                  <c:v>55.2</c:v>
                </c:pt>
                <c:pt idx="16">
                  <c:v>55.1</c:v>
                </c:pt>
                <c:pt idx="17">
                  <c:v>54.4</c:v>
                </c:pt>
                <c:pt idx="18">
                  <c:v>55.5</c:v>
                </c:pt>
                <c:pt idx="19">
                  <c:v>55.6</c:v>
                </c:pt>
                <c:pt idx="20">
                  <c:v>57.1</c:v>
                </c:pt>
                <c:pt idx="21">
                  <c:v>55</c:v>
                </c:pt>
                <c:pt idx="22">
                  <c:v>53.4</c:v>
                </c:pt>
                <c:pt idx="23">
                  <c:v>52.2</c:v>
                </c:pt>
                <c:pt idx="24">
                  <c:v>51.7</c:v>
                </c:pt>
                <c:pt idx="25">
                  <c:v>51.8</c:v>
                </c:pt>
                <c:pt idx="26">
                  <c:v>51.3</c:v>
                </c:pt>
                <c:pt idx="27">
                  <c:v>49.7</c:v>
                </c:pt>
                <c:pt idx="28">
                  <c:v>50.8</c:v>
                </c:pt>
                <c:pt idx="29">
                  <c:v>50</c:v>
                </c:pt>
                <c:pt idx="30">
                  <c:v>50.2</c:v>
                </c:pt>
                <c:pt idx="31">
                  <c:v>51.9</c:v>
                </c:pt>
                <c:pt idx="32">
                  <c:v>52.6</c:v>
                </c:pt>
                <c:pt idx="33">
                  <c:v>54</c:v>
                </c:pt>
                <c:pt idx="34">
                  <c:v>52</c:v>
                </c:pt>
                <c:pt idx="35">
                  <c:v>51.7</c:v>
                </c:pt>
                <c:pt idx="36">
                  <c:v>51.8</c:v>
                </c:pt>
                <c:pt idx="37">
                  <c:v>51.9</c:v>
                </c:pt>
                <c:pt idx="38">
                  <c:v>51.8</c:v>
                </c:pt>
                <c:pt idx="39">
                  <c:v>51.5</c:v>
                </c:pt>
                <c:pt idx="40">
                  <c:v>52.1</c:v>
                </c:pt>
                <c:pt idx="41">
                  <c:v>52.6</c:v>
                </c:pt>
                <c:pt idx="42">
                  <c:v>53.3</c:v>
                </c:pt>
                <c:pt idx="43">
                  <c:v>54.3</c:v>
                </c:pt>
                <c:pt idx="77">
                  <c:v>49.6</c:v>
                </c:pt>
                <c:pt idx="78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D-4455-B1B7-410350C4D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967232"/>
        <c:axId val="537981312"/>
      </c:lineChart>
      <c:dateAx>
        <c:axId val="5379672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981312"/>
        <c:crossesAt val="50"/>
        <c:auto val="1"/>
        <c:lblOffset val="100"/>
        <c:baseTimeUnit val="months"/>
        <c:majorUnit val="1"/>
        <c:majorTimeUnit val="years"/>
      </c:dateAx>
      <c:valAx>
        <c:axId val="537981312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7967232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02356770242923"/>
          <c:y val="0.77857231161322227"/>
          <c:w val="0.21891803194787202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Mexico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MX!$B$77</c:f>
              <c:strCache>
                <c:ptCount val="1"/>
                <c:pt idx="0">
                  <c:v>Mexico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MX!$A$78:$A$291</c:f>
              <c:numCache>
                <c:formatCode>mmm\-yy</c:formatCode>
                <c:ptCount val="214"/>
                <c:pt idx="0">
                  <c:v>40634</c:v>
                </c:pt>
                <c:pt idx="1">
                  <c:v>40664</c:v>
                </c:pt>
                <c:pt idx="2">
                  <c:v>40695</c:v>
                </c:pt>
                <c:pt idx="3">
                  <c:v>40725</c:v>
                </c:pt>
                <c:pt idx="4">
                  <c:v>40756</c:v>
                </c:pt>
                <c:pt idx="5">
                  <c:v>40787</c:v>
                </c:pt>
                <c:pt idx="6">
                  <c:v>40817</c:v>
                </c:pt>
                <c:pt idx="7">
                  <c:v>40848</c:v>
                </c:pt>
                <c:pt idx="8">
                  <c:v>40878</c:v>
                </c:pt>
                <c:pt idx="9">
                  <c:v>40909</c:v>
                </c:pt>
                <c:pt idx="10">
                  <c:v>40940</c:v>
                </c:pt>
                <c:pt idx="11">
                  <c:v>40969</c:v>
                </c:pt>
                <c:pt idx="12">
                  <c:v>41000</c:v>
                </c:pt>
                <c:pt idx="13">
                  <c:v>41030</c:v>
                </c:pt>
                <c:pt idx="14">
                  <c:v>41061</c:v>
                </c:pt>
                <c:pt idx="15">
                  <c:v>41091</c:v>
                </c:pt>
                <c:pt idx="16">
                  <c:v>41122</c:v>
                </c:pt>
                <c:pt idx="17">
                  <c:v>41153</c:v>
                </c:pt>
                <c:pt idx="18">
                  <c:v>41183</c:v>
                </c:pt>
                <c:pt idx="19">
                  <c:v>41214</c:v>
                </c:pt>
                <c:pt idx="20">
                  <c:v>41244</c:v>
                </c:pt>
                <c:pt idx="21">
                  <c:v>41275</c:v>
                </c:pt>
                <c:pt idx="22">
                  <c:v>41306</c:v>
                </c:pt>
                <c:pt idx="23">
                  <c:v>41334</c:v>
                </c:pt>
                <c:pt idx="24">
                  <c:v>41365</c:v>
                </c:pt>
                <c:pt idx="25">
                  <c:v>41395</c:v>
                </c:pt>
                <c:pt idx="26">
                  <c:v>41426</c:v>
                </c:pt>
                <c:pt idx="27">
                  <c:v>41456</c:v>
                </c:pt>
                <c:pt idx="28">
                  <c:v>41487</c:v>
                </c:pt>
                <c:pt idx="29">
                  <c:v>41518</c:v>
                </c:pt>
                <c:pt idx="30">
                  <c:v>41548</c:v>
                </c:pt>
                <c:pt idx="31">
                  <c:v>41579</c:v>
                </c:pt>
                <c:pt idx="32">
                  <c:v>41609</c:v>
                </c:pt>
                <c:pt idx="33">
                  <c:v>41640</c:v>
                </c:pt>
                <c:pt idx="34">
                  <c:v>41671</c:v>
                </c:pt>
                <c:pt idx="35">
                  <c:v>41699</c:v>
                </c:pt>
                <c:pt idx="36">
                  <c:v>41730</c:v>
                </c:pt>
                <c:pt idx="37">
                  <c:v>41760</c:v>
                </c:pt>
                <c:pt idx="38">
                  <c:v>41791</c:v>
                </c:pt>
                <c:pt idx="39">
                  <c:v>41821</c:v>
                </c:pt>
                <c:pt idx="40">
                  <c:v>41852</c:v>
                </c:pt>
                <c:pt idx="41">
                  <c:v>41883</c:v>
                </c:pt>
                <c:pt idx="42">
                  <c:v>41913</c:v>
                </c:pt>
                <c:pt idx="43">
                  <c:v>41944</c:v>
                </c:pt>
                <c:pt idx="44">
                  <c:v>41974</c:v>
                </c:pt>
                <c:pt idx="45">
                  <c:v>42005</c:v>
                </c:pt>
                <c:pt idx="46">
                  <c:v>42036</c:v>
                </c:pt>
                <c:pt idx="47">
                  <c:v>42064</c:v>
                </c:pt>
                <c:pt idx="48">
                  <c:v>42095</c:v>
                </c:pt>
                <c:pt idx="49">
                  <c:v>42125</c:v>
                </c:pt>
                <c:pt idx="50">
                  <c:v>42156</c:v>
                </c:pt>
                <c:pt idx="51">
                  <c:v>42186</c:v>
                </c:pt>
                <c:pt idx="52">
                  <c:v>42217</c:v>
                </c:pt>
                <c:pt idx="53">
                  <c:v>42248</c:v>
                </c:pt>
                <c:pt idx="54">
                  <c:v>42278</c:v>
                </c:pt>
                <c:pt idx="55">
                  <c:v>42309</c:v>
                </c:pt>
                <c:pt idx="56">
                  <c:v>42339</c:v>
                </c:pt>
                <c:pt idx="57">
                  <c:v>42370</c:v>
                </c:pt>
                <c:pt idx="58">
                  <c:v>42401</c:v>
                </c:pt>
                <c:pt idx="59">
                  <c:v>42430</c:v>
                </c:pt>
                <c:pt idx="60">
                  <c:v>42461</c:v>
                </c:pt>
                <c:pt idx="61">
                  <c:v>42491</c:v>
                </c:pt>
                <c:pt idx="62">
                  <c:v>42522</c:v>
                </c:pt>
                <c:pt idx="63">
                  <c:v>42552</c:v>
                </c:pt>
                <c:pt idx="64">
                  <c:v>42583</c:v>
                </c:pt>
                <c:pt idx="65">
                  <c:v>42614</c:v>
                </c:pt>
                <c:pt idx="66">
                  <c:v>42644</c:v>
                </c:pt>
                <c:pt idx="67">
                  <c:v>42675</c:v>
                </c:pt>
                <c:pt idx="68">
                  <c:v>42705</c:v>
                </c:pt>
                <c:pt idx="69">
                  <c:v>42736</c:v>
                </c:pt>
                <c:pt idx="70">
                  <c:v>42767</c:v>
                </c:pt>
                <c:pt idx="71">
                  <c:v>42795</c:v>
                </c:pt>
                <c:pt idx="72">
                  <c:v>42826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 formatCode="yyyy/mm/dd">
                  <c:v>46143</c:v>
                </c:pt>
                <c:pt idx="78" formatCode="yyyy/mm/dd">
                  <c:v>46174</c:v>
                </c:pt>
              </c:numCache>
            </c:numRef>
          </c:cat>
          <c:val>
            <c:numRef>
              <c:f>MX!$B$78:$B$291</c:f>
              <c:numCache>
                <c:formatCode>0.0</c:formatCode>
                <c:ptCount val="214"/>
                <c:pt idx="0">
                  <c:v>56.1</c:v>
                </c:pt>
                <c:pt idx="1">
                  <c:v>54.5</c:v>
                </c:pt>
                <c:pt idx="2">
                  <c:v>55.1</c:v>
                </c:pt>
                <c:pt idx="3">
                  <c:v>54.8</c:v>
                </c:pt>
                <c:pt idx="4">
                  <c:v>51.7</c:v>
                </c:pt>
                <c:pt idx="5">
                  <c:v>53.2</c:v>
                </c:pt>
                <c:pt idx="6">
                  <c:v>54.8</c:v>
                </c:pt>
                <c:pt idx="7">
                  <c:v>53.9</c:v>
                </c:pt>
                <c:pt idx="8">
                  <c:v>53.1</c:v>
                </c:pt>
                <c:pt idx="9">
                  <c:v>52.2</c:v>
                </c:pt>
                <c:pt idx="10">
                  <c:v>53.7</c:v>
                </c:pt>
                <c:pt idx="11">
                  <c:v>53.8</c:v>
                </c:pt>
                <c:pt idx="12">
                  <c:v>56.3</c:v>
                </c:pt>
                <c:pt idx="13">
                  <c:v>55.2</c:v>
                </c:pt>
                <c:pt idx="14">
                  <c:v>55.9</c:v>
                </c:pt>
                <c:pt idx="15">
                  <c:v>55.2</c:v>
                </c:pt>
                <c:pt idx="16">
                  <c:v>55.1</c:v>
                </c:pt>
                <c:pt idx="17">
                  <c:v>54.4</c:v>
                </c:pt>
                <c:pt idx="18">
                  <c:v>55.5</c:v>
                </c:pt>
                <c:pt idx="19">
                  <c:v>55.6</c:v>
                </c:pt>
                <c:pt idx="20">
                  <c:v>57.1</c:v>
                </c:pt>
                <c:pt idx="21">
                  <c:v>55</c:v>
                </c:pt>
                <c:pt idx="22">
                  <c:v>53.4</c:v>
                </c:pt>
                <c:pt idx="23">
                  <c:v>52.2</c:v>
                </c:pt>
                <c:pt idx="24">
                  <c:v>51.7</c:v>
                </c:pt>
                <c:pt idx="25">
                  <c:v>51.8</c:v>
                </c:pt>
                <c:pt idx="26">
                  <c:v>51.3</c:v>
                </c:pt>
                <c:pt idx="27">
                  <c:v>49.7</c:v>
                </c:pt>
                <c:pt idx="28">
                  <c:v>50.8</c:v>
                </c:pt>
                <c:pt idx="29">
                  <c:v>50</c:v>
                </c:pt>
                <c:pt idx="30">
                  <c:v>50.2</c:v>
                </c:pt>
                <c:pt idx="31">
                  <c:v>51.9</c:v>
                </c:pt>
                <c:pt idx="32">
                  <c:v>52.6</c:v>
                </c:pt>
                <c:pt idx="33">
                  <c:v>54</c:v>
                </c:pt>
                <c:pt idx="34">
                  <c:v>52</c:v>
                </c:pt>
                <c:pt idx="35">
                  <c:v>51.7</c:v>
                </c:pt>
                <c:pt idx="36">
                  <c:v>51.8</c:v>
                </c:pt>
                <c:pt idx="37">
                  <c:v>51.9</c:v>
                </c:pt>
                <c:pt idx="38">
                  <c:v>51.8</c:v>
                </c:pt>
                <c:pt idx="39">
                  <c:v>51.5</c:v>
                </c:pt>
                <c:pt idx="40">
                  <c:v>52.1</c:v>
                </c:pt>
                <c:pt idx="41">
                  <c:v>52.6</c:v>
                </c:pt>
                <c:pt idx="42">
                  <c:v>53.3</c:v>
                </c:pt>
                <c:pt idx="43">
                  <c:v>54.3</c:v>
                </c:pt>
                <c:pt idx="77">
                  <c:v>49.6</c:v>
                </c:pt>
                <c:pt idx="78">
                  <c:v>51.3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F-4CE9-A604-22FB031E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153344"/>
        <c:axId val="538154880"/>
      </c:areaChart>
      <c:barChart>
        <c:barDir val="col"/>
        <c:grouping val="clustered"/>
        <c:varyColors val="0"/>
        <c:ser>
          <c:idx val="2"/>
          <c:order val="2"/>
          <c:tx>
            <c:strRef>
              <c:f>MX!$D$77</c:f>
              <c:strCache>
                <c:ptCount val="1"/>
                <c:pt idx="0">
                  <c:v>Mexico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MX!$D$78:$D$276</c:f>
              <c:numCache>
                <c:formatCode>0.0%</c:formatCode>
                <c:ptCount val="199"/>
                <c:pt idx="2">
                  <c:v>8.9999999999999993E-3</c:v>
                </c:pt>
                <c:pt idx="5">
                  <c:v>1.4E-2</c:v>
                </c:pt>
                <c:pt idx="8">
                  <c:v>8.0000000000000002E-3</c:v>
                </c:pt>
                <c:pt idx="11">
                  <c:v>7.0000000000000001E-3</c:v>
                </c:pt>
                <c:pt idx="14">
                  <c:v>1.6E-2</c:v>
                </c:pt>
                <c:pt idx="17">
                  <c:v>1E-3</c:v>
                </c:pt>
                <c:pt idx="20">
                  <c:v>8.9999999999999993E-3</c:v>
                </c:pt>
                <c:pt idx="23">
                  <c:v>2E-3</c:v>
                </c:pt>
                <c:pt idx="26">
                  <c:v>-7.0000000000000001E-3</c:v>
                </c:pt>
                <c:pt idx="29">
                  <c:v>8.9999999999999993E-3</c:v>
                </c:pt>
                <c:pt idx="32">
                  <c:v>1E-3</c:v>
                </c:pt>
                <c:pt idx="35">
                  <c:v>2E-3</c:v>
                </c:pt>
                <c:pt idx="38">
                  <c:v>0.01</c:v>
                </c:pt>
                <c:pt idx="41" formatCode="0.00%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F-4CE9-A604-22FB031E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8166400"/>
        <c:axId val="538156416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MX!$B$78:$B$291</c:f>
              <c:numCache>
                <c:formatCode>0.0</c:formatCode>
                <c:ptCount val="214"/>
                <c:pt idx="0">
                  <c:v>56.1</c:v>
                </c:pt>
                <c:pt idx="1">
                  <c:v>54.5</c:v>
                </c:pt>
                <c:pt idx="2">
                  <c:v>55.1</c:v>
                </c:pt>
                <c:pt idx="3">
                  <c:v>54.8</c:v>
                </c:pt>
                <c:pt idx="4">
                  <c:v>51.7</c:v>
                </c:pt>
                <c:pt idx="5">
                  <c:v>53.2</c:v>
                </c:pt>
                <c:pt idx="6">
                  <c:v>54.8</c:v>
                </c:pt>
                <c:pt idx="7">
                  <c:v>53.9</c:v>
                </c:pt>
                <c:pt idx="8">
                  <c:v>53.1</c:v>
                </c:pt>
                <c:pt idx="9">
                  <c:v>52.2</c:v>
                </c:pt>
                <c:pt idx="10">
                  <c:v>53.7</c:v>
                </c:pt>
                <c:pt idx="11">
                  <c:v>53.8</c:v>
                </c:pt>
                <c:pt idx="12">
                  <c:v>56.3</c:v>
                </c:pt>
                <c:pt idx="13">
                  <c:v>55.2</c:v>
                </c:pt>
                <c:pt idx="14">
                  <c:v>55.9</c:v>
                </c:pt>
                <c:pt idx="15">
                  <c:v>55.2</c:v>
                </c:pt>
                <c:pt idx="16">
                  <c:v>55.1</c:v>
                </c:pt>
                <c:pt idx="17">
                  <c:v>54.4</c:v>
                </c:pt>
                <c:pt idx="18">
                  <c:v>55.5</c:v>
                </c:pt>
                <c:pt idx="19">
                  <c:v>55.6</c:v>
                </c:pt>
                <c:pt idx="20">
                  <c:v>57.1</c:v>
                </c:pt>
                <c:pt idx="21">
                  <c:v>55</c:v>
                </c:pt>
                <c:pt idx="22">
                  <c:v>53.4</c:v>
                </c:pt>
                <c:pt idx="23">
                  <c:v>52.2</c:v>
                </c:pt>
                <c:pt idx="24">
                  <c:v>51.7</c:v>
                </c:pt>
                <c:pt idx="25">
                  <c:v>51.8</c:v>
                </c:pt>
                <c:pt idx="26">
                  <c:v>51.3</c:v>
                </c:pt>
                <c:pt idx="27">
                  <c:v>49.7</c:v>
                </c:pt>
                <c:pt idx="28">
                  <c:v>50.8</c:v>
                </c:pt>
                <c:pt idx="29">
                  <c:v>50</c:v>
                </c:pt>
                <c:pt idx="30">
                  <c:v>50.2</c:v>
                </c:pt>
                <c:pt idx="31">
                  <c:v>51.9</c:v>
                </c:pt>
                <c:pt idx="32">
                  <c:v>52.6</c:v>
                </c:pt>
                <c:pt idx="33">
                  <c:v>54</c:v>
                </c:pt>
                <c:pt idx="34">
                  <c:v>52</c:v>
                </c:pt>
                <c:pt idx="35">
                  <c:v>51.7</c:v>
                </c:pt>
                <c:pt idx="36">
                  <c:v>51.8</c:v>
                </c:pt>
                <c:pt idx="37">
                  <c:v>51.9</c:v>
                </c:pt>
                <c:pt idx="38">
                  <c:v>51.8</c:v>
                </c:pt>
                <c:pt idx="39">
                  <c:v>51.5</c:v>
                </c:pt>
                <c:pt idx="40">
                  <c:v>52.1</c:v>
                </c:pt>
                <c:pt idx="41">
                  <c:v>52.6</c:v>
                </c:pt>
                <c:pt idx="42">
                  <c:v>53.3</c:v>
                </c:pt>
                <c:pt idx="43">
                  <c:v>54.3</c:v>
                </c:pt>
                <c:pt idx="77">
                  <c:v>49.6</c:v>
                </c:pt>
                <c:pt idx="78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F-4CE9-A604-22FB031E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153344"/>
        <c:axId val="538154880"/>
      </c:lineChart>
      <c:dateAx>
        <c:axId val="53815334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154880"/>
        <c:crossesAt val="50"/>
        <c:auto val="1"/>
        <c:lblOffset val="100"/>
        <c:baseTimeUnit val="months"/>
        <c:majorUnit val="1"/>
        <c:majorTimeUnit val="years"/>
      </c:dateAx>
      <c:valAx>
        <c:axId val="538154880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153344"/>
        <c:crosses val="autoZero"/>
        <c:crossBetween val="between"/>
        <c:majorUnit val="3"/>
      </c:valAx>
      <c:valAx>
        <c:axId val="538156416"/>
        <c:scaling>
          <c:orientation val="minMax"/>
          <c:max val="2.2000000000000006E-2"/>
          <c:min val="-1.5000000000000003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38166400"/>
        <c:crosses val="max"/>
        <c:crossBetween val="between"/>
      </c:valAx>
      <c:catAx>
        <c:axId val="53816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538156416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02356770242923"/>
          <c:y val="0.77857231161322227"/>
          <c:w val="0.18844539541114669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Australia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AU!$B$42</c:f>
              <c:strCache>
                <c:ptCount val="1"/>
                <c:pt idx="0">
                  <c:v>Australia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AU!$A$43:$A$241</c:f>
              <c:numCache>
                <c:formatCode>[$-409]mmm\-yy;@</c:formatCode>
                <c:ptCount val="199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39753</c:v>
                </c:pt>
                <c:pt idx="7">
                  <c:v>39783</c:v>
                </c:pt>
                <c:pt idx="8">
                  <c:v>39814</c:v>
                </c:pt>
                <c:pt idx="9">
                  <c:v>39845</c:v>
                </c:pt>
                <c:pt idx="10">
                  <c:v>39873</c:v>
                </c:pt>
                <c:pt idx="11">
                  <c:v>39904</c:v>
                </c:pt>
                <c:pt idx="12">
                  <c:v>39934</c:v>
                </c:pt>
                <c:pt idx="13">
                  <c:v>39965</c:v>
                </c:pt>
                <c:pt idx="14">
                  <c:v>39995</c:v>
                </c:pt>
                <c:pt idx="15">
                  <c:v>40026</c:v>
                </c:pt>
                <c:pt idx="16">
                  <c:v>40057</c:v>
                </c:pt>
                <c:pt idx="17">
                  <c:v>40087</c:v>
                </c:pt>
                <c:pt idx="18">
                  <c:v>40118</c:v>
                </c:pt>
                <c:pt idx="19">
                  <c:v>40148</c:v>
                </c:pt>
                <c:pt idx="20">
                  <c:v>40179</c:v>
                </c:pt>
                <c:pt idx="21">
                  <c:v>40210</c:v>
                </c:pt>
                <c:pt idx="22">
                  <c:v>40238</c:v>
                </c:pt>
                <c:pt idx="23">
                  <c:v>40269</c:v>
                </c:pt>
                <c:pt idx="24">
                  <c:v>40299</c:v>
                </c:pt>
                <c:pt idx="25">
                  <c:v>40330</c:v>
                </c:pt>
                <c:pt idx="26">
                  <c:v>40360</c:v>
                </c:pt>
                <c:pt idx="27">
                  <c:v>40391</c:v>
                </c:pt>
                <c:pt idx="28">
                  <c:v>40422</c:v>
                </c:pt>
                <c:pt idx="29">
                  <c:v>40452</c:v>
                </c:pt>
                <c:pt idx="30">
                  <c:v>40483</c:v>
                </c:pt>
                <c:pt idx="31">
                  <c:v>40513</c:v>
                </c:pt>
                <c:pt idx="32">
                  <c:v>40544</c:v>
                </c:pt>
                <c:pt idx="33">
                  <c:v>40575</c:v>
                </c:pt>
                <c:pt idx="34">
                  <c:v>40603</c:v>
                </c:pt>
                <c:pt idx="35">
                  <c:v>40634</c:v>
                </c:pt>
                <c:pt idx="36">
                  <c:v>40664</c:v>
                </c:pt>
                <c:pt idx="37">
                  <c:v>40695</c:v>
                </c:pt>
                <c:pt idx="38">
                  <c:v>40725</c:v>
                </c:pt>
                <c:pt idx="39">
                  <c:v>40756</c:v>
                </c:pt>
                <c:pt idx="40">
                  <c:v>40787</c:v>
                </c:pt>
                <c:pt idx="41">
                  <c:v>40817</c:v>
                </c:pt>
                <c:pt idx="42">
                  <c:v>40848</c:v>
                </c:pt>
                <c:pt idx="43">
                  <c:v>40878</c:v>
                </c:pt>
                <c:pt idx="44">
                  <c:v>40909</c:v>
                </c:pt>
                <c:pt idx="45">
                  <c:v>40940</c:v>
                </c:pt>
                <c:pt idx="46">
                  <c:v>40969</c:v>
                </c:pt>
                <c:pt idx="47">
                  <c:v>41000</c:v>
                </c:pt>
                <c:pt idx="48">
                  <c:v>41030</c:v>
                </c:pt>
                <c:pt idx="49">
                  <c:v>41061</c:v>
                </c:pt>
                <c:pt idx="50">
                  <c:v>41091</c:v>
                </c:pt>
                <c:pt idx="51">
                  <c:v>41122</c:v>
                </c:pt>
                <c:pt idx="52">
                  <c:v>41153</c:v>
                </c:pt>
                <c:pt idx="53">
                  <c:v>41183</c:v>
                </c:pt>
                <c:pt idx="54">
                  <c:v>41214</c:v>
                </c:pt>
                <c:pt idx="55">
                  <c:v>41244</c:v>
                </c:pt>
                <c:pt idx="56">
                  <c:v>41275</c:v>
                </c:pt>
                <c:pt idx="57">
                  <c:v>41306</c:v>
                </c:pt>
                <c:pt idx="58">
                  <c:v>41334</c:v>
                </c:pt>
                <c:pt idx="59">
                  <c:v>41365</c:v>
                </c:pt>
                <c:pt idx="60">
                  <c:v>41395</c:v>
                </c:pt>
                <c:pt idx="61">
                  <c:v>41426</c:v>
                </c:pt>
                <c:pt idx="62">
                  <c:v>41456</c:v>
                </c:pt>
                <c:pt idx="63">
                  <c:v>41487</c:v>
                </c:pt>
                <c:pt idx="64">
                  <c:v>41518</c:v>
                </c:pt>
                <c:pt idx="65">
                  <c:v>41548</c:v>
                </c:pt>
                <c:pt idx="66">
                  <c:v>41579</c:v>
                </c:pt>
                <c:pt idx="67">
                  <c:v>41609</c:v>
                </c:pt>
                <c:pt idx="68">
                  <c:v>41640</c:v>
                </c:pt>
                <c:pt idx="69">
                  <c:v>41671</c:v>
                </c:pt>
                <c:pt idx="70">
                  <c:v>41699</c:v>
                </c:pt>
                <c:pt idx="71">
                  <c:v>41730</c:v>
                </c:pt>
                <c:pt idx="72">
                  <c:v>41760</c:v>
                </c:pt>
                <c:pt idx="73">
                  <c:v>41791</c:v>
                </c:pt>
                <c:pt idx="74">
                  <c:v>41821</c:v>
                </c:pt>
                <c:pt idx="75">
                  <c:v>41852</c:v>
                </c:pt>
                <c:pt idx="76">
                  <c:v>41883</c:v>
                </c:pt>
                <c:pt idx="77">
                  <c:v>41913</c:v>
                </c:pt>
                <c:pt idx="78">
                  <c:v>41944</c:v>
                </c:pt>
                <c:pt idx="79">
                  <c:v>41974</c:v>
                </c:pt>
                <c:pt idx="80">
                  <c:v>42005</c:v>
                </c:pt>
                <c:pt idx="81">
                  <c:v>42036</c:v>
                </c:pt>
                <c:pt idx="82">
                  <c:v>42064</c:v>
                </c:pt>
                <c:pt idx="83">
                  <c:v>42095</c:v>
                </c:pt>
                <c:pt idx="84">
                  <c:v>42125</c:v>
                </c:pt>
                <c:pt idx="85">
                  <c:v>42156</c:v>
                </c:pt>
                <c:pt idx="86">
                  <c:v>42186</c:v>
                </c:pt>
                <c:pt idx="87">
                  <c:v>42217</c:v>
                </c:pt>
                <c:pt idx="88">
                  <c:v>42248</c:v>
                </c:pt>
                <c:pt idx="89">
                  <c:v>42278</c:v>
                </c:pt>
                <c:pt idx="90">
                  <c:v>42309</c:v>
                </c:pt>
                <c:pt idx="91">
                  <c:v>42339</c:v>
                </c:pt>
                <c:pt idx="92">
                  <c:v>42370</c:v>
                </c:pt>
                <c:pt idx="93">
                  <c:v>42401</c:v>
                </c:pt>
                <c:pt idx="94">
                  <c:v>42430</c:v>
                </c:pt>
                <c:pt idx="95">
                  <c:v>42461</c:v>
                </c:pt>
                <c:pt idx="96">
                  <c:v>42491</c:v>
                </c:pt>
                <c:pt idx="97">
                  <c:v>42522</c:v>
                </c:pt>
                <c:pt idx="98">
                  <c:v>42552</c:v>
                </c:pt>
                <c:pt idx="99">
                  <c:v>42583</c:v>
                </c:pt>
                <c:pt idx="100">
                  <c:v>42614</c:v>
                </c:pt>
                <c:pt idx="101">
                  <c:v>42644</c:v>
                </c:pt>
                <c:pt idx="102">
                  <c:v>42675</c:v>
                </c:pt>
                <c:pt idx="103">
                  <c:v>42705</c:v>
                </c:pt>
                <c:pt idx="104">
                  <c:v>42736</c:v>
                </c:pt>
                <c:pt idx="105">
                  <c:v>42767</c:v>
                </c:pt>
                <c:pt idx="106">
                  <c:v>42795</c:v>
                </c:pt>
                <c:pt idx="107">
                  <c:v>42826</c:v>
                </c:pt>
                <c:pt idx="108">
                  <c:v>42856</c:v>
                </c:pt>
                <c:pt idx="109">
                  <c:v>42887</c:v>
                </c:pt>
                <c:pt idx="110">
                  <c:v>42917</c:v>
                </c:pt>
                <c:pt idx="111">
                  <c:v>42948</c:v>
                </c:pt>
                <c:pt idx="112" formatCode="yyyy/mm/dd">
                  <c:v>46143</c:v>
                </c:pt>
                <c:pt idx="113" formatCode="yyyy/mm/dd">
                  <c:v>46174</c:v>
                </c:pt>
              </c:numCache>
            </c:numRef>
          </c:cat>
          <c:val>
            <c:numRef>
              <c:f>AU!$B$43:$B$241</c:f>
              <c:numCache>
                <c:formatCode>0.0</c:formatCode>
                <c:ptCount val="199"/>
                <c:pt idx="0">
                  <c:v>51.4</c:v>
                </c:pt>
                <c:pt idx="1">
                  <c:v>51.2</c:v>
                </c:pt>
                <c:pt idx="2">
                  <c:v>52.7</c:v>
                </c:pt>
                <c:pt idx="3">
                  <c:v>51.2</c:v>
                </c:pt>
                <c:pt idx="4">
                  <c:v>47</c:v>
                </c:pt>
                <c:pt idx="5">
                  <c:v>46.9</c:v>
                </c:pt>
                <c:pt idx="6">
                  <c:v>40.4</c:v>
                </c:pt>
                <c:pt idx="7">
                  <c:v>33.700000000000003</c:v>
                </c:pt>
                <c:pt idx="8">
                  <c:v>36.6</c:v>
                </c:pt>
                <c:pt idx="9">
                  <c:v>31.7</c:v>
                </c:pt>
                <c:pt idx="10">
                  <c:v>33.4</c:v>
                </c:pt>
                <c:pt idx="11">
                  <c:v>30.1</c:v>
                </c:pt>
                <c:pt idx="12">
                  <c:v>37.5</c:v>
                </c:pt>
                <c:pt idx="13">
                  <c:v>38.4</c:v>
                </c:pt>
                <c:pt idx="14">
                  <c:v>44.5</c:v>
                </c:pt>
                <c:pt idx="15">
                  <c:v>51.7</c:v>
                </c:pt>
                <c:pt idx="16">
                  <c:v>52</c:v>
                </c:pt>
                <c:pt idx="17">
                  <c:v>51.7</c:v>
                </c:pt>
                <c:pt idx="18">
                  <c:v>51.2</c:v>
                </c:pt>
                <c:pt idx="19">
                  <c:v>48.5</c:v>
                </c:pt>
                <c:pt idx="20">
                  <c:v>51</c:v>
                </c:pt>
                <c:pt idx="21">
                  <c:v>53.8</c:v>
                </c:pt>
                <c:pt idx="22">
                  <c:v>50.2</c:v>
                </c:pt>
                <c:pt idx="23">
                  <c:v>59.8</c:v>
                </c:pt>
                <c:pt idx="24">
                  <c:v>56.3</c:v>
                </c:pt>
                <c:pt idx="25">
                  <c:v>52.9</c:v>
                </c:pt>
                <c:pt idx="26">
                  <c:v>54.4</c:v>
                </c:pt>
                <c:pt idx="27">
                  <c:v>51.7</c:v>
                </c:pt>
                <c:pt idx="28">
                  <c:v>47.3</c:v>
                </c:pt>
                <c:pt idx="29">
                  <c:v>49.4</c:v>
                </c:pt>
                <c:pt idx="30">
                  <c:v>47.6</c:v>
                </c:pt>
                <c:pt idx="31">
                  <c:v>46.3</c:v>
                </c:pt>
                <c:pt idx="32">
                  <c:v>46.7</c:v>
                </c:pt>
                <c:pt idx="33">
                  <c:v>51.1</c:v>
                </c:pt>
                <c:pt idx="34">
                  <c:v>47.9</c:v>
                </c:pt>
                <c:pt idx="35">
                  <c:v>48.4</c:v>
                </c:pt>
                <c:pt idx="36">
                  <c:v>47.7</c:v>
                </c:pt>
                <c:pt idx="37">
                  <c:v>52.9</c:v>
                </c:pt>
                <c:pt idx="38">
                  <c:v>43.4</c:v>
                </c:pt>
                <c:pt idx="39">
                  <c:v>43.3</c:v>
                </c:pt>
                <c:pt idx="40">
                  <c:v>42.3</c:v>
                </c:pt>
                <c:pt idx="41">
                  <c:v>47.4</c:v>
                </c:pt>
                <c:pt idx="42">
                  <c:v>47.8</c:v>
                </c:pt>
                <c:pt idx="43">
                  <c:v>50.2</c:v>
                </c:pt>
                <c:pt idx="44">
                  <c:v>51.6</c:v>
                </c:pt>
                <c:pt idx="45">
                  <c:v>51.3</c:v>
                </c:pt>
                <c:pt idx="46">
                  <c:v>49.5</c:v>
                </c:pt>
                <c:pt idx="47">
                  <c:v>43.9</c:v>
                </c:pt>
                <c:pt idx="48">
                  <c:v>42.4</c:v>
                </c:pt>
                <c:pt idx="49">
                  <c:v>47.2</c:v>
                </c:pt>
                <c:pt idx="50">
                  <c:v>40.299999999999997</c:v>
                </c:pt>
                <c:pt idx="51">
                  <c:v>45.3</c:v>
                </c:pt>
                <c:pt idx="52">
                  <c:v>44.1</c:v>
                </c:pt>
                <c:pt idx="53">
                  <c:v>45.2</c:v>
                </c:pt>
                <c:pt idx="54">
                  <c:v>43.6</c:v>
                </c:pt>
                <c:pt idx="55">
                  <c:v>44.3</c:v>
                </c:pt>
                <c:pt idx="56">
                  <c:v>40.200000000000003</c:v>
                </c:pt>
                <c:pt idx="57">
                  <c:v>45.6</c:v>
                </c:pt>
                <c:pt idx="58">
                  <c:v>44.4</c:v>
                </c:pt>
                <c:pt idx="59">
                  <c:v>36.700000000000003</c:v>
                </c:pt>
                <c:pt idx="60">
                  <c:v>43.8</c:v>
                </c:pt>
                <c:pt idx="61">
                  <c:v>49.6</c:v>
                </c:pt>
                <c:pt idx="62">
                  <c:v>42</c:v>
                </c:pt>
                <c:pt idx="63">
                  <c:v>46.4</c:v>
                </c:pt>
                <c:pt idx="64">
                  <c:v>51.7</c:v>
                </c:pt>
                <c:pt idx="65">
                  <c:v>53.2</c:v>
                </c:pt>
                <c:pt idx="66">
                  <c:v>47.7</c:v>
                </c:pt>
                <c:pt idx="67">
                  <c:v>47.6</c:v>
                </c:pt>
                <c:pt idx="68">
                  <c:v>46.7</c:v>
                </c:pt>
                <c:pt idx="69">
                  <c:v>48.6</c:v>
                </c:pt>
                <c:pt idx="70">
                  <c:v>49.7</c:v>
                </c:pt>
                <c:pt idx="71">
                  <c:v>44.8</c:v>
                </c:pt>
                <c:pt idx="72">
                  <c:v>49.2</c:v>
                </c:pt>
                <c:pt idx="73">
                  <c:v>48.9</c:v>
                </c:pt>
                <c:pt idx="74">
                  <c:v>50.7</c:v>
                </c:pt>
                <c:pt idx="75">
                  <c:v>47.3</c:v>
                </c:pt>
                <c:pt idx="76">
                  <c:v>46.5</c:v>
                </c:pt>
                <c:pt idx="77">
                  <c:v>49.42</c:v>
                </c:pt>
                <c:pt idx="78">
                  <c:v>50.1</c:v>
                </c:pt>
                <c:pt idx="112">
                  <c:v>50.7</c:v>
                </c:pt>
                <c:pt idx="113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F-42B7-B7BF-279F48D53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250624"/>
        <c:axId val="538293376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AU!$B$43:$B$241</c:f>
              <c:numCache>
                <c:formatCode>0.0</c:formatCode>
                <c:ptCount val="199"/>
                <c:pt idx="0">
                  <c:v>51.4</c:v>
                </c:pt>
                <c:pt idx="1">
                  <c:v>51.2</c:v>
                </c:pt>
                <c:pt idx="2">
                  <c:v>52.7</c:v>
                </c:pt>
                <c:pt idx="3">
                  <c:v>51.2</c:v>
                </c:pt>
                <c:pt idx="4">
                  <c:v>47</c:v>
                </c:pt>
                <c:pt idx="5">
                  <c:v>46.9</c:v>
                </c:pt>
                <c:pt idx="6">
                  <c:v>40.4</c:v>
                </c:pt>
                <c:pt idx="7">
                  <c:v>33.700000000000003</c:v>
                </c:pt>
                <c:pt idx="8">
                  <c:v>36.6</c:v>
                </c:pt>
                <c:pt idx="9">
                  <c:v>31.7</c:v>
                </c:pt>
                <c:pt idx="10">
                  <c:v>33.4</c:v>
                </c:pt>
                <c:pt idx="11">
                  <c:v>30.1</c:v>
                </c:pt>
                <c:pt idx="12">
                  <c:v>37.5</c:v>
                </c:pt>
                <c:pt idx="13">
                  <c:v>38.4</c:v>
                </c:pt>
                <c:pt idx="14">
                  <c:v>44.5</c:v>
                </c:pt>
                <c:pt idx="15">
                  <c:v>51.7</c:v>
                </c:pt>
                <c:pt idx="16">
                  <c:v>52</c:v>
                </c:pt>
                <c:pt idx="17">
                  <c:v>51.7</c:v>
                </c:pt>
                <c:pt idx="18">
                  <c:v>51.2</c:v>
                </c:pt>
                <c:pt idx="19">
                  <c:v>48.5</c:v>
                </c:pt>
                <c:pt idx="20">
                  <c:v>51</c:v>
                </c:pt>
                <c:pt idx="21">
                  <c:v>53.8</c:v>
                </c:pt>
                <c:pt idx="22">
                  <c:v>50.2</c:v>
                </c:pt>
                <c:pt idx="23">
                  <c:v>59.8</c:v>
                </c:pt>
                <c:pt idx="24">
                  <c:v>56.3</c:v>
                </c:pt>
                <c:pt idx="25">
                  <c:v>52.9</c:v>
                </c:pt>
                <c:pt idx="26">
                  <c:v>54.4</c:v>
                </c:pt>
                <c:pt idx="27">
                  <c:v>51.7</c:v>
                </c:pt>
                <c:pt idx="28">
                  <c:v>47.3</c:v>
                </c:pt>
                <c:pt idx="29">
                  <c:v>49.4</c:v>
                </c:pt>
                <c:pt idx="30">
                  <c:v>47.6</c:v>
                </c:pt>
                <c:pt idx="31">
                  <c:v>46.3</c:v>
                </c:pt>
                <c:pt idx="32">
                  <c:v>46.7</c:v>
                </c:pt>
                <c:pt idx="33">
                  <c:v>51.1</c:v>
                </c:pt>
                <c:pt idx="34">
                  <c:v>47.9</c:v>
                </c:pt>
                <c:pt idx="35">
                  <c:v>48.4</c:v>
                </c:pt>
                <c:pt idx="36">
                  <c:v>47.7</c:v>
                </c:pt>
                <c:pt idx="37">
                  <c:v>52.9</c:v>
                </c:pt>
                <c:pt idx="38">
                  <c:v>43.4</c:v>
                </c:pt>
                <c:pt idx="39">
                  <c:v>43.3</c:v>
                </c:pt>
                <c:pt idx="40">
                  <c:v>42.3</c:v>
                </c:pt>
                <c:pt idx="41">
                  <c:v>47.4</c:v>
                </c:pt>
                <c:pt idx="42">
                  <c:v>47.8</c:v>
                </c:pt>
                <c:pt idx="43">
                  <c:v>50.2</c:v>
                </c:pt>
                <c:pt idx="44">
                  <c:v>51.6</c:v>
                </c:pt>
                <c:pt idx="45">
                  <c:v>51.3</c:v>
                </c:pt>
                <c:pt idx="46">
                  <c:v>49.5</c:v>
                </c:pt>
                <c:pt idx="47">
                  <c:v>43.9</c:v>
                </c:pt>
                <c:pt idx="48">
                  <c:v>42.4</c:v>
                </c:pt>
                <c:pt idx="49">
                  <c:v>47.2</c:v>
                </c:pt>
                <c:pt idx="50">
                  <c:v>40.299999999999997</c:v>
                </c:pt>
                <c:pt idx="51">
                  <c:v>45.3</c:v>
                </c:pt>
                <c:pt idx="52">
                  <c:v>44.1</c:v>
                </c:pt>
                <c:pt idx="53">
                  <c:v>45.2</c:v>
                </c:pt>
                <c:pt idx="54">
                  <c:v>43.6</c:v>
                </c:pt>
                <c:pt idx="55">
                  <c:v>44.3</c:v>
                </c:pt>
                <c:pt idx="56">
                  <c:v>40.200000000000003</c:v>
                </c:pt>
                <c:pt idx="57">
                  <c:v>45.6</c:v>
                </c:pt>
                <c:pt idx="58">
                  <c:v>44.4</c:v>
                </c:pt>
                <c:pt idx="59">
                  <c:v>36.700000000000003</c:v>
                </c:pt>
                <c:pt idx="60">
                  <c:v>43.8</c:v>
                </c:pt>
                <c:pt idx="61">
                  <c:v>49.6</c:v>
                </c:pt>
                <c:pt idx="62">
                  <c:v>42</c:v>
                </c:pt>
                <c:pt idx="63">
                  <c:v>46.4</c:v>
                </c:pt>
                <c:pt idx="64">
                  <c:v>51.7</c:v>
                </c:pt>
                <c:pt idx="65">
                  <c:v>53.2</c:v>
                </c:pt>
                <c:pt idx="66">
                  <c:v>47.7</c:v>
                </c:pt>
                <c:pt idx="67">
                  <c:v>47.6</c:v>
                </c:pt>
                <c:pt idx="68">
                  <c:v>46.7</c:v>
                </c:pt>
                <c:pt idx="69">
                  <c:v>48.6</c:v>
                </c:pt>
                <c:pt idx="70">
                  <c:v>49.7</c:v>
                </c:pt>
                <c:pt idx="71">
                  <c:v>44.8</c:v>
                </c:pt>
                <c:pt idx="72">
                  <c:v>49.2</c:v>
                </c:pt>
                <c:pt idx="73">
                  <c:v>48.9</c:v>
                </c:pt>
                <c:pt idx="74">
                  <c:v>50.7</c:v>
                </c:pt>
                <c:pt idx="75">
                  <c:v>47.3</c:v>
                </c:pt>
                <c:pt idx="76">
                  <c:v>46.5</c:v>
                </c:pt>
                <c:pt idx="77">
                  <c:v>49.42</c:v>
                </c:pt>
                <c:pt idx="78">
                  <c:v>50.1</c:v>
                </c:pt>
                <c:pt idx="112">
                  <c:v>50.7</c:v>
                </c:pt>
                <c:pt idx="11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F-42B7-B7BF-279F48D53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250624"/>
        <c:axId val="538293376"/>
      </c:lineChart>
      <c:dateAx>
        <c:axId val="538250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293376"/>
        <c:crossesAt val="50"/>
        <c:auto val="1"/>
        <c:lblOffset val="100"/>
        <c:baseTimeUnit val="months"/>
        <c:majorUnit val="1"/>
        <c:majorTimeUnit val="years"/>
      </c:dateAx>
      <c:valAx>
        <c:axId val="538293376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250624"/>
        <c:crosses val="autoZero"/>
        <c:crossBetween val="between"/>
        <c:majorUnit val="7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9.6644454272922453E-2"/>
          <c:y val="0.13663060292737222"/>
          <c:w val="0.17144935767426805"/>
          <c:h val="7.3404288822653735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Australia vs China Manufacturing PMI</a:t>
            </a:r>
            <a:r>
              <a:rPr lang="en-US" baseline="0"/>
              <a:t> 2008-2014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AU!$B$42</c:f>
              <c:strCache>
                <c:ptCount val="1"/>
                <c:pt idx="0">
                  <c:v>Australia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AU!$A$43:$A$241</c:f>
              <c:numCache>
                <c:formatCode>[$-409]mmm\-yy;@</c:formatCode>
                <c:ptCount val="199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39753</c:v>
                </c:pt>
                <c:pt idx="7">
                  <c:v>39783</c:v>
                </c:pt>
                <c:pt idx="8">
                  <c:v>39814</c:v>
                </c:pt>
                <c:pt idx="9">
                  <c:v>39845</c:v>
                </c:pt>
                <c:pt idx="10">
                  <c:v>39873</c:v>
                </c:pt>
                <c:pt idx="11">
                  <c:v>39904</c:v>
                </c:pt>
                <c:pt idx="12">
                  <c:v>39934</c:v>
                </c:pt>
                <c:pt idx="13">
                  <c:v>39965</c:v>
                </c:pt>
                <c:pt idx="14">
                  <c:v>39995</c:v>
                </c:pt>
                <c:pt idx="15">
                  <c:v>40026</c:v>
                </c:pt>
                <c:pt idx="16">
                  <c:v>40057</c:v>
                </c:pt>
                <c:pt idx="17">
                  <c:v>40087</c:v>
                </c:pt>
                <c:pt idx="18">
                  <c:v>40118</c:v>
                </c:pt>
                <c:pt idx="19">
                  <c:v>40148</c:v>
                </c:pt>
                <c:pt idx="20">
                  <c:v>40179</c:v>
                </c:pt>
                <c:pt idx="21">
                  <c:v>40210</c:v>
                </c:pt>
                <c:pt idx="22">
                  <c:v>40238</c:v>
                </c:pt>
                <c:pt idx="23">
                  <c:v>40269</c:v>
                </c:pt>
                <c:pt idx="24">
                  <c:v>40299</c:v>
                </c:pt>
                <c:pt idx="25">
                  <c:v>40330</c:v>
                </c:pt>
                <c:pt idx="26">
                  <c:v>40360</c:v>
                </c:pt>
                <c:pt idx="27">
                  <c:v>40391</c:v>
                </c:pt>
                <c:pt idx="28">
                  <c:v>40422</c:v>
                </c:pt>
                <c:pt idx="29">
                  <c:v>40452</c:v>
                </c:pt>
                <c:pt idx="30">
                  <c:v>40483</c:v>
                </c:pt>
                <c:pt idx="31">
                  <c:v>40513</c:v>
                </c:pt>
                <c:pt idx="32">
                  <c:v>40544</c:v>
                </c:pt>
                <c:pt idx="33">
                  <c:v>40575</c:v>
                </c:pt>
                <c:pt idx="34">
                  <c:v>40603</c:v>
                </c:pt>
                <c:pt idx="35">
                  <c:v>40634</c:v>
                </c:pt>
                <c:pt idx="36">
                  <c:v>40664</c:v>
                </c:pt>
                <c:pt idx="37">
                  <c:v>40695</c:v>
                </c:pt>
                <c:pt idx="38">
                  <c:v>40725</c:v>
                </c:pt>
                <c:pt idx="39">
                  <c:v>40756</c:v>
                </c:pt>
                <c:pt idx="40">
                  <c:v>40787</c:v>
                </c:pt>
                <c:pt idx="41">
                  <c:v>40817</c:v>
                </c:pt>
                <c:pt idx="42">
                  <c:v>40848</c:v>
                </c:pt>
                <c:pt idx="43">
                  <c:v>40878</c:v>
                </c:pt>
                <c:pt idx="44">
                  <c:v>40909</c:v>
                </c:pt>
                <c:pt idx="45">
                  <c:v>40940</c:v>
                </c:pt>
                <c:pt idx="46">
                  <c:v>40969</c:v>
                </c:pt>
                <c:pt idx="47">
                  <c:v>41000</c:v>
                </c:pt>
                <c:pt idx="48">
                  <c:v>41030</c:v>
                </c:pt>
                <c:pt idx="49">
                  <c:v>41061</c:v>
                </c:pt>
                <c:pt idx="50">
                  <c:v>41091</c:v>
                </c:pt>
                <c:pt idx="51">
                  <c:v>41122</c:v>
                </c:pt>
                <c:pt idx="52">
                  <c:v>41153</c:v>
                </c:pt>
                <c:pt idx="53">
                  <c:v>41183</c:v>
                </c:pt>
                <c:pt idx="54">
                  <c:v>41214</c:v>
                </c:pt>
                <c:pt idx="55">
                  <c:v>41244</c:v>
                </c:pt>
                <c:pt idx="56">
                  <c:v>41275</c:v>
                </c:pt>
                <c:pt idx="57">
                  <c:v>41306</c:v>
                </c:pt>
                <c:pt idx="58">
                  <c:v>41334</c:v>
                </c:pt>
                <c:pt idx="59">
                  <c:v>41365</c:v>
                </c:pt>
                <c:pt idx="60">
                  <c:v>41395</c:v>
                </c:pt>
                <c:pt idx="61">
                  <c:v>41426</c:v>
                </c:pt>
                <c:pt idx="62">
                  <c:v>41456</c:v>
                </c:pt>
                <c:pt idx="63">
                  <c:v>41487</c:v>
                </c:pt>
                <c:pt idx="64">
                  <c:v>41518</c:v>
                </c:pt>
                <c:pt idx="65">
                  <c:v>41548</c:v>
                </c:pt>
                <c:pt idx="66">
                  <c:v>41579</c:v>
                </c:pt>
                <c:pt idx="67">
                  <c:v>41609</c:v>
                </c:pt>
                <c:pt idx="68">
                  <c:v>41640</c:v>
                </c:pt>
                <c:pt idx="69">
                  <c:v>41671</c:v>
                </c:pt>
                <c:pt idx="70">
                  <c:v>41699</c:v>
                </c:pt>
                <c:pt idx="71">
                  <c:v>41730</c:v>
                </c:pt>
                <c:pt idx="72">
                  <c:v>41760</c:v>
                </c:pt>
                <c:pt idx="73">
                  <c:v>41791</c:v>
                </c:pt>
                <c:pt idx="74">
                  <c:v>41821</c:v>
                </c:pt>
                <c:pt idx="75">
                  <c:v>41852</c:v>
                </c:pt>
                <c:pt idx="76">
                  <c:v>41883</c:v>
                </c:pt>
                <c:pt idx="77">
                  <c:v>41913</c:v>
                </c:pt>
                <c:pt idx="78">
                  <c:v>41944</c:v>
                </c:pt>
                <c:pt idx="79">
                  <c:v>41974</c:v>
                </c:pt>
                <c:pt idx="80">
                  <c:v>42005</c:v>
                </c:pt>
                <c:pt idx="81">
                  <c:v>42036</c:v>
                </c:pt>
                <c:pt idx="82">
                  <c:v>42064</c:v>
                </c:pt>
                <c:pt idx="83">
                  <c:v>42095</c:v>
                </c:pt>
                <c:pt idx="84">
                  <c:v>42125</c:v>
                </c:pt>
                <c:pt idx="85">
                  <c:v>42156</c:v>
                </c:pt>
                <c:pt idx="86">
                  <c:v>42186</c:v>
                </c:pt>
                <c:pt idx="87">
                  <c:v>42217</c:v>
                </c:pt>
                <c:pt idx="88">
                  <c:v>42248</c:v>
                </c:pt>
                <c:pt idx="89">
                  <c:v>42278</c:v>
                </c:pt>
                <c:pt idx="90">
                  <c:v>42309</c:v>
                </c:pt>
                <c:pt idx="91">
                  <c:v>42339</c:v>
                </c:pt>
                <c:pt idx="92">
                  <c:v>42370</c:v>
                </c:pt>
                <c:pt idx="93">
                  <c:v>42401</c:v>
                </c:pt>
                <c:pt idx="94">
                  <c:v>42430</c:v>
                </c:pt>
                <c:pt idx="95">
                  <c:v>42461</c:v>
                </c:pt>
                <c:pt idx="96">
                  <c:v>42491</c:v>
                </c:pt>
                <c:pt idx="97">
                  <c:v>42522</c:v>
                </c:pt>
                <c:pt idx="98">
                  <c:v>42552</c:v>
                </c:pt>
                <c:pt idx="99">
                  <c:v>42583</c:v>
                </c:pt>
                <c:pt idx="100">
                  <c:v>42614</c:v>
                </c:pt>
                <c:pt idx="101">
                  <c:v>42644</c:v>
                </c:pt>
                <c:pt idx="102">
                  <c:v>42675</c:v>
                </c:pt>
                <c:pt idx="103">
                  <c:v>42705</c:v>
                </c:pt>
                <c:pt idx="104">
                  <c:v>42736</c:v>
                </c:pt>
                <c:pt idx="105">
                  <c:v>42767</c:v>
                </c:pt>
                <c:pt idx="106">
                  <c:v>42795</c:v>
                </c:pt>
                <c:pt idx="107">
                  <c:v>42826</c:v>
                </c:pt>
                <c:pt idx="108">
                  <c:v>42856</c:v>
                </c:pt>
                <c:pt idx="109">
                  <c:v>42887</c:v>
                </c:pt>
                <c:pt idx="110">
                  <c:v>42917</c:v>
                </c:pt>
                <c:pt idx="111">
                  <c:v>42948</c:v>
                </c:pt>
                <c:pt idx="112" formatCode="yyyy/mm/dd">
                  <c:v>46143</c:v>
                </c:pt>
                <c:pt idx="113" formatCode="yyyy/mm/dd">
                  <c:v>46174</c:v>
                </c:pt>
              </c:numCache>
            </c:numRef>
          </c:cat>
          <c:val>
            <c:numRef>
              <c:f>AU!$B$43:$B$241</c:f>
              <c:numCache>
                <c:formatCode>0.0</c:formatCode>
                <c:ptCount val="199"/>
                <c:pt idx="0">
                  <c:v>51.4</c:v>
                </c:pt>
                <c:pt idx="1">
                  <c:v>51.2</c:v>
                </c:pt>
                <c:pt idx="2">
                  <c:v>52.7</c:v>
                </c:pt>
                <c:pt idx="3">
                  <c:v>51.2</c:v>
                </c:pt>
                <c:pt idx="4">
                  <c:v>47</c:v>
                </c:pt>
                <c:pt idx="5">
                  <c:v>46.9</c:v>
                </c:pt>
                <c:pt idx="6">
                  <c:v>40.4</c:v>
                </c:pt>
                <c:pt idx="7">
                  <c:v>33.700000000000003</c:v>
                </c:pt>
                <c:pt idx="8">
                  <c:v>36.6</c:v>
                </c:pt>
                <c:pt idx="9">
                  <c:v>31.7</c:v>
                </c:pt>
                <c:pt idx="10">
                  <c:v>33.4</c:v>
                </c:pt>
                <c:pt idx="11">
                  <c:v>30.1</c:v>
                </c:pt>
                <c:pt idx="12">
                  <c:v>37.5</c:v>
                </c:pt>
                <c:pt idx="13">
                  <c:v>38.4</c:v>
                </c:pt>
                <c:pt idx="14">
                  <c:v>44.5</c:v>
                </c:pt>
                <c:pt idx="15">
                  <c:v>51.7</c:v>
                </c:pt>
                <c:pt idx="16">
                  <c:v>52</c:v>
                </c:pt>
                <c:pt idx="17">
                  <c:v>51.7</c:v>
                </c:pt>
                <c:pt idx="18">
                  <c:v>51.2</c:v>
                </c:pt>
                <c:pt idx="19">
                  <c:v>48.5</c:v>
                </c:pt>
                <c:pt idx="20">
                  <c:v>51</c:v>
                </c:pt>
                <c:pt idx="21">
                  <c:v>53.8</c:v>
                </c:pt>
                <c:pt idx="22">
                  <c:v>50.2</c:v>
                </c:pt>
                <c:pt idx="23">
                  <c:v>59.8</c:v>
                </c:pt>
                <c:pt idx="24">
                  <c:v>56.3</c:v>
                </c:pt>
                <c:pt idx="25">
                  <c:v>52.9</c:v>
                </c:pt>
                <c:pt idx="26">
                  <c:v>54.4</c:v>
                </c:pt>
                <c:pt idx="27">
                  <c:v>51.7</c:v>
                </c:pt>
                <c:pt idx="28">
                  <c:v>47.3</c:v>
                </c:pt>
                <c:pt idx="29">
                  <c:v>49.4</c:v>
                </c:pt>
                <c:pt idx="30">
                  <c:v>47.6</c:v>
                </c:pt>
                <c:pt idx="31">
                  <c:v>46.3</c:v>
                </c:pt>
                <c:pt idx="32">
                  <c:v>46.7</c:v>
                </c:pt>
                <c:pt idx="33">
                  <c:v>51.1</c:v>
                </c:pt>
                <c:pt idx="34">
                  <c:v>47.9</c:v>
                </c:pt>
                <c:pt idx="35">
                  <c:v>48.4</c:v>
                </c:pt>
                <c:pt idx="36">
                  <c:v>47.7</c:v>
                </c:pt>
                <c:pt idx="37">
                  <c:v>52.9</c:v>
                </c:pt>
                <c:pt idx="38">
                  <c:v>43.4</c:v>
                </c:pt>
                <c:pt idx="39">
                  <c:v>43.3</c:v>
                </c:pt>
                <c:pt idx="40">
                  <c:v>42.3</c:v>
                </c:pt>
                <c:pt idx="41">
                  <c:v>47.4</c:v>
                </c:pt>
                <c:pt idx="42">
                  <c:v>47.8</c:v>
                </c:pt>
                <c:pt idx="43">
                  <c:v>50.2</c:v>
                </c:pt>
                <c:pt idx="44">
                  <c:v>51.6</c:v>
                </c:pt>
                <c:pt idx="45">
                  <c:v>51.3</c:v>
                </c:pt>
                <c:pt idx="46">
                  <c:v>49.5</c:v>
                </c:pt>
                <c:pt idx="47">
                  <c:v>43.9</c:v>
                </c:pt>
                <c:pt idx="48">
                  <c:v>42.4</c:v>
                </c:pt>
                <c:pt idx="49">
                  <c:v>47.2</c:v>
                </c:pt>
                <c:pt idx="50">
                  <c:v>40.299999999999997</c:v>
                </c:pt>
                <c:pt idx="51">
                  <c:v>45.3</c:v>
                </c:pt>
                <c:pt idx="52">
                  <c:v>44.1</c:v>
                </c:pt>
                <c:pt idx="53">
                  <c:v>45.2</c:v>
                </c:pt>
                <c:pt idx="54">
                  <c:v>43.6</c:v>
                </c:pt>
                <c:pt idx="55">
                  <c:v>44.3</c:v>
                </c:pt>
                <c:pt idx="56">
                  <c:v>40.200000000000003</c:v>
                </c:pt>
                <c:pt idx="57">
                  <c:v>45.6</c:v>
                </c:pt>
                <c:pt idx="58">
                  <c:v>44.4</c:v>
                </c:pt>
                <c:pt idx="59">
                  <c:v>36.700000000000003</c:v>
                </c:pt>
                <c:pt idx="60">
                  <c:v>43.8</c:v>
                </c:pt>
                <c:pt idx="61">
                  <c:v>49.6</c:v>
                </c:pt>
                <c:pt idx="62">
                  <c:v>42</c:v>
                </c:pt>
                <c:pt idx="63">
                  <c:v>46.4</c:v>
                </c:pt>
                <c:pt idx="64">
                  <c:v>51.7</c:v>
                </c:pt>
                <c:pt idx="65">
                  <c:v>53.2</c:v>
                </c:pt>
                <c:pt idx="66">
                  <c:v>47.7</c:v>
                </c:pt>
                <c:pt idx="67">
                  <c:v>47.6</c:v>
                </c:pt>
                <c:pt idx="68">
                  <c:v>46.7</c:v>
                </c:pt>
                <c:pt idx="69">
                  <c:v>48.6</c:v>
                </c:pt>
                <c:pt idx="70">
                  <c:v>49.7</c:v>
                </c:pt>
                <c:pt idx="71">
                  <c:v>44.8</c:v>
                </c:pt>
                <c:pt idx="72">
                  <c:v>49.2</c:v>
                </c:pt>
                <c:pt idx="73">
                  <c:v>48.9</c:v>
                </c:pt>
                <c:pt idx="74">
                  <c:v>50.7</c:v>
                </c:pt>
                <c:pt idx="75">
                  <c:v>47.3</c:v>
                </c:pt>
                <c:pt idx="76">
                  <c:v>46.5</c:v>
                </c:pt>
                <c:pt idx="77">
                  <c:v>49.42</c:v>
                </c:pt>
                <c:pt idx="78">
                  <c:v>50.1</c:v>
                </c:pt>
                <c:pt idx="112">
                  <c:v>50.7</c:v>
                </c:pt>
                <c:pt idx="113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9-48CA-B6E5-8EF149B2F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08608"/>
        <c:axId val="538310144"/>
      </c:areaChart>
      <c:barChart>
        <c:barDir val="col"/>
        <c:grouping val="clustered"/>
        <c:varyColors val="0"/>
        <c:ser>
          <c:idx val="2"/>
          <c:order val="2"/>
          <c:tx>
            <c:strRef>
              <c:f>CH!$B$2</c:f>
              <c:strCache>
                <c:ptCount val="1"/>
                <c:pt idx="0">
                  <c:v>HSBC China PMI</c:v>
                </c:pt>
              </c:strCache>
            </c:strRef>
          </c:tx>
          <c:spPr>
            <a:solidFill>
              <a:srgbClr val="FF0000"/>
            </a:solidFill>
            <a:ln w="19050">
              <a:noFill/>
            </a:ln>
          </c:spPr>
          <c:invertIfNegative val="0"/>
          <c:val>
            <c:numRef>
              <c:f>CH!$B$3:$B$101</c:f>
              <c:numCache>
                <c:formatCode>0.0</c:formatCode>
                <c:ptCount val="99"/>
                <c:pt idx="0">
                  <c:v>52.1</c:v>
                </c:pt>
                <c:pt idx="1">
                  <c:v>52.9</c:v>
                </c:pt>
                <c:pt idx="2">
                  <c:v>55.2</c:v>
                </c:pt>
                <c:pt idx="3">
                  <c:v>54.4</c:v>
                </c:pt>
                <c:pt idx="4">
                  <c:v>53.3</c:v>
                </c:pt>
                <c:pt idx="5">
                  <c:v>51</c:v>
                </c:pt>
                <c:pt idx="6">
                  <c:v>51.5</c:v>
                </c:pt>
                <c:pt idx="7">
                  <c:v>50.6</c:v>
                </c:pt>
                <c:pt idx="8">
                  <c:v>50.9</c:v>
                </c:pt>
                <c:pt idx="9">
                  <c:v>50.1</c:v>
                </c:pt>
                <c:pt idx="10">
                  <c:v>49.8</c:v>
                </c:pt>
                <c:pt idx="11">
                  <c:v>50.1</c:v>
                </c:pt>
                <c:pt idx="12">
                  <c:v>50.2</c:v>
                </c:pt>
                <c:pt idx="13">
                  <c:v>50.7</c:v>
                </c:pt>
                <c:pt idx="14">
                  <c:v>51</c:v>
                </c:pt>
                <c:pt idx="15">
                  <c:v>52.7</c:v>
                </c:pt>
                <c:pt idx="16">
                  <c:v>52.8</c:v>
                </c:pt>
                <c:pt idx="17">
                  <c:v>52.9</c:v>
                </c:pt>
                <c:pt idx="18">
                  <c:v>53</c:v>
                </c:pt>
                <c:pt idx="19">
                  <c:v>52.6</c:v>
                </c:pt>
                <c:pt idx="20">
                  <c:v>52.4</c:v>
                </c:pt>
                <c:pt idx="21">
                  <c:v>52.1</c:v>
                </c:pt>
                <c:pt idx="22">
                  <c:v>53</c:v>
                </c:pt>
                <c:pt idx="23">
                  <c:v>52.4</c:v>
                </c:pt>
                <c:pt idx="24">
                  <c:v>52</c:v>
                </c:pt>
                <c:pt idx="25">
                  <c:v>53</c:v>
                </c:pt>
                <c:pt idx="26">
                  <c:v>52.3</c:v>
                </c:pt>
                <c:pt idx="27">
                  <c:v>53.3</c:v>
                </c:pt>
                <c:pt idx="28">
                  <c:v>54.1</c:v>
                </c:pt>
                <c:pt idx="29">
                  <c:v>55</c:v>
                </c:pt>
                <c:pt idx="30">
                  <c:v>53.2</c:v>
                </c:pt>
                <c:pt idx="31">
                  <c:v>53.4</c:v>
                </c:pt>
                <c:pt idx="32">
                  <c:v>55</c:v>
                </c:pt>
                <c:pt idx="33">
                  <c:v>55.2</c:v>
                </c:pt>
                <c:pt idx="34">
                  <c:v>52.8</c:v>
                </c:pt>
                <c:pt idx="35">
                  <c:v>53.3</c:v>
                </c:pt>
                <c:pt idx="36">
                  <c:v>53.2</c:v>
                </c:pt>
                <c:pt idx="37">
                  <c:v>52.8</c:v>
                </c:pt>
                <c:pt idx="38">
                  <c:v>54.4</c:v>
                </c:pt>
                <c:pt idx="39">
                  <c:v>55.4</c:v>
                </c:pt>
                <c:pt idx="40">
                  <c:v>54.7</c:v>
                </c:pt>
                <c:pt idx="41">
                  <c:v>53.3</c:v>
                </c:pt>
                <c:pt idx="42">
                  <c:v>53.3</c:v>
                </c:pt>
                <c:pt idx="43">
                  <c:v>49.2</c:v>
                </c:pt>
                <c:pt idx="44">
                  <c:v>47.7</c:v>
                </c:pt>
                <c:pt idx="45">
                  <c:v>45.2</c:v>
                </c:pt>
                <c:pt idx="46">
                  <c:v>40.9</c:v>
                </c:pt>
                <c:pt idx="47">
                  <c:v>41.2</c:v>
                </c:pt>
                <c:pt idx="48">
                  <c:v>42.2</c:v>
                </c:pt>
                <c:pt idx="49">
                  <c:v>45.1</c:v>
                </c:pt>
                <c:pt idx="50">
                  <c:v>44.8</c:v>
                </c:pt>
                <c:pt idx="51">
                  <c:v>50.1</c:v>
                </c:pt>
                <c:pt idx="52">
                  <c:v>51.2</c:v>
                </c:pt>
                <c:pt idx="53">
                  <c:v>51.8</c:v>
                </c:pt>
                <c:pt idx="54">
                  <c:v>52.8</c:v>
                </c:pt>
                <c:pt idx="55">
                  <c:v>55.1</c:v>
                </c:pt>
                <c:pt idx="56">
                  <c:v>55</c:v>
                </c:pt>
                <c:pt idx="57">
                  <c:v>55.4</c:v>
                </c:pt>
                <c:pt idx="58">
                  <c:v>55.7</c:v>
                </c:pt>
                <c:pt idx="59">
                  <c:v>56.1</c:v>
                </c:pt>
                <c:pt idx="60">
                  <c:v>57.4</c:v>
                </c:pt>
                <c:pt idx="61">
                  <c:v>55.8</c:v>
                </c:pt>
                <c:pt idx="62">
                  <c:v>57</c:v>
                </c:pt>
                <c:pt idx="63">
                  <c:v>55.4</c:v>
                </c:pt>
                <c:pt idx="64">
                  <c:v>52.7</c:v>
                </c:pt>
                <c:pt idx="65">
                  <c:v>50.4</c:v>
                </c:pt>
                <c:pt idx="66">
                  <c:v>49.4</c:v>
                </c:pt>
                <c:pt idx="67">
                  <c:v>51.9</c:v>
                </c:pt>
                <c:pt idx="68">
                  <c:v>52.9</c:v>
                </c:pt>
                <c:pt idx="69">
                  <c:v>54.8</c:v>
                </c:pt>
                <c:pt idx="70">
                  <c:v>55.3</c:v>
                </c:pt>
                <c:pt idx="71">
                  <c:v>54.4</c:v>
                </c:pt>
                <c:pt idx="72">
                  <c:v>54.5</c:v>
                </c:pt>
                <c:pt idx="73">
                  <c:v>51.7</c:v>
                </c:pt>
                <c:pt idx="74">
                  <c:v>51.8</c:v>
                </c:pt>
                <c:pt idx="75">
                  <c:v>51.8</c:v>
                </c:pt>
                <c:pt idx="76">
                  <c:v>51.6</c:v>
                </c:pt>
                <c:pt idx="77">
                  <c:v>50.1</c:v>
                </c:pt>
                <c:pt idx="78">
                  <c:v>49.3</c:v>
                </c:pt>
                <c:pt idx="79">
                  <c:v>49.9</c:v>
                </c:pt>
                <c:pt idx="80">
                  <c:v>49.9</c:v>
                </c:pt>
                <c:pt idx="81">
                  <c:v>51</c:v>
                </c:pt>
                <c:pt idx="82">
                  <c:v>47.7</c:v>
                </c:pt>
                <c:pt idx="83">
                  <c:v>48.7</c:v>
                </c:pt>
                <c:pt idx="84">
                  <c:v>48.8</c:v>
                </c:pt>
                <c:pt idx="85">
                  <c:v>49.6</c:v>
                </c:pt>
                <c:pt idx="86">
                  <c:v>48.3</c:v>
                </c:pt>
                <c:pt idx="87">
                  <c:v>49.3</c:v>
                </c:pt>
                <c:pt idx="88">
                  <c:v>48.4</c:v>
                </c:pt>
                <c:pt idx="89">
                  <c:v>48.2</c:v>
                </c:pt>
                <c:pt idx="90">
                  <c:v>49.3</c:v>
                </c:pt>
                <c:pt idx="91">
                  <c:v>47.7</c:v>
                </c:pt>
                <c:pt idx="92">
                  <c:v>47.9</c:v>
                </c:pt>
                <c:pt idx="93">
                  <c:v>49.5</c:v>
                </c:pt>
                <c:pt idx="94">
                  <c:v>50.5</c:v>
                </c:pt>
                <c:pt idx="95">
                  <c:v>51.5</c:v>
                </c:pt>
                <c:pt idx="96">
                  <c:v>52.3</c:v>
                </c:pt>
                <c:pt idx="97">
                  <c:v>50.4</c:v>
                </c:pt>
                <c:pt idx="98">
                  <c:v>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9-48CA-B6E5-8EF149B2F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38308608"/>
        <c:axId val="538310144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AU!$B$43:$B$241</c:f>
              <c:numCache>
                <c:formatCode>0.0</c:formatCode>
                <c:ptCount val="199"/>
                <c:pt idx="0">
                  <c:v>51.4</c:v>
                </c:pt>
                <c:pt idx="1">
                  <c:v>51.2</c:v>
                </c:pt>
                <c:pt idx="2">
                  <c:v>52.7</c:v>
                </c:pt>
                <c:pt idx="3">
                  <c:v>51.2</c:v>
                </c:pt>
                <c:pt idx="4">
                  <c:v>47</c:v>
                </c:pt>
                <c:pt idx="5">
                  <c:v>46.9</c:v>
                </c:pt>
                <c:pt idx="6">
                  <c:v>40.4</c:v>
                </c:pt>
                <c:pt idx="7">
                  <c:v>33.700000000000003</c:v>
                </c:pt>
                <c:pt idx="8">
                  <c:v>36.6</c:v>
                </c:pt>
                <c:pt idx="9">
                  <c:v>31.7</c:v>
                </c:pt>
                <c:pt idx="10">
                  <c:v>33.4</c:v>
                </c:pt>
                <c:pt idx="11">
                  <c:v>30.1</c:v>
                </c:pt>
                <c:pt idx="12">
                  <c:v>37.5</c:v>
                </c:pt>
                <c:pt idx="13">
                  <c:v>38.4</c:v>
                </c:pt>
                <c:pt idx="14">
                  <c:v>44.5</c:v>
                </c:pt>
                <c:pt idx="15">
                  <c:v>51.7</c:v>
                </c:pt>
                <c:pt idx="16">
                  <c:v>52</c:v>
                </c:pt>
                <c:pt idx="17">
                  <c:v>51.7</c:v>
                </c:pt>
                <c:pt idx="18">
                  <c:v>51.2</c:v>
                </c:pt>
                <c:pt idx="19">
                  <c:v>48.5</c:v>
                </c:pt>
                <c:pt idx="20">
                  <c:v>51</c:v>
                </c:pt>
                <c:pt idx="21">
                  <c:v>53.8</c:v>
                </c:pt>
                <c:pt idx="22">
                  <c:v>50.2</c:v>
                </c:pt>
                <c:pt idx="23">
                  <c:v>59.8</c:v>
                </c:pt>
                <c:pt idx="24">
                  <c:v>56.3</c:v>
                </c:pt>
                <c:pt idx="25">
                  <c:v>52.9</c:v>
                </c:pt>
                <c:pt idx="26">
                  <c:v>54.4</c:v>
                </c:pt>
                <c:pt idx="27">
                  <c:v>51.7</c:v>
                </c:pt>
                <c:pt idx="28">
                  <c:v>47.3</c:v>
                </c:pt>
                <c:pt idx="29">
                  <c:v>49.4</c:v>
                </c:pt>
                <c:pt idx="30">
                  <c:v>47.6</c:v>
                </c:pt>
                <c:pt idx="31">
                  <c:v>46.3</c:v>
                </c:pt>
                <c:pt idx="32">
                  <c:v>46.7</c:v>
                </c:pt>
                <c:pt idx="33">
                  <c:v>51.1</c:v>
                </c:pt>
                <c:pt idx="34">
                  <c:v>47.9</c:v>
                </c:pt>
                <c:pt idx="35">
                  <c:v>48.4</c:v>
                </c:pt>
                <c:pt idx="36">
                  <c:v>47.7</c:v>
                </c:pt>
                <c:pt idx="37">
                  <c:v>52.9</c:v>
                </c:pt>
                <c:pt idx="38">
                  <c:v>43.4</c:v>
                </c:pt>
                <c:pt idx="39">
                  <c:v>43.3</c:v>
                </c:pt>
                <c:pt idx="40">
                  <c:v>42.3</c:v>
                </c:pt>
                <c:pt idx="41">
                  <c:v>47.4</c:v>
                </c:pt>
                <c:pt idx="42">
                  <c:v>47.8</c:v>
                </c:pt>
                <c:pt idx="43">
                  <c:v>50.2</c:v>
                </c:pt>
                <c:pt idx="44">
                  <c:v>51.6</c:v>
                </c:pt>
                <c:pt idx="45">
                  <c:v>51.3</c:v>
                </c:pt>
                <c:pt idx="46">
                  <c:v>49.5</c:v>
                </c:pt>
                <c:pt idx="47">
                  <c:v>43.9</c:v>
                </c:pt>
                <c:pt idx="48">
                  <c:v>42.4</c:v>
                </c:pt>
                <c:pt idx="49">
                  <c:v>47.2</c:v>
                </c:pt>
                <c:pt idx="50">
                  <c:v>40.299999999999997</c:v>
                </c:pt>
                <c:pt idx="51">
                  <c:v>45.3</c:v>
                </c:pt>
                <c:pt idx="52">
                  <c:v>44.1</c:v>
                </c:pt>
                <c:pt idx="53">
                  <c:v>45.2</c:v>
                </c:pt>
                <c:pt idx="54">
                  <c:v>43.6</c:v>
                </c:pt>
                <c:pt idx="55">
                  <c:v>44.3</c:v>
                </c:pt>
                <c:pt idx="56">
                  <c:v>40.200000000000003</c:v>
                </c:pt>
                <c:pt idx="57">
                  <c:v>45.6</c:v>
                </c:pt>
                <c:pt idx="58">
                  <c:v>44.4</c:v>
                </c:pt>
                <c:pt idx="59">
                  <c:v>36.700000000000003</c:v>
                </c:pt>
                <c:pt idx="60">
                  <c:v>43.8</c:v>
                </c:pt>
                <c:pt idx="61">
                  <c:v>49.6</c:v>
                </c:pt>
                <c:pt idx="62">
                  <c:v>42</c:v>
                </c:pt>
                <c:pt idx="63">
                  <c:v>46.4</c:v>
                </c:pt>
                <c:pt idx="64">
                  <c:v>51.7</c:v>
                </c:pt>
                <c:pt idx="65">
                  <c:v>53.2</c:v>
                </c:pt>
                <c:pt idx="66">
                  <c:v>47.7</c:v>
                </c:pt>
                <c:pt idx="67">
                  <c:v>47.6</c:v>
                </c:pt>
                <c:pt idx="68">
                  <c:v>46.7</c:v>
                </c:pt>
                <c:pt idx="69">
                  <c:v>48.6</c:v>
                </c:pt>
                <c:pt idx="70">
                  <c:v>49.7</c:v>
                </c:pt>
                <c:pt idx="71">
                  <c:v>44.8</c:v>
                </c:pt>
                <c:pt idx="72">
                  <c:v>49.2</c:v>
                </c:pt>
                <c:pt idx="73">
                  <c:v>48.9</c:v>
                </c:pt>
                <c:pt idx="74">
                  <c:v>50.7</c:v>
                </c:pt>
                <c:pt idx="75">
                  <c:v>47.3</c:v>
                </c:pt>
                <c:pt idx="76">
                  <c:v>46.5</c:v>
                </c:pt>
                <c:pt idx="77">
                  <c:v>49.42</c:v>
                </c:pt>
                <c:pt idx="78">
                  <c:v>50.1</c:v>
                </c:pt>
                <c:pt idx="112">
                  <c:v>50.7</c:v>
                </c:pt>
                <c:pt idx="11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B9-48CA-B6E5-8EF149B2F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308608"/>
        <c:axId val="538310144"/>
      </c:lineChart>
      <c:dateAx>
        <c:axId val="5383086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310144"/>
        <c:crossesAt val="50"/>
        <c:auto val="1"/>
        <c:lblOffset val="100"/>
        <c:baseTimeUnit val="months"/>
        <c:majorUnit val="3"/>
        <c:majorTimeUnit val="months"/>
      </c:dateAx>
      <c:valAx>
        <c:axId val="538310144"/>
        <c:scaling>
          <c:orientation val="minMax"/>
          <c:max val="65"/>
          <c:min val="28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308608"/>
        <c:crosses val="autoZero"/>
        <c:crossBetween val="between"/>
        <c:majorUnit val="2"/>
      </c:val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166355061781660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Australia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AU!$B$42</c:f>
              <c:strCache>
                <c:ptCount val="1"/>
                <c:pt idx="0">
                  <c:v>Australia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AU!$A$43:$A$241</c:f>
              <c:numCache>
                <c:formatCode>[$-409]mmm\-yy;@</c:formatCode>
                <c:ptCount val="199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39753</c:v>
                </c:pt>
                <c:pt idx="7">
                  <c:v>39783</c:v>
                </c:pt>
                <c:pt idx="8">
                  <c:v>39814</c:v>
                </c:pt>
                <c:pt idx="9">
                  <c:v>39845</c:v>
                </c:pt>
                <c:pt idx="10">
                  <c:v>39873</c:v>
                </c:pt>
                <c:pt idx="11">
                  <c:v>39904</c:v>
                </c:pt>
                <c:pt idx="12">
                  <c:v>39934</c:v>
                </c:pt>
                <c:pt idx="13">
                  <c:v>39965</c:v>
                </c:pt>
                <c:pt idx="14">
                  <c:v>39995</c:v>
                </c:pt>
                <c:pt idx="15">
                  <c:v>40026</c:v>
                </c:pt>
                <c:pt idx="16">
                  <c:v>40057</c:v>
                </c:pt>
                <c:pt idx="17">
                  <c:v>40087</c:v>
                </c:pt>
                <c:pt idx="18">
                  <c:v>40118</c:v>
                </c:pt>
                <c:pt idx="19">
                  <c:v>40148</c:v>
                </c:pt>
                <c:pt idx="20">
                  <c:v>40179</c:v>
                </c:pt>
                <c:pt idx="21">
                  <c:v>40210</c:v>
                </c:pt>
                <c:pt idx="22">
                  <c:v>40238</c:v>
                </c:pt>
                <c:pt idx="23">
                  <c:v>40269</c:v>
                </c:pt>
                <c:pt idx="24">
                  <c:v>40299</c:v>
                </c:pt>
                <c:pt idx="25">
                  <c:v>40330</c:v>
                </c:pt>
                <c:pt idx="26">
                  <c:v>40360</c:v>
                </c:pt>
                <c:pt idx="27">
                  <c:v>40391</c:v>
                </c:pt>
                <c:pt idx="28">
                  <c:v>40422</c:v>
                </c:pt>
                <c:pt idx="29">
                  <c:v>40452</c:v>
                </c:pt>
                <c:pt idx="30">
                  <c:v>40483</c:v>
                </c:pt>
                <c:pt idx="31">
                  <c:v>40513</c:v>
                </c:pt>
                <c:pt idx="32">
                  <c:v>40544</c:v>
                </c:pt>
                <c:pt idx="33">
                  <c:v>40575</c:v>
                </c:pt>
                <c:pt idx="34">
                  <c:v>40603</c:v>
                </c:pt>
                <c:pt idx="35">
                  <c:v>40634</c:v>
                </c:pt>
                <c:pt idx="36">
                  <c:v>40664</c:v>
                </c:pt>
                <c:pt idx="37">
                  <c:v>40695</c:v>
                </c:pt>
                <c:pt idx="38">
                  <c:v>40725</c:v>
                </c:pt>
                <c:pt idx="39">
                  <c:v>40756</c:v>
                </c:pt>
                <c:pt idx="40">
                  <c:v>40787</c:v>
                </c:pt>
                <c:pt idx="41">
                  <c:v>40817</c:v>
                </c:pt>
                <c:pt idx="42">
                  <c:v>40848</c:v>
                </c:pt>
                <c:pt idx="43">
                  <c:v>40878</c:v>
                </c:pt>
                <c:pt idx="44">
                  <c:v>40909</c:v>
                </c:pt>
                <c:pt idx="45">
                  <c:v>40940</c:v>
                </c:pt>
                <c:pt idx="46">
                  <c:v>40969</c:v>
                </c:pt>
                <c:pt idx="47">
                  <c:v>41000</c:v>
                </c:pt>
                <c:pt idx="48">
                  <c:v>41030</c:v>
                </c:pt>
                <c:pt idx="49">
                  <c:v>41061</c:v>
                </c:pt>
                <c:pt idx="50">
                  <c:v>41091</c:v>
                </c:pt>
                <c:pt idx="51">
                  <c:v>41122</c:v>
                </c:pt>
                <c:pt idx="52">
                  <c:v>41153</c:v>
                </c:pt>
                <c:pt idx="53">
                  <c:v>41183</c:v>
                </c:pt>
                <c:pt idx="54">
                  <c:v>41214</c:v>
                </c:pt>
                <c:pt idx="55">
                  <c:v>41244</c:v>
                </c:pt>
                <c:pt idx="56">
                  <c:v>41275</c:v>
                </c:pt>
                <c:pt idx="57">
                  <c:v>41306</c:v>
                </c:pt>
                <c:pt idx="58">
                  <c:v>41334</c:v>
                </c:pt>
                <c:pt idx="59">
                  <c:v>41365</c:v>
                </c:pt>
                <c:pt idx="60">
                  <c:v>41395</c:v>
                </c:pt>
                <c:pt idx="61">
                  <c:v>41426</c:v>
                </c:pt>
                <c:pt idx="62">
                  <c:v>41456</c:v>
                </c:pt>
                <c:pt idx="63">
                  <c:v>41487</c:v>
                </c:pt>
                <c:pt idx="64">
                  <c:v>41518</c:v>
                </c:pt>
                <c:pt idx="65">
                  <c:v>41548</c:v>
                </c:pt>
                <c:pt idx="66">
                  <c:v>41579</c:v>
                </c:pt>
                <c:pt idx="67">
                  <c:v>41609</c:v>
                </c:pt>
                <c:pt idx="68">
                  <c:v>41640</c:v>
                </c:pt>
                <c:pt idx="69">
                  <c:v>41671</c:v>
                </c:pt>
                <c:pt idx="70">
                  <c:v>41699</c:v>
                </c:pt>
                <c:pt idx="71">
                  <c:v>41730</c:v>
                </c:pt>
                <c:pt idx="72">
                  <c:v>41760</c:v>
                </c:pt>
                <c:pt idx="73">
                  <c:v>41791</c:v>
                </c:pt>
                <c:pt idx="74">
                  <c:v>41821</c:v>
                </c:pt>
                <c:pt idx="75">
                  <c:v>41852</c:v>
                </c:pt>
                <c:pt idx="76">
                  <c:v>41883</c:v>
                </c:pt>
                <c:pt idx="77">
                  <c:v>41913</c:v>
                </c:pt>
                <c:pt idx="78">
                  <c:v>41944</c:v>
                </c:pt>
                <c:pt idx="79">
                  <c:v>41974</c:v>
                </c:pt>
                <c:pt idx="80">
                  <c:v>42005</c:v>
                </c:pt>
                <c:pt idx="81">
                  <c:v>42036</c:v>
                </c:pt>
                <c:pt idx="82">
                  <c:v>42064</c:v>
                </c:pt>
                <c:pt idx="83">
                  <c:v>42095</c:v>
                </c:pt>
                <c:pt idx="84">
                  <c:v>42125</c:v>
                </c:pt>
                <c:pt idx="85">
                  <c:v>42156</c:v>
                </c:pt>
                <c:pt idx="86">
                  <c:v>42186</c:v>
                </c:pt>
                <c:pt idx="87">
                  <c:v>42217</c:v>
                </c:pt>
                <c:pt idx="88">
                  <c:v>42248</c:v>
                </c:pt>
                <c:pt idx="89">
                  <c:v>42278</c:v>
                </c:pt>
                <c:pt idx="90">
                  <c:v>42309</c:v>
                </c:pt>
                <c:pt idx="91">
                  <c:v>42339</c:v>
                </c:pt>
                <c:pt idx="92">
                  <c:v>42370</c:v>
                </c:pt>
                <c:pt idx="93">
                  <c:v>42401</c:v>
                </c:pt>
                <c:pt idx="94">
                  <c:v>42430</c:v>
                </c:pt>
                <c:pt idx="95">
                  <c:v>42461</c:v>
                </c:pt>
                <c:pt idx="96">
                  <c:v>42491</c:v>
                </c:pt>
                <c:pt idx="97">
                  <c:v>42522</c:v>
                </c:pt>
                <c:pt idx="98">
                  <c:v>42552</c:v>
                </c:pt>
                <c:pt idx="99">
                  <c:v>42583</c:v>
                </c:pt>
                <c:pt idx="100">
                  <c:v>42614</c:v>
                </c:pt>
                <c:pt idx="101">
                  <c:v>42644</c:v>
                </c:pt>
                <c:pt idx="102">
                  <c:v>42675</c:v>
                </c:pt>
                <c:pt idx="103">
                  <c:v>42705</c:v>
                </c:pt>
                <c:pt idx="104">
                  <c:v>42736</c:v>
                </c:pt>
                <c:pt idx="105">
                  <c:v>42767</c:v>
                </c:pt>
                <c:pt idx="106">
                  <c:v>42795</c:v>
                </c:pt>
                <c:pt idx="107">
                  <c:v>42826</c:v>
                </c:pt>
                <c:pt idx="108">
                  <c:v>42856</c:v>
                </c:pt>
                <c:pt idx="109">
                  <c:v>42887</c:v>
                </c:pt>
                <c:pt idx="110">
                  <c:v>42917</c:v>
                </c:pt>
                <c:pt idx="111">
                  <c:v>42948</c:v>
                </c:pt>
                <c:pt idx="112" formatCode="yyyy/mm/dd">
                  <c:v>46143</c:v>
                </c:pt>
                <c:pt idx="113" formatCode="yyyy/mm/dd">
                  <c:v>46174</c:v>
                </c:pt>
              </c:numCache>
            </c:numRef>
          </c:cat>
          <c:val>
            <c:numRef>
              <c:f>AU!$B$43:$B$241</c:f>
              <c:numCache>
                <c:formatCode>0.0</c:formatCode>
                <c:ptCount val="199"/>
                <c:pt idx="0">
                  <c:v>51.4</c:v>
                </c:pt>
                <c:pt idx="1">
                  <c:v>51.2</c:v>
                </c:pt>
                <c:pt idx="2">
                  <c:v>52.7</c:v>
                </c:pt>
                <c:pt idx="3">
                  <c:v>51.2</c:v>
                </c:pt>
                <c:pt idx="4">
                  <c:v>47</c:v>
                </c:pt>
                <c:pt idx="5">
                  <c:v>46.9</c:v>
                </c:pt>
                <c:pt idx="6">
                  <c:v>40.4</c:v>
                </c:pt>
                <c:pt idx="7">
                  <c:v>33.700000000000003</c:v>
                </c:pt>
                <c:pt idx="8">
                  <c:v>36.6</c:v>
                </c:pt>
                <c:pt idx="9">
                  <c:v>31.7</c:v>
                </c:pt>
                <c:pt idx="10">
                  <c:v>33.4</c:v>
                </c:pt>
                <c:pt idx="11">
                  <c:v>30.1</c:v>
                </c:pt>
                <c:pt idx="12">
                  <c:v>37.5</c:v>
                </c:pt>
                <c:pt idx="13">
                  <c:v>38.4</c:v>
                </c:pt>
                <c:pt idx="14">
                  <c:v>44.5</c:v>
                </c:pt>
                <c:pt idx="15">
                  <c:v>51.7</c:v>
                </c:pt>
                <c:pt idx="16">
                  <c:v>52</c:v>
                </c:pt>
                <c:pt idx="17">
                  <c:v>51.7</c:v>
                </c:pt>
                <c:pt idx="18">
                  <c:v>51.2</c:v>
                </c:pt>
                <c:pt idx="19">
                  <c:v>48.5</c:v>
                </c:pt>
                <c:pt idx="20">
                  <c:v>51</c:v>
                </c:pt>
                <c:pt idx="21">
                  <c:v>53.8</c:v>
                </c:pt>
                <c:pt idx="22">
                  <c:v>50.2</c:v>
                </c:pt>
                <c:pt idx="23">
                  <c:v>59.8</c:v>
                </c:pt>
                <c:pt idx="24">
                  <c:v>56.3</c:v>
                </c:pt>
                <c:pt idx="25">
                  <c:v>52.9</c:v>
                </c:pt>
                <c:pt idx="26">
                  <c:v>54.4</c:v>
                </c:pt>
                <c:pt idx="27">
                  <c:v>51.7</c:v>
                </c:pt>
                <c:pt idx="28">
                  <c:v>47.3</c:v>
                </c:pt>
                <c:pt idx="29">
                  <c:v>49.4</c:v>
                </c:pt>
                <c:pt idx="30">
                  <c:v>47.6</c:v>
                </c:pt>
                <c:pt idx="31">
                  <c:v>46.3</c:v>
                </c:pt>
                <c:pt idx="32">
                  <c:v>46.7</c:v>
                </c:pt>
                <c:pt idx="33">
                  <c:v>51.1</c:v>
                </c:pt>
                <c:pt idx="34">
                  <c:v>47.9</c:v>
                </c:pt>
                <c:pt idx="35">
                  <c:v>48.4</c:v>
                </c:pt>
                <c:pt idx="36">
                  <c:v>47.7</c:v>
                </c:pt>
                <c:pt idx="37">
                  <c:v>52.9</c:v>
                </c:pt>
                <c:pt idx="38">
                  <c:v>43.4</c:v>
                </c:pt>
                <c:pt idx="39">
                  <c:v>43.3</c:v>
                </c:pt>
                <c:pt idx="40">
                  <c:v>42.3</c:v>
                </c:pt>
                <c:pt idx="41">
                  <c:v>47.4</c:v>
                </c:pt>
                <c:pt idx="42">
                  <c:v>47.8</c:v>
                </c:pt>
                <c:pt idx="43">
                  <c:v>50.2</c:v>
                </c:pt>
                <c:pt idx="44">
                  <c:v>51.6</c:v>
                </c:pt>
                <c:pt idx="45">
                  <c:v>51.3</c:v>
                </c:pt>
                <c:pt idx="46">
                  <c:v>49.5</c:v>
                </c:pt>
                <c:pt idx="47">
                  <c:v>43.9</c:v>
                </c:pt>
                <c:pt idx="48">
                  <c:v>42.4</c:v>
                </c:pt>
                <c:pt idx="49">
                  <c:v>47.2</c:v>
                </c:pt>
                <c:pt idx="50">
                  <c:v>40.299999999999997</c:v>
                </c:pt>
                <c:pt idx="51">
                  <c:v>45.3</c:v>
                </c:pt>
                <c:pt idx="52">
                  <c:v>44.1</c:v>
                </c:pt>
                <c:pt idx="53">
                  <c:v>45.2</c:v>
                </c:pt>
                <c:pt idx="54">
                  <c:v>43.6</c:v>
                </c:pt>
                <c:pt idx="55">
                  <c:v>44.3</c:v>
                </c:pt>
                <c:pt idx="56">
                  <c:v>40.200000000000003</c:v>
                </c:pt>
                <c:pt idx="57">
                  <c:v>45.6</c:v>
                </c:pt>
                <c:pt idx="58">
                  <c:v>44.4</c:v>
                </c:pt>
                <c:pt idx="59">
                  <c:v>36.700000000000003</c:v>
                </c:pt>
                <c:pt idx="60">
                  <c:v>43.8</c:v>
                </c:pt>
                <c:pt idx="61">
                  <c:v>49.6</c:v>
                </c:pt>
                <c:pt idx="62">
                  <c:v>42</c:v>
                </c:pt>
                <c:pt idx="63">
                  <c:v>46.4</c:v>
                </c:pt>
                <c:pt idx="64">
                  <c:v>51.7</c:v>
                </c:pt>
                <c:pt idx="65">
                  <c:v>53.2</c:v>
                </c:pt>
                <c:pt idx="66">
                  <c:v>47.7</c:v>
                </c:pt>
                <c:pt idx="67">
                  <c:v>47.6</c:v>
                </c:pt>
                <c:pt idx="68">
                  <c:v>46.7</c:v>
                </c:pt>
                <c:pt idx="69">
                  <c:v>48.6</c:v>
                </c:pt>
                <c:pt idx="70">
                  <c:v>49.7</c:v>
                </c:pt>
                <c:pt idx="71">
                  <c:v>44.8</c:v>
                </c:pt>
                <c:pt idx="72">
                  <c:v>49.2</c:v>
                </c:pt>
                <c:pt idx="73">
                  <c:v>48.9</c:v>
                </c:pt>
                <c:pt idx="74">
                  <c:v>50.7</c:v>
                </c:pt>
                <c:pt idx="75">
                  <c:v>47.3</c:v>
                </c:pt>
                <c:pt idx="76">
                  <c:v>46.5</c:v>
                </c:pt>
                <c:pt idx="77">
                  <c:v>49.42</c:v>
                </c:pt>
                <c:pt idx="78">
                  <c:v>50.1</c:v>
                </c:pt>
                <c:pt idx="112">
                  <c:v>50.7</c:v>
                </c:pt>
                <c:pt idx="113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D-4DE8-B1C8-686197AF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9888"/>
        <c:axId val="538471424"/>
      </c:areaChart>
      <c:barChart>
        <c:barDir val="col"/>
        <c:grouping val="clustered"/>
        <c:varyColors val="0"/>
        <c:ser>
          <c:idx val="2"/>
          <c:order val="2"/>
          <c:tx>
            <c:strRef>
              <c:f>AU!$D$42</c:f>
              <c:strCache>
                <c:ptCount val="1"/>
                <c:pt idx="0">
                  <c:v>GDP Change y/y 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AU!$D$43:$D$141</c:f>
              <c:numCache>
                <c:formatCode>0.0%</c:formatCode>
                <c:ptCount val="99"/>
                <c:pt idx="1">
                  <c:v>1E-3</c:v>
                </c:pt>
                <c:pt idx="4">
                  <c:v>6.0000000000000001E-3</c:v>
                </c:pt>
                <c:pt idx="7">
                  <c:v>-7.0000000000000001E-3</c:v>
                </c:pt>
                <c:pt idx="10">
                  <c:v>8.0000000000000002E-3</c:v>
                </c:pt>
                <c:pt idx="13">
                  <c:v>1E-3</c:v>
                </c:pt>
                <c:pt idx="16">
                  <c:v>8.0000000000000002E-3</c:v>
                </c:pt>
                <c:pt idx="19">
                  <c:v>8.0000000000000002E-3</c:v>
                </c:pt>
                <c:pt idx="22">
                  <c:v>7.0000000000000001E-3</c:v>
                </c:pt>
                <c:pt idx="25">
                  <c:v>6.0000000000000001E-3</c:v>
                </c:pt>
                <c:pt idx="28">
                  <c:v>3.0000000000000001E-3</c:v>
                </c:pt>
                <c:pt idx="31">
                  <c:v>6.0000000000000001E-3</c:v>
                </c:pt>
                <c:pt idx="34">
                  <c:v>-5.0000000000000001E-3</c:v>
                </c:pt>
                <c:pt idx="37">
                  <c:v>1.2E-2</c:v>
                </c:pt>
                <c:pt idx="40">
                  <c:v>1.2E-2</c:v>
                </c:pt>
                <c:pt idx="43">
                  <c:v>6.0000000000000001E-3</c:v>
                </c:pt>
                <c:pt idx="46">
                  <c:v>1.2999999999999999E-2</c:v>
                </c:pt>
                <c:pt idx="49">
                  <c:v>5.0000000000000001E-3</c:v>
                </c:pt>
                <c:pt idx="52">
                  <c:v>8.0000000000000002E-3</c:v>
                </c:pt>
                <c:pt idx="55">
                  <c:v>7.0000000000000001E-3</c:v>
                </c:pt>
                <c:pt idx="58">
                  <c:v>5.0000000000000001E-3</c:v>
                </c:pt>
                <c:pt idx="61">
                  <c:v>7.0000000000000001E-3</c:v>
                </c:pt>
                <c:pt idx="64">
                  <c:v>6.0000000000000001E-3</c:v>
                </c:pt>
                <c:pt idx="67">
                  <c:v>8.0000000000000002E-3</c:v>
                </c:pt>
                <c:pt idx="70">
                  <c:v>1.0999999999999999E-2</c:v>
                </c:pt>
                <c:pt idx="73" formatCode="0.00%">
                  <c:v>5.0000000000000001E-3</c:v>
                </c:pt>
                <c:pt idx="76" formatCode="0.00%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D-4DE8-B1C8-686197AF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8478848"/>
        <c:axId val="538477312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AU!$B$43:$B$241</c:f>
              <c:numCache>
                <c:formatCode>0.0</c:formatCode>
                <c:ptCount val="199"/>
                <c:pt idx="0">
                  <c:v>51.4</c:v>
                </c:pt>
                <c:pt idx="1">
                  <c:v>51.2</c:v>
                </c:pt>
                <c:pt idx="2">
                  <c:v>52.7</c:v>
                </c:pt>
                <c:pt idx="3">
                  <c:v>51.2</c:v>
                </c:pt>
                <c:pt idx="4">
                  <c:v>47</c:v>
                </c:pt>
                <c:pt idx="5">
                  <c:v>46.9</c:v>
                </c:pt>
                <c:pt idx="6">
                  <c:v>40.4</c:v>
                </c:pt>
                <c:pt idx="7">
                  <c:v>33.700000000000003</c:v>
                </c:pt>
                <c:pt idx="8">
                  <c:v>36.6</c:v>
                </c:pt>
                <c:pt idx="9">
                  <c:v>31.7</c:v>
                </c:pt>
                <c:pt idx="10">
                  <c:v>33.4</c:v>
                </c:pt>
                <c:pt idx="11">
                  <c:v>30.1</c:v>
                </c:pt>
                <c:pt idx="12">
                  <c:v>37.5</c:v>
                </c:pt>
                <c:pt idx="13">
                  <c:v>38.4</c:v>
                </c:pt>
                <c:pt idx="14">
                  <c:v>44.5</c:v>
                </c:pt>
                <c:pt idx="15">
                  <c:v>51.7</c:v>
                </c:pt>
                <c:pt idx="16">
                  <c:v>52</c:v>
                </c:pt>
                <c:pt idx="17">
                  <c:v>51.7</c:v>
                </c:pt>
                <c:pt idx="18">
                  <c:v>51.2</c:v>
                </c:pt>
                <c:pt idx="19">
                  <c:v>48.5</c:v>
                </c:pt>
                <c:pt idx="20">
                  <c:v>51</c:v>
                </c:pt>
                <c:pt idx="21">
                  <c:v>53.8</c:v>
                </c:pt>
                <c:pt idx="22">
                  <c:v>50.2</c:v>
                </c:pt>
                <c:pt idx="23">
                  <c:v>59.8</c:v>
                </c:pt>
                <c:pt idx="24">
                  <c:v>56.3</c:v>
                </c:pt>
                <c:pt idx="25">
                  <c:v>52.9</c:v>
                </c:pt>
                <c:pt idx="26">
                  <c:v>54.4</c:v>
                </c:pt>
                <c:pt idx="27">
                  <c:v>51.7</c:v>
                </c:pt>
                <c:pt idx="28">
                  <c:v>47.3</c:v>
                </c:pt>
                <c:pt idx="29">
                  <c:v>49.4</c:v>
                </c:pt>
                <c:pt idx="30">
                  <c:v>47.6</c:v>
                </c:pt>
                <c:pt idx="31">
                  <c:v>46.3</c:v>
                </c:pt>
                <c:pt idx="32">
                  <c:v>46.7</c:v>
                </c:pt>
                <c:pt idx="33">
                  <c:v>51.1</c:v>
                </c:pt>
                <c:pt idx="34">
                  <c:v>47.9</c:v>
                </c:pt>
                <c:pt idx="35">
                  <c:v>48.4</c:v>
                </c:pt>
                <c:pt idx="36">
                  <c:v>47.7</c:v>
                </c:pt>
                <c:pt idx="37">
                  <c:v>52.9</c:v>
                </c:pt>
                <c:pt idx="38">
                  <c:v>43.4</c:v>
                </c:pt>
                <c:pt idx="39">
                  <c:v>43.3</c:v>
                </c:pt>
                <c:pt idx="40">
                  <c:v>42.3</c:v>
                </c:pt>
                <c:pt idx="41">
                  <c:v>47.4</c:v>
                </c:pt>
                <c:pt idx="42">
                  <c:v>47.8</c:v>
                </c:pt>
                <c:pt idx="43">
                  <c:v>50.2</c:v>
                </c:pt>
                <c:pt idx="44">
                  <c:v>51.6</c:v>
                </c:pt>
                <c:pt idx="45">
                  <c:v>51.3</c:v>
                </c:pt>
                <c:pt idx="46">
                  <c:v>49.5</c:v>
                </c:pt>
                <c:pt idx="47">
                  <c:v>43.9</c:v>
                </c:pt>
                <c:pt idx="48">
                  <c:v>42.4</c:v>
                </c:pt>
                <c:pt idx="49">
                  <c:v>47.2</c:v>
                </c:pt>
                <c:pt idx="50">
                  <c:v>40.299999999999997</c:v>
                </c:pt>
                <c:pt idx="51">
                  <c:v>45.3</c:v>
                </c:pt>
                <c:pt idx="52">
                  <c:v>44.1</c:v>
                </c:pt>
                <c:pt idx="53">
                  <c:v>45.2</c:v>
                </c:pt>
                <c:pt idx="54">
                  <c:v>43.6</c:v>
                </c:pt>
                <c:pt idx="55">
                  <c:v>44.3</c:v>
                </c:pt>
                <c:pt idx="56">
                  <c:v>40.200000000000003</c:v>
                </c:pt>
                <c:pt idx="57">
                  <c:v>45.6</c:v>
                </c:pt>
                <c:pt idx="58">
                  <c:v>44.4</c:v>
                </c:pt>
                <c:pt idx="59">
                  <c:v>36.700000000000003</c:v>
                </c:pt>
                <c:pt idx="60">
                  <c:v>43.8</c:v>
                </c:pt>
                <c:pt idx="61">
                  <c:v>49.6</c:v>
                </c:pt>
                <c:pt idx="62">
                  <c:v>42</c:v>
                </c:pt>
                <c:pt idx="63">
                  <c:v>46.4</c:v>
                </c:pt>
                <c:pt idx="64">
                  <c:v>51.7</c:v>
                </c:pt>
                <c:pt idx="65">
                  <c:v>53.2</c:v>
                </c:pt>
                <c:pt idx="66">
                  <c:v>47.7</c:v>
                </c:pt>
                <c:pt idx="67">
                  <c:v>47.6</c:v>
                </c:pt>
                <c:pt idx="68">
                  <c:v>46.7</c:v>
                </c:pt>
                <c:pt idx="69">
                  <c:v>48.6</c:v>
                </c:pt>
                <c:pt idx="70">
                  <c:v>49.7</c:v>
                </c:pt>
                <c:pt idx="71">
                  <c:v>44.8</c:v>
                </c:pt>
                <c:pt idx="72">
                  <c:v>49.2</c:v>
                </c:pt>
                <c:pt idx="73">
                  <c:v>48.9</c:v>
                </c:pt>
                <c:pt idx="74">
                  <c:v>50.7</c:v>
                </c:pt>
                <c:pt idx="75">
                  <c:v>47.3</c:v>
                </c:pt>
                <c:pt idx="76">
                  <c:v>46.5</c:v>
                </c:pt>
                <c:pt idx="77">
                  <c:v>49.42</c:v>
                </c:pt>
                <c:pt idx="78">
                  <c:v>50.1</c:v>
                </c:pt>
                <c:pt idx="112">
                  <c:v>50.7</c:v>
                </c:pt>
                <c:pt idx="11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D-4DE8-B1C8-686197AF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469888"/>
        <c:axId val="538471424"/>
      </c:lineChart>
      <c:dateAx>
        <c:axId val="53846988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471424"/>
        <c:crossesAt val="50"/>
        <c:auto val="1"/>
        <c:lblOffset val="100"/>
        <c:baseTimeUnit val="months"/>
        <c:majorUnit val="1"/>
        <c:majorTimeUnit val="years"/>
      </c:dateAx>
      <c:valAx>
        <c:axId val="538471424"/>
        <c:scaling>
          <c:orientation val="minMax"/>
          <c:max val="64"/>
          <c:min val="29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469888"/>
        <c:crosses val="autoZero"/>
        <c:crossBetween val="between"/>
        <c:majorUnit val="7"/>
      </c:valAx>
      <c:valAx>
        <c:axId val="538477312"/>
        <c:scaling>
          <c:orientation val="minMax"/>
          <c:max val="2.0000000000000004E-2"/>
          <c:min val="-3.0000000000000006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solidFill>
                  <a:schemeClr val="bg1"/>
                </a:solidFill>
              </a:defRPr>
            </a:pPr>
            <a:endParaRPr lang="en-US"/>
          </a:p>
        </c:txPr>
        <c:crossAx val="538478848"/>
        <c:crosses val="max"/>
        <c:crossBetween val="between"/>
      </c:valAx>
      <c:catAx>
        <c:axId val="538478848"/>
        <c:scaling>
          <c:orientation val="minMax"/>
        </c:scaling>
        <c:delete val="1"/>
        <c:axPos val="b"/>
        <c:majorTickMark val="out"/>
        <c:minorTickMark val="none"/>
        <c:tickLblPos val="nextTo"/>
        <c:crossAx val="53847731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9.6644454272922453E-2"/>
          <c:y val="0.13663060292737222"/>
          <c:w val="0.13782104291758052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South</a:t>
            </a:r>
            <a:r>
              <a:rPr lang="en-US" baseline="0"/>
              <a:t> Korea</a:t>
            </a:r>
            <a:r>
              <a:rPr lang="en-US"/>
              <a:t>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SK!$B$73</c:f>
              <c:strCache>
                <c:ptCount val="1"/>
                <c:pt idx="0">
                  <c:v>S Korea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SK!$A$74:$A$287</c:f>
              <c:numCache>
                <c:formatCode>mmm\-yy</c:formatCode>
                <c:ptCount val="214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  <c:pt idx="13">
                  <c:v>40909</c:v>
                </c:pt>
                <c:pt idx="14">
                  <c:v>40940</c:v>
                </c:pt>
                <c:pt idx="15">
                  <c:v>40969</c:v>
                </c:pt>
                <c:pt idx="16">
                  <c:v>41000</c:v>
                </c:pt>
                <c:pt idx="17">
                  <c:v>41030</c:v>
                </c:pt>
                <c:pt idx="18">
                  <c:v>41061</c:v>
                </c:pt>
                <c:pt idx="19">
                  <c:v>41091</c:v>
                </c:pt>
                <c:pt idx="20">
                  <c:v>41122</c:v>
                </c:pt>
                <c:pt idx="21">
                  <c:v>41153</c:v>
                </c:pt>
                <c:pt idx="22">
                  <c:v>41183</c:v>
                </c:pt>
                <c:pt idx="23">
                  <c:v>41214</c:v>
                </c:pt>
                <c:pt idx="24">
                  <c:v>41244</c:v>
                </c:pt>
                <c:pt idx="25">
                  <c:v>41275</c:v>
                </c:pt>
                <c:pt idx="26">
                  <c:v>41306</c:v>
                </c:pt>
                <c:pt idx="27">
                  <c:v>41334</c:v>
                </c:pt>
                <c:pt idx="28">
                  <c:v>41365</c:v>
                </c:pt>
                <c:pt idx="29">
                  <c:v>41395</c:v>
                </c:pt>
                <c:pt idx="30">
                  <c:v>41426</c:v>
                </c:pt>
                <c:pt idx="31">
                  <c:v>41456</c:v>
                </c:pt>
                <c:pt idx="32">
                  <c:v>41487</c:v>
                </c:pt>
                <c:pt idx="33">
                  <c:v>41518</c:v>
                </c:pt>
                <c:pt idx="34">
                  <c:v>41548</c:v>
                </c:pt>
                <c:pt idx="35">
                  <c:v>41579</c:v>
                </c:pt>
                <c:pt idx="36">
                  <c:v>41609</c:v>
                </c:pt>
                <c:pt idx="37">
                  <c:v>41640</c:v>
                </c:pt>
                <c:pt idx="38">
                  <c:v>41671</c:v>
                </c:pt>
                <c:pt idx="39">
                  <c:v>41699</c:v>
                </c:pt>
                <c:pt idx="40">
                  <c:v>41730</c:v>
                </c:pt>
                <c:pt idx="41">
                  <c:v>41760</c:v>
                </c:pt>
                <c:pt idx="42">
                  <c:v>41791</c:v>
                </c:pt>
                <c:pt idx="43">
                  <c:v>41821</c:v>
                </c:pt>
                <c:pt idx="44">
                  <c:v>41852</c:v>
                </c:pt>
                <c:pt idx="45">
                  <c:v>41883</c:v>
                </c:pt>
                <c:pt idx="46">
                  <c:v>41913</c:v>
                </c:pt>
                <c:pt idx="47">
                  <c:v>41944</c:v>
                </c:pt>
                <c:pt idx="48">
                  <c:v>41974</c:v>
                </c:pt>
                <c:pt idx="49">
                  <c:v>42005</c:v>
                </c:pt>
                <c:pt idx="50">
                  <c:v>42036</c:v>
                </c:pt>
                <c:pt idx="51">
                  <c:v>42064</c:v>
                </c:pt>
                <c:pt idx="52">
                  <c:v>42095</c:v>
                </c:pt>
                <c:pt idx="53">
                  <c:v>42125</c:v>
                </c:pt>
                <c:pt idx="54">
                  <c:v>42156</c:v>
                </c:pt>
                <c:pt idx="55">
                  <c:v>42186</c:v>
                </c:pt>
                <c:pt idx="56">
                  <c:v>42217</c:v>
                </c:pt>
                <c:pt idx="57">
                  <c:v>42248</c:v>
                </c:pt>
                <c:pt idx="58">
                  <c:v>42278</c:v>
                </c:pt>
                <c:pt idx="59">
                  <c:v>42309</c:v>
                </c:pt>
                <c:pt idx="60">
                  <c:v>42339</c:v>
                </c:pt>
                <c:pt idx="61">
                  <c:v>42370</c:v>
                </c:pt>
                <c:pt idx="62">
                  <c:v>42401</c:v>
                </c:pt>
                <c:pt idx="63">
                  <c:v>42430</c:v>
                </c:pt>
                <c:pt idx="64">
                  <c:v>42461</c:v>
                </c:pt>
                <c:pt idx="65">
                  <c:v>42491</c:v>
                </c:pt>
                <c:pt idx="66">
                  <c:v>42522</c:v>
                </c:pt>
                <c:pt idx="67">
                  <c:v>42552</c:v>
                </c:pt>
                <c:pt idx="68">
                  <c:v>42583</c:v>
                </c:pt>
                <c:pt idx="69">
                  <c:v>42614</c:v>
                </c:pt>
                <c:pt idx="70">
                  <c:v>42644</c:v>
                </c:pt>
                <c:pt idx="71">
                  <c:v>42675</c:v>
                </c:pt>
                <c:pt idx="72">
                  <c:v>42705</c:v>
                </c:pt>
                <c:pt idx="73">
                  <c:v>42736</c:v>
                </c:pt>
                <c:pt idx="74">
                  <c:v>42767</c:v>
                </c:pt>
                <c:pt idx="75">
                  <c:v>42795</c:v>
                </c:pt>
                <c:pt idx="76">
                  <c:v>42826</c:v>
                </c:pt>
                <c:pt idx="77">
                  <c:v>42856</c:v>
                </c:pt>
                <c:pt idx="78">
                  <c:v>42887</c:v>
                </c:pt>
                <c:pt idx="79">
                  <c:v>42917</c:v>
                </c:pt>
                <c:pt idx="80">
                  <c:v>42948</c:v>
                </c:pt>
                <c:pt idx="81" formatCode="yyyy/mm/dd">
                  <c:v>46143</c:v>
                </c:pt>
                <c:pt idx="82" formatCode="yyyy/mm/dd">
                  <c:v>46174</c:v>
                </c:pt>
              </c:numCache>
            </c:numRef>
          </c:cat>
          <c:val>
            <c:numRef>
              <c:f>SK!$B$74:$B$287</c:f>
              <c:numCache>
                <c:formatCode>0.0</c:formatCode>
                <c:ptCount val="214"/>
                <c:pt idx="0">
                  <c:v>53.9</c:v>
                </c:pt>
                <c:pt idx="1">
                  <c:v>53.5</c:v>
                </c:pt>
                <c:pt idx="2">
                  <c:v>53.4</c:v>
                </c:pt>
                <c:pt idx="3">
                  <c:v>52.8</c:v>
                </c:pt>
                <c:pt idx="4">
                  <c:v>51.7</c:v>
                </c:pt>
                <c:pt idx="5">
                  <c:v>51.2</c:v>
                </c:pt>
                <c:pt idx="6">
                  <c:v>51.2</c:v>
                </c:pt>
                <c:pt idx="7">
                  <c:v>51.1</c:v>
                </c:pt>
                <c:pt idx="8">
                  <c:v>51.3</c:v>
                </c:pt>
                <c:pt idx="9">
                  <c:v>49.7</c:v>
                </c:pt>
                <c:pt idx="10">
                  <c:v>47.4</c:v>
                </c:pt>
                <c:pt idx="11">
                  <c:v>48</c:v>
                </c:pt>
                <c:pt idx="12">
                  <c:v>47.1</c:v>
                </c:pt>
                <c:pt idx="13">
                  <c:v>49.2</c:v>
                </c:pt>
                <c:pt idx="14">
                  <c:v>50.7</c:v>
                </c:pt>
                <c:pt idx="15">
                  <c:v>52</c:v>
                </c:pt>
                <c:pt idx="16">
                  <c:v>51.9</c:v>
                </c:pt>
                <c:pt idx="17">
                  <c:v>51</c:v>
                </c:pt>
                <c:pt idx="18">
                  <c:v>49.4</c:v>
                </c:pt>
                <c:pt idx="19">
                  <c:v>47.2</c:v>
                </c:pt>
                <c:pt idx="20">
                  <c:v>47.5</c:v>
                </c:pt>
                <c:pt idx="21">
                  <c:v>45.7</c:v>
                </c:pt>
                <c:pt idx="22">
                  <c:v>47.4</c:v>
                </c:pt>
                <c:pt idx="23">
                  <c:v>48.2</c:v>
                </c:pt>
                <c:pt idx="24">
                  <c:v>50.1</c:v>
                </c:pt>
                <c:pt idx="25">
                  <c:v>49.9</c:v>
                </c:pt>
                <c:pt idx="26">
                  <c:v>50.9</c:v>
                </c:pt>
                <c:pt idx="27">
                  <c:v>52</c:v>
                </c:pt>
                <c:pt idx="28">
                  <c:v>52.6</c:v>
                </c:pt>
                <c:pt idx="29">
                  <c:v>51.1</c:v>
                </c:pt>
                <c:pt idx="30">
                  <c:v>49.4</c:v>
                </c:pt>
                <c:pt idx="31">
                  <c:v>47.2</c:v>
                </c:pt>
                <c:pt idx="32">
                  <c:v>47.5</c:v>
                </c:pt>
                <c:pt idx="33">
                  <c:v>49.7</c:v>
                </c:pt>
                <c:pt idx="34">
                  <c:v>50.2</c:v>
                </c:pt>
                <c:pt idx="35">
                  <c:v>50.4</c:v>
                </c:pt>
                <c:pt idx="36">
                  <c:v>50.8</c:v>
                </c:pt>
                <c:pt idx="37">
                  <c:v>50.9</c:v>
                </c:pt>
                <c:pt idx="38">
                  <c:v>49.8</c:v>
                </c:pt>
                <c:pt idx="39">
                  <c:v>50.4</c:v>
                </c:pt>
                <c:pt idx="40">
                  <c:v>50.2</c:v>
                </c:pt>
                <c:pt idx="41">
                  <c:v>49.5</c:v>
                </c:pt>
                <c:pt idx="42">
                  <c:v>48.4</c:v>
                </c:pt>
                <c:pt idx="43">
                  <c:v>48.506666666666703</c:v>
                </c:pt>
                <c:pt idx="44">
                  <c:v>50.3</c:v>
                </c:pt>
                <c:pt idx="45">
                  <c:v>48.8</c:v>
                </c:pt>
                <c:pt idx="46">
                  <c:v>48.7</c:v>
                </c:pt>
                <c:pt idx="47">
                  <c:v>49</c:v>
                </c:pt>
                <c:pt idx="81">
                  <c:v>54.8</c:v>
                </c:pt>
                <c:pt idx="82">
                  <c:v>52.1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0-4672-9BCE-9CDA2E3E1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00192"/>
        <c:axId val="538601728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SK!$B$74:$B$287</c:f>
              <c:numCache>
                <c:formatCode>0.0</c:formatCode>
                <c:ptCount val="214"/>
                <c:pt idx="0">
                  <c:v>53.9</c:v>
                </c:pt>
                <c:pt idx="1">
                  <c:v>53.5</c:v>
                </c:pt>
                <c:pt idx="2">
                  <c:v>53.4</c:v>
                </c:pt>
                <c:pt idx="3">
                  <c:v>52.8</c:v>
                </c:pt>
                <c:pt idx="4">
                  <c:v>51.7</c:v>
                </c:pt>
                <c:pt idx="5">
                  <c:v>51.2</c:v>
                </c:pt>
                <c:pt idx="6">
                  <c:v>51.2</c:v>
                </c:pt>
                <c:pt idx="7">
                  <c:v>51.1</c:v>
                </c:pt>
                <c:pt idx="8">
                  <c:v>51.3</c:v>
                </c:pt>
                <c:pt idx="9">
                  <c:v>49.7</c:v>
                </c:pt>
                <c:pt idx="10">
                  <c:v>47.4</c:v>
                </c:pt>
                <c:pt idx="11">
                  <c:v>48</c:v>
                </c:pt>
                <c:pt idx="12">
                  <c:v>47.1</c:v>
                </c:pt>
                <c:pt idx="13">
                  <c:v>49.2</c:v>
                </c:pt>
                <c:pt idx="14">
                  <c:v>50.7</c:v>
                </c:pt>
                <c:pt idx="15">
                  <c:v>52</c:v>
                </c:pt>
                <c:pt idx="16">
                  <c:v>51.9</c:v>
                </c:pt>
                <c:pt idx="17">
                  <c:v>51</c:v>
                </c:pt>
                <c:pt idx="18">
                  <c:v>49.4</c:v>
                </c:pt>
                <c:pt idx="19">
                  <c:v>47.2</c:v>
                </c:pt>
                <c:pt idx="20">
                  <c:v>47.5</c:v>
                </c:pt>
                <c:pt idx="21">
                  <c:v>45.7</c:v>
                </c:pt>
                <c:pt idx="22">
                  <c:v>47.4</c:v>
                </c:pt>
                <c:pt idx="23">
                  <c:v>48.2</c:v>
                </c:pt>
                <c:pt idx="24">
                  <c:v>50.1</c:v>
                </c:pt>
                <c:pt idx="25">
                  <c:v>49.9</c:v>
                </c:pt>
                <c:pt idx="26">
                  <c:v>50.9</c:v>
                </c:pt>
                <c:pt idx="27">
                  <c:v>52</c:v>
                </c:pt>
                <c:pt idx="28">
                  <c:v>52.6</c:v>
                </c:pt>
                <c:pt idx="29">
                  <c:v>51.1</c:v>
                </c:pt>
                <c:pt idx="30">
                  <c:v>49.4</c:v>
                </c:pt>
                <c:pt idx="31">
                  <c:v>47.2</c:v>
                </c:pt>
                <c:pt idx="32">
                  <c:v>47.5</c:v>
                </c:pt>
                <c:pt idx="33">
                  <c:v>49.7</c:v>
                </c:pt>
                <c:pt idx="34">
                  <c:v>50.2</c:v>
                </c:pt>
                <c:pt idx="35">
                  <c:v>50.4</c:v>
                </c:pt>
                <c:pt idx="36">
                  <c:v>50.8</c:v>
                </c:pt>
                <c:pt idx="37">
                  <c:v>50.9</c:v>
                </c:pt>
                <c:pt idx="38">
                  <c:v>49.8</c:v>
                </c:pt>
                <c:pt idx="39">
                  <c:v>50.4</c:v>
                </c:pt>
                <c:pt idx="40">
                  <c:v>50.2</c:v>
                </c:pt>
                <c:pt idx="41">
                  <c:v>49.5</c:v>
                </c:pt>
                <c:pt idx="42">
                  <c:v>48.4</c:v>
                </c:pt>
                <c:pt idx="43">
                  <c:v>48.506666666666703</c:v>
                </c:pt>
                <c:pt idx="44">
                  <c:v>50.3</c:v>
                </c:pt>
                <c:pt idx="45">
                  <c:v>48.8</c:v>
                </c:pt>
                <c:pt idx="46">
                  <c:v>48.7</c:v>
                </c:pt>
                <c:pt idx="47">
                  <c:v>49</c:v>
                </c:pt>
                <c:pt idx="81">
                  <c:v>54.8</c:v>
                </c:pt>
                <c:pt idx="82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0-4672-9BCE-9CDA2E3E1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600192"/>
        <c:axId val="538601728"/>
      </c:lineChart>
      <c:dateAx>
        <c:axId val="5386001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601728"/>
        <c:crossesAt val="50"/>
        <c:auto val="1"/>
        <c:lblOffset val="100"/>
        <c:baseTimeUnit val="months"/>
        <c:majorUnit val="1"/>
        <c:majorTimeUnit val="years"/>
      </c:dateAx>
      <c:valAx>
        <c:axId val="538601728"/>
        <c:scaling>
          <c:orientation val="minMax"/>
          <c:max val="56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600192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335140339669303E-2"/>
          <c:y val="0.72120516185476813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South</a:t>
            </a:r>
            <a:r>
              <a:rPr lang="en-US" baseline="0"/>
              <a:t> Korea</a:t>
            </a:r>
            <a:r>
              <a:rPr lang="en-US"/>
              <a:t> 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SK!$B$73</c:f>
              <c:strCache>
                <c:ptCount val="1"/>
                <c:pt idx="0">
                  <c:v>S Korea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SK!$A$74:$A$287</c:f>
              <c:numCache>
                <c:formatCode>mmm\-yy</c:formatCode>
                <c:ptCount val="214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  <c:pt idx="13">
                  <c:v>40909</c:v>
                </c:pt>
                <c:pt idx="14">
                  <c:v>40940</c:v>
                </c:pt>
                <c:pt idx="15">
                  <c:v>40969</c:v>
                </c:pt>
                <c:pt idx="16">
                  <c:v>41000</c:v>
                </c:pt>
                <c:pt idx="17">
                  <c:v>41030</c:v>
                </c:pt>
                <c:pt idx="18">
                  <c:v>41061</c:v>
                </c:pt>
                <c:pt idx="19">
                  <c:v>41091</c:v>
                </c:pt>
                <c:pt idx="20">
                  <c:v>41122</c:v>
                </c:pt>
                <c:pt idx="21">
                  <c:v>41153</c:v>
                </c:pt>
                <c:pt idx="22">
                  <c:v>41183</c:v>
                </c:pt>
                <c:pt idx="23">
                  <c:v>41214</c:v>
                </c:pt>
                <c:pt idx="24">
                  <c:v>41244</c:v>
                </c:pt>
                <c:pt idx="25">
                  <c:v>41275</c:v>
                </c:pt>
                <c:pt idx="26">
                  <c:v>41306</c:v>
                </c:pt>
                <c:pt idx="27">
                  <c:v>41334</c:v>
                </c:pt>
                <c:pt idx="28">
                  <c:v>41365</c:v>
                </c:pt>
                <c:pt idx="29">
                  <c:v>41395</c:v>
                </c:pt>
                <c:pt idx="30">
                  <c:v>41426</c:v>
                </c:pt>
                <c:pt idx="31">
                  <c:v>41456</c:v>
                </c:pt>
                <c:pt idx="32">
                  <c:v>41487</c:v>
                </c:pt>
                <c:pt idx="33">
                  <c:v>41518</c:v>
                </c:pt>
                <c:pt idx="34">
                  <c:v>41548</c:v>
                </c:pt>
                <c:pt idx="35">
                  <c:v>41579</c:v>
                </c:pt>
                <c:pt idx="36">
                  <c:v>41609</c:v>
                </c:pt>
                <c:pt idx="37">
                  <c:v>41640</c:v>
                </c:pt>
                <c:pt idx="38">
                  <c:v>41671</c:v>
                </c:pt>
                <c:pt idx="39">
                  <c:v>41699</c:v>
                </c:pt>
                <c:pt idx="40">
                  <c:v>41730</c:v>
                </c:pt>
                <c:pt idx="41">
                  <c:v>41760</c:v>
                </c:pt>
                <c:pt idx="42">
                  <c:v>41791</c:v>
                </c:pt>
                <c:pt idx="43">
                  <c:v>41821</c:v>
                </c:pt>
                <c:pt idx="44">
                  <c:v>41852</c:v>
                </c:pt>
                <c:pt idx="45">
                  <c:v>41883</c:v>
                </c:pt>
                <c:pt idx="46">
                  <c:v>41913</c:v>
                </c:pt>
                <c:pt idx="47">
                  <c:v>41944</c:v>
                </c:pt>
                <c:pt idx="48">
                  <c:v>41974</c:v>
                </c:pt>
                <c:pt idx="49">
                  <c:v>42005</c:v>
                </c:pt>
                <c:pt idx="50">
                  <c:v>42036</c:v>
                </c:pt>
                <c:pt idx="51">
                  <c:v>42064</c:v>
                </c:pt>
                <c:pt idx="52">
                  <c:v>42095</c:v>
                </c:pt>
                <c:pt idx="53">
                  <c:v>42125</c:v>
                </c:pt>
                <c:pt idx="54">
                  <c:v>42156</c:v>
                </c:pt>
                <c:pt idx="55">
                  <c:v>42186</c:v>
                </c:pt>
                <c:pt idx="56">
                  <c:v>42217</c:v>
                </c:pt>
                <c:pt idx="57">
                  <c:v>42248</c:v>
                </c:pt>
                <c:pt idx="58">
                  <c:v>42278</c:v>
                </c:pt>
                <c:pt idx="59">
                  <c:v>42309</c:v>
                </c:pt>
                <c:pt idx="60">
                  <c:v>42339</c:v>
                </c:pt>
                <c:pt idx="61">
                  <c:v>42370</c:v>
                </c:pt>
                <c:pt idx="62">
                  <c:v>42401</c:v>
                </c:pt>
                <c:pt idx="63">
                  <c:v>42430</c:v>
                </c:pt>
                <c:pt idx="64">
                  <c:v>42461</c:v>
                </c:pt>
                <c:pt idx="65">
                  <c:v>42491</c:v>
                </c:pt>
                <c:pt idx="66">
                  <c:v>42522</c:v>
                </c:pt>
                <c:pt idx="67">
                  <c:v>42552</c:v>
                </c:pt>
                <c:pt idx="68">
                  <c:v>42583</c:v>
                </c:pt>
                <c:pt idx="69">
                  <c:v>42614</c:v>
                </c:pt>
                <c:pt idx="70">
                  <c:v>42644</c:v>
                </c:pt>
                <c:pt idx="71">
                  <c:v>42675</c:v>
                </c:pt>
                <c:pt idx="72">
                  <c:v>42705</c:v>
                </c:pt>
                <c:pt idx="73">
                  <c:v>42736</c:v>
                </c:pt>
                <c:pt idx="74">
                  <c:v>42767</c:v>
                </c:pt>
                <c:pt idx="75">
                  <c:v>42795</c:v>
                </c:pt>
                <c:pt idx="76">
                  <c:v>42826</c:v>
                </c:pt>
                <c:pt idx="77">
                  <c:v>42856</c:v>
                </c:pt>
                <c:pt idx="78">
                  <c:v>42887</c:v>
                </c:pt>
                <c:pt idx="79">
                  <c:v>42917</c:v>
                </c:pt>
                <c:pt idx="80">
                  <c:v>42948</c:v>
                </c:pt>
                <c:pt idx="81" formatCode="yyyy/mm/dd">
                  <c:v>46143</c:v>
                </c:pt>
                <c:pt idx="82" formatCode="yyyy/mm/dd">
                  <c:v>46174</c:v>
                </c:pt>
              </c:numCache>
            </c:numRef>
          </c:cat>
          <c:val>
            <c:numRef>
              <c:f>SK!$B$74:$B$287</c:f>
              <c:numCache>
                <c:formatCode>0.0</c:formatCode>
                <c:ptCount val="214"/>
                <c:pt idx="0">
                  <c:v>53.9</c:v>
                </c:pt>
                <c:pt idx="1">
                  <c:v>53.5</c:v>
                </c:pt>
                <c:pt idx="2">
                  <c:v>53.4</c:v>
                </c:pt>
                <c:pt idx="3">
                  <c:v>52.8</c:v>
                </c:pt>
                <c:pt idx="4">
                  <c:v>51.7</c:v>
                </c:pt>
                <c:pt idx="5">
                  <c:v>51.2</c:v>
                </c:pt>
                <c:pt idx="6">
                  <c:v>51.2</c:v>
                </c:pt>
                <c:pt idx="7">
                  <c:v>51.1</c:v>
                </c:pt>
                <c:pt idx="8">
                  <c:v>51.3</c:v>
                </c:pt>
                <c:pt idx="9">
                  <c:v>49.7</c:v>
                </c:pt>
                <c:pt idx="10">
                  <c:v>47.4</c:v>
                </c:pt>
                <c:pt idx="11">
                  <c:v>48</c:v>
                </c:pt>
                <c:pt idx="12">
                  <c:v>47.1</c:v>
                </c:pt>
                <c:pt idx="13">
                  <c:v>49.2</c:v>
                </c:pt>
                <c:pt idx="14">
                  <c:v>50.7</c:v>
                </c:pt>
                <c:pt idx="15">
                  <c:v>52</c:v>
                </c:pt>
                <c:pt idx="16">
                  <c:v>51.9</c:v>
                </c:pt>
                <c:pt idx="17">
                  <c:v>51</c:v>
                </c:pt>
                <c:pt idx="18">
                  <c:v>49.4</c:v>
                </c:pt>
                <c:pt idx="19">
                  <c:v>47.2</c:v>
                </c:pt>
                <c:pt idx="20">
                  <c:v>47.5</c:v>
                </c:pt>
                <c:pt idx="21">
                  <c:v>45.7</c:v>
                </c:pt>
                <c:pt idx="22">
                  <c:v>47.4</c:v>
                </c:pt>
                <c:pt idx="23">
                  <c:v>48.2</c:v>
                </c:pt>
                <c:pt idx="24">
                  <c:v>50.1</c:v>
                </c:pt>
                <c:pt idx="25">
                  <c:v>49.9</c:v>
                </c:pt>
                <c:pt idx="26">
                  <c:v>50.9</c:v>
                </c:pt>
                <c:pt idx="27">
                  <c:v>52</c:v>
                </c:pt>
                <c:pt idx="28">
                  <c:v>52.6</c:v>
                </c:pt>
                <c:pt idx="29">
                  <c:v>51.1</c:v>
                </c:pt>
                <c:pt idx="30">
                  <c:v>49.4</c:v>
                </c:pt>
                <c:pt idx="31">
                  <c:v>47.2</c:v>
                </c:pt>
                <c:pt idx="32">
                  <c:v>47.5</c:v>
                </c:pt>
                <c:pt idx="33">
                  <c:v>49.7</c:v>
                </c:pt>
                <c:pt idx="34">
                  <c:v>50.2</c:v>
                </c:pt>
                <c:pt idx="35">
                  <c:v>50.4</c:v>
                </c:pt>
                <c:pt idx="36">
                  <c:v>50.8</c:v>
                </c:pt>
                <c:pt idx="37">
                  <c:v>50.9</c:v>
                </c:pt>
                <c:pt idx="38">
                  <c:v>49.8</c:v>
                </c:pt>
                <c:pt idx="39">
                  <c:v>50.4</c:v>
                </c:pt>
                <c:pt idx="40">
                  <c:v>50.2</c:v>
                </c:pt>
                <c:pt idx="41">
                  <c:v>49.5</c:v>
                </c:pt>
                <c:pt idx="42">
                  <c:v>48.4</c:v>
                </c:pt>
                <c:pt idx="43">
                  <c:v>48.506666666666703</c:v>
                </c:pt>
                <c:pt idx="44">
                  <c:v>50.3</c:v>
                </c:pt>
                <c:pt idx="45">
                  <c:v>48.8</c:v>
                </c:pt>
                <c:pt idx="46">
                  <c:v>48.7</c:v>
                </c:pt>
                <c:pt idx="47">
                  <c:v>49</c:v>
                </c:pt>
                <c:pt idx="81">
                  <c:v>54.8</c:v>
                </c:pt>
                <c:pt idx="82">
                  <c:v>52.1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C-45B3-AA3A-2BAA81A58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30400"/>
        <c:axId val="538705920"/>
      </c:areaChart>
      <c:barChart>
        <c:barDir val="col"/>
        <c:grouping val="clustered"/>
        <c:varyColors val="0"/>
        <c:ser>
          <c:idx val="2"/>
          <c:order val="2"/>
          <c:tx>
            <c:strRef>
              <c:f>SK!$D$73</c:f>
              <c:strCache>
                <c:ptCount val="1"/>
                <c:pt idx="0">
                  <c:v>S Korea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SK!$D$74:$D$272</c:f>
              <c:numCache>
                <c:formatCode>0.0%</c:formatCode>
                <c:ptCount val="199"/>
                <c:pt idx="0">
                  <c:v>7.0000000000000001E-3</c:v>
                </c:pt>
                <c:pt idx="3">
                  <c:v>6.0000000000000001E-3</c:v>
                </c:pt>
                <c:pt idx="6">
                  <c:v>1.2999999999999999E-2</c:v>
                </c:pt>
                <c:pt idx="9">
                  <c:v>8.0000000000000002E-3</c:v>
                </c:pt>
                <c:pt idx="12">
                  <c:v>4.0000000000000001E-3</c:v>
                </c:pt>
                <c:pt idx="15">
                  <c:v>5.0000000000000001E-3</c:v>
                </c:pt>
                <c:pt idx="18">
                  <c:v>5.0000000000000001E-3</c:v>
                </c:pt>
                <c:pt idx="21">
                  <c:v>4.0000000000000001E-3</c:v>
                </c:pt>
                <c:pt idx="24">
                  <c:v>6.0000000000000001E-3</c:v>
                </c:pt>
                <c:pt idx="27">
                  <c:v>6.0000000000000001E-3</c:v>
                </c:pt>
                <c:pt idx="30">
                  <c:v>0.01</c:v>
                </c:pt>
                <c:pt idx="33">
                  <c:v>1.0999999999999999E-2</c:v>
                </c:pt>
                <c:pt idx="36">
                  <c:v>8.9999999999999993E-3</c:v>
                </c:pt>
                <c:pt idx="39">
                  <c:v>8.9999999999999993E-3</c:v>
                </c:pt>
                <c:pt idx="42">
                  <c:v>5.0000000000000001E-3</c:v>
                </c:pt>
                <c:pt idx="45" formatCode="0.00%">
                  <c:v>9.0000000000000011E-3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C-45B3-AA3A-2BAA81A58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8708992"/>
        <c:axId val="538707456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SK!$B$74:$B$287</c:f>
              <c:numCache>
                <c:formatCode>0.0</c:formatCode>
                <c:ptCount val="214"/>
                <c:pt idx="0">
                  <c:v>53.9</c:v>
                </c:pt>
                <c:pt idx="1">
                  <c:v>53.5</c:v>
                </c:pt>
                <c:pt idx="2">
                  <c:v>53.4</c:v>
                </c:pt>
                <c:pt idx="3">
                  <c:v>52.8</c:v>
                </c:pt>
                <c:pt idx="4">
                  <c:v>51.7</c:v>
                </c:pt>
                <c:pt idx="5">
                  <c:v>51.2</c:v>
                </c:pt>
                <c:pt idx="6">
                  <c:v>51.2</c:v>
                </c:pt>
                <c:pt idx="7">
                  <c:v>51.1</c:v>
                </c:pt>
                <c:pt idx="8">
                  <c:v>51.3</c:v>
                </c:pt>
                <c:pt idx="9">
                  <c:v>49.7</c:v>
                </c:pt>
                <c:pt idx="10">
                  <c:v>47.4</c:v>
                </c:pt>
                <c:pt idx="11">
                  <c:v>48</c:v>
                </c:pt>
                <c:pt idx="12">
                  <c:v>47.1</c:v>
                </c:pt>
                <c:pt idx="13">
                  <c:v>49.2</c:v>
                </c:pt>
                <c:pt idx="14">
                  <c:v>50.7</c:v>
                </c:pt>
                <c:pt idx="15">
                  <c:v>52</c:v>
                </c:pt>
                <c:pt idx="16">
                  <c:v>51.9</c:v>
                </c:pt>
                <c:pt idx="17">
                  <c:v>51</c:v>
                </c:pt>
                <c:pt idx="18">
                  <c:v>49.4</c:v>
                </c:pt>
                <c:pt idx="19">
                  <c:v>47.2</c:v>
                </c:pt>
                <c:pt idx="20">
                  <c:v>47.5</c:v>
                </c:pt>
                <c:pt idx="21">
                  <c:v>45.7</c:v>
                </c:pt>
                <c:pt idx="22">
                  <c:v>47.4</c:v>
                </c:pt>
                <c:pt idx="23">
                  <c:v>48.2</c:v>
                </c:pt>
                <c:pt idx="24">
                  <c:v>50.1</c:v>
                </c:pt>
                <c:pt idx="25">
                  <c:v>49.9</c:v>
                </c:pt>
                <c:pt idx="26">
                  <c:v>50.9</c:v>
                </c:pt>
                <c:pt idx="27">
                  <c:v>52</c:v>
                </c:pt>
                <c:pt idx="28">
                  <c:v>52.6</c:v>
                </c:pt>
                <c:pt idx="29">
                  <c:v>51.1</c:v>
                </c:pt>
                <c:pt idx="30">
                  <c:v>49.4</c:v>
                </c:pt>
                <c:pt idx="31">
                  <c:v>47.2</c:v>
                </c:pt>
                <c:pt idx="32">
                  <c:v>47.5</c:v>
                </c:pt>
                <c:pt idx="33">
                  <c:v>49.7</c:v>
                </c:pt>
                <c:pt idx="34">
                  <c:v>50.2</c:v>
                </c:pt>
                <c:pt idx="35">
                  <c:v>50.4</c:v>
                </c:pt>
                <c:pt idx="36">
                  <c:v>50.8</c:v>
                </c:pt>
                <c:pt idx="37">
                  <c:v>50.9</c:v>
                </c:pt>
                <c:pt idx="38">
                  <c:v>49.8</c:v>
                </c:pt>
                <c:pt idx="39">
                  <c:v>50.4</c:v>
                </c:pt>
                <c:pt idx="40">
                  <c:v>50.2</c:v>
                </c:pt>
                <c:pt idx="41">
                  <c:v>49.5</c:v>
                </c:pt>
                <c:pt idx="42">
                  <c:v>48.4</c:v>
                </c:pt>
                <c:pt idx="43">
                  <c:v>48.506666666666703</c:v>
                </c:pt>
                <c:pt idx="44">
                  <c:v>50.3</c:v>
                </c:pt>
                <c:pt idx="45">
                  <c:v>48.8</c:v>
                </c:pt>
                <c:pt idx="46">
                  <c:v>48.7</c:v>
                </c:pt>
                <c:pt idx="47">
                  <c:v>49</c:v>
                </c:pt>
                <c:pt idx="81">
                  <c:v>54.8</c:v>
                </c:pt>
                <c:pt idx="82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4C-45B3-AA3A-2BAA81A58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630400"/>
        <c:axId val="538705920"/>
      </c:lineChart>
      <c:dateAx>
        <c:axId val="5386304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705920"/>
        <c:crossesAt val="50"/>
        <c:auto val="1"/>
        <c:lblOffset val="100"/>
        <c:baseTimeUnit val="months"/>
        <c:majorUnit val="1"/>
        <c:majorTimeUnit val="years"/>
      </c:dateAx>
      <c:valAx>
        <c:axId val="538705920"/>
        <c:scaling>
          <c:orientation val="minMax"/>
          <c:max val="56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8630400"/>
        <c:crosses val="autoZero"/>
        <c:crossBetween val="between"/>
        <c:majorUnit val="3"/>
      </c:valAx>
      <c:valAx>
        <c:axId val="538707456"/>
        <c:scaling>
          <c:orientation val="minMax"/>
          <c:max val="1.5000000000000003E-2"/>
          <c:min val="-1.5000000000000003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38708992"/>
        <c:crosses val="max"/>
        <c:crossBetween val="between"/>
      </c:valAx>
      <c:catAx>
        <c:axId val="538708992"/>
        <c:scaling>
          <c:orientation val="minMax"/>
        </c:scaling>
        <c:delete val="1"/>
        <c:axPos val="b"/>
        <c:majorTickMark val="out"/>
        <c:minorTickMark val="none"/>
        <c:tickLblPos val="nextTo"/>
        <c:crossAx val="538707456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335140339669303E-2"/>
          <c:y val="0.72120516185476813"/>
          <c:w val="0.18992781402515263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Indonesia 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INS!$B$73</c:f>
              <c:strCache>
                <c:ptCount val="1"/>
                <c:pt idx="0">
                  <c:v>Indonesia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INS!$A$74:$A$287</c:f>
              <c:numCache>
                <c:formatCode>mmm\-yy</c:formatCode>
                <c:ptCount val="214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  <c:pt idx="13">
                  <c:v>40909</c:v>
                </c:pt>
                <c:pt idx="14">
                  <c:v>40940</c:v>
                </c:pt>
                <c:pt idx="15">
                  <c:v>40969</c:v>
                </c:pt>
                <c:pt idx="16">
                  <c:v>41000</c:v>
                </c:pt>
                <c:pt idx="17">
                  <c:v>41030</c:v>
                </c:pt>
                <c:pt idx="18">
                  <c:v>41061</c:v>
                </c:pt>
                <c:pt idx="19">
                  <c:v>41091</c:v>
                </c:pt>
                <c:pt idx="20">
                  <c:v>41122</c:v>
                </c:pt>
                <c:pt idx="21">
                  <c:v>41153</c:v>
                </c:pt>
                <c:pt idx="22">
                  <c:v>41183</c:v>
                </c:pt>
                <c:pt idx="23">
                  <c:v>41214</c:v>
                </c:pt>
                <c:pt idx="24">
                  <c:v>41244</c:v>
                </c:pt>
                <c:pt idx="25">
                  <c:v>41275</c:v>
                </c:pt>
                <c:pt idx="26">
                  <c:v>41306</c:v>
                </c:pt>
                <c:pt idx="27">
                  <c:v>41334</c:v>
                </c:pt>
                <c:pt idx="28">
                  <c:v>41365</c:v>
                </c:pt>
                <c:pt idx="29">
                  <c:v>41395</c:v>
                </c:pt>
                <c:pt idx="30">
                  <c:v>41426</c:v>
                </c:pt>
                <c:pt idx="31">
                  <c:v>41456</c:v>
                </c:pt>
                <c:pt idx="32">
                  <c:v>41487</c:v>
                </c:pt>
                <c:pt idx="33">
                  <c:v>41518</c:v>
                </c:pt>
                <c:pt idx="34">
                  <c:v>41548</c:v>
                </c:pt>
                <c:pt idx="35">
                  <c:v>41579</c:v>
                </c:pt>
                <c:pt idx="36">
                  <c:v>41609</c:v>
                </c:pt>
                <c:pt idx="37">
                  <c:v>41640</c:v>
                </c:pt>
                <c:pt idx="38">
                  <c:v>41671</c:v>
                </c:pt>
                <c:pt idx="39">
                  <c:v>41699</c:v>
                </c:pt>
                <c:pt idx="40">
                  <c:v>41730</c:v>
                </c:pt>
                <c:pt idx="41">
                  <c:v>41760</c:v>
                </c:pt>
                <c:pt idx="42">
                  <c:v>41791</c:v>
                </c:pt>
                <c:pt idx="43">
                  <c:v>41821</c:v>
                </c:pt>
                <c:pt idx="44">
                  <c:v>41852</c:v>
                </c:pt>
                <c:pt idx="45">
                  <c:v>41883</c:v>
                </c:pt>
                <c:pt idx="46">
                  <c:v>41913</c:v>
                </c:pt>
                <c:pt idx="47">
                  <c:v>41944</c:v>
                </c:pt>
                <c:pt idx="48">
                  <c:v>41974</c:v>
                </c:pt>
                <c:pt idx="49">
                  <c:v>42005</c:v>
                </c:pt>
                <c:pt idx="50">
                  <c:v>42036</c:v>
                </c:pt>
                <c:pt idx="51">
                  <c:v>42064</c:v>
                </c:pt>
                <c:pt idx="52">
                  <c:v>42095</c:v>
                </c:pt>
                <c:pt idx="53">
                  <c:v>42125</c:v>
                </c:pt>
                <c:pt idx="54">
                  <c:v>42156</c:v>
                </c:pt>
                <c:pt idx="55">
                  <c:v>42186</c:v>
                </c:pt>
                <c:pt idx="56">
                  <c:v>42217</c:v>
                </c:pt>
                <c:pt idx="57">
                  <c:v>42248</c:v>
                </c:pt>
                <c:pt idx="58">
                  <c:v>42278</c:v>
                </c:pt>
                <c:pt idx="59">
                  <c:v>42309</c:v>
                </c:pt>
                <c:pt idx="60">
                  <c:v>42339</c:v>
                </c:pt>
                <c:pt idx="61">
                  <c:v>42370</c:v>
                </c:pt>
                <c:pt idx="62">
                  <c:v>42401</c:v>
                </c:pt>
                <c:pt idx="63">
                  <c:v>42430</c:v>
                </c:pt>
                <c:pt idx="64">
                  <c:v>42461</c:v>
                </c:pt>
                <c:pt idx="65">
                  <c:v>42491</c:v>
                </c:pt>
                <c:pt idx="66">
                  <c:v>42522</c:v>
                </c:pt>
                <c:pt idx="67">
                  <c:v>42552</c:v>
                </c:pt>
                <c:pt idx="68">
                  <c:v>42583</c:v>
                </c:pt>
                <c:pt idx="69">
                  <c:v>42614</c:v>
                </c:pt>
                <c:pt idx="70">
                  <c:v>42644</c:v>
                </c:pt>
                <c:pt idx="71">
                  <c:v>42675</c:v>
                </c:pt>
                <c:pt idx="72">
                  <c:v>42705</c:v>
                </c:pt>
                <c:pt idx="73">
                  <c:v>42736</c:v>
                </c:pt>
                <c:pt idx="74">
                  <c:v>42767</c:v>
                </c:pt>
                <c:pt idx="75">
                  <c:v>42795</c:v>
                </c:pt>
                <c:pt idx="76">
                  <c:v>42826</c:v>
                </c:pt>
                <c:pt idx="77">
                  <c:v>42856</c:v>
                </c:pt>
                <c:pt idx="78">
                  <c:v>42887</c:v>
                </c:pt>
                <c:pt idx="79">
                  <c:v>42917</c:v>
                </c:pt>
                <c:pt idx="80">
                  <c:v>42948</c:v>
                </c:pt>
                <c:pt idx="81" formatCode="yyyy/mm/dd">
                  <c:v>46143</c:v>
                </c:pt>
                <c:pt idx="82" formatCode="yyyy/mm/dd">
                  <c:v>46174</c:v>
                </c:pt>
              </c:numCache>
            </c:numRef>
          </c:cat>
          <c:val>
            <c:numRef>
              <c:f>INS!$B$74:$B$287</c:f>
              <c:numCache>
                <c:formatCode>0.0</c:formatCode>
                <c:ptCount val="214"/>
                <c:pt idx="4">
                  <c:v>48.1</c:v>
                </c:pt>
                <c:pt idx="5">
                  <c:v>48</c:v>
                </c:pt>
                <c:pt idx="6">
                  <c:v>50.5</c:v>
                </c:pt>
                <c:pt idx="7">
                  <c:v>51</c:v>
                </c:pt>
                <c:pt idx="8">
                  <c:v>50.9</c:v>
                </c:pt>
                <c:pt idx="9">
                  <c:v>49.8</c:v>
                </c:pt>
                <c:pt idx="10">
                  <c:v>51.3</c:v>
                </c:pt>
                <c:pt idx="11">
                  <c:v>50.1</c:v>
                </c:pt>
                <c:pt idx="12">
                  <c:v>48.1</c:v>
                </c:pt>
                <c:pt idx="13">
                  <c:v>48.5</c:v>
                </c:pt>
                <c:pt idx="14">
                  <c:v>50.6</c:v>
                </c:pt>
                <c:pt idx="15">
                  <c:v>50.8</c:v>
                </c:pt>
                <c:pt idx="16">
                  <c:v>50.5</c:v>
                </c:pt>
                <c:pt idx="17">
                  <c:v>48.1</c:v>
                </c:pt>
                <c:pt idx="18">
                  <c:v>50.2</c:v>
                </c:pt>
                <c:pt idx="19">
                  <c:v>51.3</c:v>
                </c:pt>
                <c:pt idx="20">
                  <c:v>51.4</c:v>
                </c:pt>
                <c:pt idx="21">
                  <c:v>51.6</c:v>
                </c:pt>
                <c:pt idx="22">
                  <c:v>50.5</c:v>
                </c:pt>
                <c:pt idx="23">
                  <c:v>51.9</c:v>
                </c:pt>
                <c:pt idx="24">
                  <c:v>51.5</c:v>
                </c:pt>
                <c:pt idx="25">
                  <c:v>49.7</c:v>
                </c:pt>
                <c:pt idx="26">
                  <c:v>50.5</c:v>
                </c:pt>
                <c:pt idx="27">
                  <c:v>51.3</c:v>
                </c:pt>
                <c:pt idx="28">
                  <c:v>51.7</c:v>
                </c:pt>
                <c:pt idx="29">
                  <c:v>51.6</c:v>
                </c:pt>
                <c:pt idx="30">
                  <c:v>51</c:v>
                </c:pt>
                <c:pt idx="31">
                  <c:v>50.7</c:v>
                </c:pt>
                <c:pt idx="32">
                  <c:v>48.5</c:v>
                </c:pt>
                <c:pt idx="33">
                  <c:v>50.2</c:v>
                </c:pt>
                <c:pt idx="34">
                  <c:v>50.9</c:v>
                </c:pt>
                <c:pt idx="35">
                  <c:v>50.3</c:v>
                </c:pt>
                <c:pt idx="36">
                  <c:v>50.9</c:v>
                </c:pt>
                <c:pt idx="37">
                  <c:v>51</c:v>
                </c:pt>
                <c:pt idx="38">
                  <c:v>50.5</c:v>
                </c:pt>
                <c:pt idx="39">
                  <c:v>50.1</c:v>
                </c:pt>
                <c:pt idx="40">
                  <c:v>51.1</c:v>
                </c:pt>
                <c:pt idx="41">
                  <c:v>52.4</c:v>
                </c:pt>
                <c:pt idx="42">
                  <c:v>52.7</c:v>
                </c:pt>
                <c:pt idx="43">
                  <c:v>52.4</c:v>
                </c:pt>
                <c:pt idx="44">
                  <c:v>49.5</c:v>
                </c:pt>
                <c:pt idx="45">
                  <c:v>50.7</c:v>
                </c:pt>
                <c:pt idx="46">
                  <c:v>49.2</c:v>
                </c:pt>
                <c:pt idx="47">
                  <c:v>48</c:v>
                </c:pt>
                <c:pt idx="81">
                  <c:v>50</c:v>
                </c:pt>
                <c:pt idx="82">
                  <c:v>46.9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E-49B5-9925-5F6F25B13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39232"/>
        <c:axId val="539040768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INS!$B$74:$B$287</c:f>
              <c:numCache>
                <c:formatCode>0.0</c:formatCode>
                <c:ptCount val="214"/>
                <c:pt idx="4">
                  <c:v>48.1</c:v>
                </c:pt>
                <c:pt idx="5">
                  <c:v>48</c:v>
                </c:pt>
                <c:pt idx="6">
                  <c:v>50.5</c:v>
                </c:pt>
                <c:pt idx="7">
                  <c:v>51</c:v>
                </c:pt>
                <c:pt idx="8">
                  <c:v>50.9</c:v>
                </c:pt>
                <c:pt idx="9">
                  <c:v>49.8</c:v>
                </c:pt>
                <c:pt idx="10">
                  <c:v>51.3</c:v>
                </c:pt>
                <c:pt idx="11">
                  <c:v>50.1</c:v>
                </c:pt>
                <c:pt idx="12">
                  <c:v>48.1</c:v>
                </c:pt>
                <c:pt idx="13">
                  <c:v>48.5</c:v>
                </c:pt>
                <c:pt idx="14">
                  <c:v>50.6</c:v>
                </c:pt>
                <c:pt idx="15">
                  <c:v>50.8</c:v>
                </c:pt>
                <c:pt idx="16">
                  <c:v>50.5</c:v>
                </c:pt>
                <c:pt idx="17">
                  <c:v>48.1</c:v>
                </c:pt>
                <c:pt idx="18">
                  <c:v>50.2</c:v>
                </c:pt>
                <c:pt idx="19">
                  <c:v>51.3</c:v>
                </c:pt>
                <c:pt idx="20">
                  <c:v>51.4</c:v>
                </c:pt>
                <c:pt idx="21">
                  <c:v>51.6</c:v>
                </c:pt>
                <c:pt idx="22">
                  <c:v>50.5</c:v>
                </c:pt>
                <c:pt idx="23">
                  <c:v>51.9</c:v>
                </c:pt>
                <c:pt idx="24">
                  <c:v>51.5</c:v>
                </c:pt>
                <c:pt idx="25">
                  <c:v>49.7</c:v>
                </c:pt>
                <c:pt idx="26">
                  <c:v>50.5</c:v>
                </c:pt>
                <c:pt idx="27">
                  <c:v>51.3</c:v>
                </c:pt>
                <c:pt idx="28">
                  <c:v>51.7</c:v>
                </c:pt>
                <c:pt idx="29">
                  <c:v>51.6</c:v>
                </c:pt>
                <c:pt idx="30">
                  <c:v>51</c:v>
                </c:pt>
                <c:pt idx="31">
                  <c:v>50.7</c:v>
                </c:pt>
                <c:pt idx="32">
                  <c:v>48.5</c:v>
                </c:pt>
                <c:pt idx="33">
                  <c:v>50.2</c:v>
                </c:pt>
                <c:pt idx="34">
                  <c:v>50.9</c:v>
                </c:pt>
                <c:pt idx="35">
                  <c:v>50.3</c:v>
                </c:pt>
                <c:pt idx="36">
                  <c:v>50.9</c:v>
                </c:pt>
                <c:pt idx="37">
                  <c:v>51</c:v>
                </c:pt>
                <c:pt idx="38">
                  <c:v>50.5</c:v>
                </c:pt>
                <c:pt idx="39">
                  <c:v>50.1</c:v>
                </c:pt>
                <c:pt idx="40">
                  <c:v>51.1</c:v>
                </c:pt>
                <c:pt idx="41">
                  <c:v>52.4</c:v>
                </c:pt>
                <c:pt idx="42">
                  <c:v>52.7</c:v>
                </c:pt>
                <c:pt idx="43">
                  <c:v>52.4</c:v>
                </c:pt>
                <c:pt idx="44">
                  <c:v>49.5</c:v>
                </c:pt>
                <c:pt idx="45">
                  <c:v>50.7</c:v>
                </c:pt>
                <c:pt idx="46">
                  <c:v>49.2</c:v>
                </c:pt>
                <c:pt idx="47">
                  <c:v>48</c:v>
                </c:pt>
                <c:pt idx="81">
                  <c:v>50</c:v>
                </c:pt>
                <c:pt idx="82">
                  <c:v>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E-49B5-9925-5F6F25B13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039232"/>
        <c:axId val="539040768"/>
      </c:lineChart>
      <c:dateAx>
        <c:axId val="539039232"/>
        <c:scaling>
          <c:orientation val="minMax"/>
          <c:min val="4063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040768"/>
        <c:crossesAt val="50"/>
        <c:auto val="1"/>
        <c:lblOffset val="100"/>
        <c:baseTimeUnit val="months"/>
        <c:majorUnit val="1"/>
        <c:majorTimeUnit val="years"/>
      </c:dateAx>
      <c:valAx>
        <c:axId val="539040768"/>
        <c:scaling>
          <c:orientation val="minMax"/>
          <c:max val="55"/>
          <c:min val="45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039232"/>
        <c:crosses val="autoZero"/>
        <c:crossBetween val="between"/>
        <c:majorUnit val="2.5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9127785565469825E-2"/>
          <c:y val="0.79970757731370534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Indonesia</a:t>
            </a:r>
            <a:r>
              <a:rPr lang="en-US" baseline="0"/>
              <a:t> </a:t>
            </a:r>
            <a:r>
              <a:rPr lang="en-US"/>
              <a:t>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INS!$B$73</c:f>
              <c:strCache>
                <c:ptCount val="1"/>
                <c:pt idx="0">
                  <c:v>Indonesia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INS!$A$78:$A$287</c:f>
              <c:numCache>
                <c:formatCode>mmm\-yy</c:formatCode>
                <c:ptCount val="210"/>
                <c:pt idx="0">
                  <c:v>40634</c:v>
                </c:pt>
                <c:pt idx="1">
                  <c:v>40664</c:v>
                </c:pt>
                <c:pt idx="2">
                  <c:v>40695</c:v>
                </c:pt>
                <c:pt idx="3">
                  <c:v>40725</c:v>
                </c:pt>
                <c:pt idx="4">
                  <c:v>40756</c:v>
                </c:pt>
                <c:pt idx="5">
                  <c:v>40787</c:v>
                </c:pt>
                <c:pt idx="6">
                  <c:v>40817</c:v>
                </c:pt>
                <c:pt idx="7">
                  <c:v>40848</c:v>
                </c:pt>
                <c:pt idx="8">
                  <c:v>40878</c:v>
                </c:pt>
                <c:pt idx="9">
                  <c:v>40909</c:v>
                </c:pt>
                <c:pt idx="10">
                  <c:v>40940</c:v>
                </c:pt>
                <c:pt idx="11">
                  <c:v>40969</c:v>
                </c:pt>
                <c:pt idx="12">
                  <c:v>41000</c:v>
                </c:pt>
                <c:pt idx="13">
                  <c:v>41030</c:v>
                </c:pt>
                <c:pt idx="14">
                  <c:v>41061</c:v>
                </c:pt>
                <c:pt idx="15">
                  <c:v>41091</c:v>
                </c:pt>
                <c:pt idx="16">
                  <c:v>41122</c:v>
                </c:pt>
                <c:pt idx="17">
                  <c:v>41153</c:v>
                </c:pt>
                <c:pt idx="18">
                  <c:v>41183</c:v>
                </c:pt>
                <c:pt idx="19">
                  <c:v>41214</c:v>
                </c:pt>
                <c:pt idx="20">
                  <c:v>41244</c:v>
                </c:pt>
                <c:pt idx="21">
                  <c:v>41275</c:v>
                </c:pt>
                <c:pt idx="22">
                  <c:v>41306</c:v>
                </c:pt>
                <c:pt idx="23">
                  <c:v>41334</c:v>
                </c:pt>
                <c:pt idx="24">
                  <c:v>41365</c:v>
                </c:pt>
                <c:pt idx="25">
                  <c:v>41395</c:v>
                </c:pt>
                <c:pt idx="26">
                  <c:v>41426</c:v>
                </c:pt>
                <c:pt idx="27">
                  <c:v>41456</c:v>
                </c:pt>
                <c:pt idx="28">
                  <c:v>41487</c:v>
                </c:pt>
                <c:pt idx="29">
                  <c:v>41518</c:v>
                </c:pt>
                <c:pt idx="30">
                  <c:v>41548</c:v>
                </c:pt>
                <c:pt idx="31">
                  <c:v>41579</c:v>
                </c:pt>
                <c:pt idx="32">
                  <c:v>41609</c:v>
                </c:pt>
                <c:pt idx="33">
                  <c:v>41640</c:v>
                </c:pt>
                <c:pt idx="34">
                  <c:v>41671</c:v>
                </c:pt>
                <c:pt idx="35">
                  <c:v>41699</c:v>
                </c:pt>
                <c:pt idx="36">
                  <c:v>41730</c:v>
                </c:pt>
                <c:pt idx="37">
                  <c:v>41760</c:v>
                </c:pt>
                <c:pt idx="38">
                  <c:v>41791</c:v>
                </c:pt>
                <c:pt idx="39">
                  <c:v>41821</c:v>
                </c:pt>
                <c:pt idx="40">
                  <c:v>41852</c:v>
                </c:pt>
                <c:pt idx="41">
                  <c:v>41883</c:v>
                </c:pt>
                <c:pt idx="42">
                  <c:v>41913</c:v>
                </c:pt>
                <c:pt idx="43">
                  <c:v>41944</c:v>
                </c:pt>
                <c:pt idx="44">
                  <c:v>41974</c:v>
                </c:pt>
                <c:pt idx="45">
                  <c:v>42005</c:v>
                </c:pt>
                <c:pt idx="46">
                  <c:v>42036</c:v>
                </c:pt>
                <c:pt idx="47">
                  <c:v>42064</c:v>
                </c:pt>
                <c:pt idx="48">
                  <c:v>42095</c:v>
                </c:pt>
                <c:pt idx="49">
                  <c:v>42125</c:v>
                </c:pt>
                <c:pt idx="50">
                  <c:v>42156</c:v>
                </c:pt>
                <c:pt idx="51">
                  <c:v>42186</c:v>
                </c:pt>
                <c:pt idx="52">
                  <c:v>42217</c:v>
                </c:pt>
                <c:pt idx="53">
                  <c:v>42248</c:v>
                </c:pt>
                <c:pt idx="54">
                  <c:v>42278</c:v>
                </c:pt>
                <c:pt idx="55">
                  <c:v>42309</c:v>
                </c:pt>
                <c:pt idx="56">
                  <c:v>42339</c:v>
                </c:pt>
                <c:pt idx="57">
                  <c:v>42370</c:v>
                </c:pt>
                <c:pt idx="58">
                  <c:v>42401</c:v>
                </c:pt>
                <c:pt idx="59">
                  <c:v>42430</c:v>
                </c:pt>
                <c:pt idx="60">
                  <c:v>42461</c:v>
                </c:pt>
                <c:pt idx="61">
                  <c:v>42491</c:v>
                </c:pt>
                <c:pt idx="62">
                  <c:v>42522</c:v>
                </c:pt>
                <c:pt idx="63">
                  <c:v>42552</c:v>
                </c:pt>
                <c:pt idx="64">
                  <c:v>42583</c:v>
                </c:pt>
                <c:pt idx="65">
                  <c:v>42614</c:v>
                </c:pt>
                <c:pt idx="66">
                  <c:v>42644</c:v>
                </c:pt>
                <c:pt idx="67">
                  <c:v>42675</c:v>
                </c:pt>
                <c:pt idx="68">
                  <c:v>42705</c:v>
                </c:pt>
                <c:pt idx="69">
                  <c:v>42736</c:v>
                </c:pt>
                <c:pt idx="70">
                  <c:v>42767</c:v>
                </c:pt>
                <c:pt idx="71">
                  <c:v>42795</c:v>
                </c:pt>
                <c:pt idx="72">
                  <c:v>42826</c:v>
                </c:pt>
                <c:pt idx="73">
                  <c:v>42856</c:v>
                </c:pt>
                <c:pt idx="74">
                  <c:v>42887</c:v>
                </c:pt>
                <c:pt idx="75">
                  <c:v>42917</c:v>
                </c:pt>
                <c:pt idx="76">
                  <c:v>42948</c:v>
                </c:pt>
                <c:pt idx="77" formatCode="yyyy/mm/dd">
                  <c:v>46143</c:v>
                </c:pt>
                <c:pt idx="78" formatCode="yyyy/mm/dd">
                  <c:v>46174</c:v>
                </c:pt>
              </c:numCache>
            </c:numRef>
          </c:cat>
          <c:val>
            <c:numRef>
              <c:f>INS!$B$78:$B$287</c:f>
              <c:numCache>
                <c:formatCode>0.0</c:formatCode>
                <c:ptCount val="210"/>
                <c:pt idx="0">
                  <c:v>48.1</c:v>
                </c:pt>
                <c:pt idx="1">
                  <c:v>48</c:v>
                </c:pt>
                <c:pt idx="2">
                  <c:v>50.5</c:v>
                </c:pt>
                <c:pt idx="3">
                  <c:v>51</c:v>
                </c:pt>
                <c:pt idx="4">
                  <c:v>50.9</c:v>
                </c:pt>
                <c:pt idx="5">
                  <c:v>49.8</c:v>
                </c:pt>
                <c:pt idx="6">
                  <c:v>51.3</c:v>
                </c:pt>
                <c:pt idx="7">
                  <c:v>50.1</c:v>
                </c:pt>
                <c:pt idx="8">
                  <c:v>48.1</c:v>
                </c:pt>
                <c:pt idx="9">
                  <c:v>48.5</c:v>
                </c:pt>
                <c:pt idx="10">
                  <c:v>50.6</c:v>
                </c:pt>
                <c:pt idx="11">
                  <c:v>50.8</c:v>
                </c:pt>
                <c:pt idx="12">
                  <c:v>50.5</c:v>
                </c:pt>
                <c:pt idx="13">
                  <c:v>48.1</c:v>
                </c:pt>
                <c:pt idx="14">
                  <c:v>50.2</c:v>
                </c:pt>
                <c:pt idx="15">
                  <c:v>51.3</c:v>
                </c:pt>
                <c:pt idx="16">
                  <c:v>51.4</c:v>
                </c:pt>
                <c:pt idx="17">
                  <c:v>51.6</c:v>
                </c:pt>
                <c:pt idx="18">
                  <c:v>50.5</c:v>
                </c:pt>
                <c:pt idx="19">
                  <c:v>51.9</c:v>
                </c:pt>
                <c:pt idx="20">
                  <c:v>51.5</c:v>
                </c:pt>
                <c:pt idx="21">
                  <c:v>49.7</c:v>
                </c:pt>
                <c:pt idx="22">
                  <c:v>50.5</c:v>
                </c:pt>
                <c:pt idx="23">
                  <c:v>51.3</c:v>
                </c:pt>
                <c:pt idx="24">
                  <c:v>51.7</c:v>
                </c:pt>
                <c:pt idx="25">
                  <c:v>51.6</c:v>
                </c:pt>
                <c:pt idx="26">
                  <c:v>51</c:v>
                </c:pt>
                <c:pt idx="27">
                  <c:v>50.7</c:v>
                </c:pt>
                <c:pt idx="28">
                  <c:v>48.5</c:v>
                </c:pt>
                <c:pt idx="29">
                  <c:v>50.2</c:v>
                </c:pt>
                <c:pt idx="30">
                  <c:v>50.9</c:v>
                </c:pt>
                <c:pt idx="31">
                  <c:v>50.3</c:v>
                </c:pt>
                <c:pt idx="32">
                  <c:v>50.9</c:v>
                </c:pt>
                <c:pt idx="33">
                  <c:v>51</c:v>
                </c:pt>
                <c:pt idx="34">
                  <c:v>50.5</c:v>
                </c:pt>
                <c:pt idx="35">
                  <c:v>50.1</c:v>
                </c:pt>
                <c:pt idx="36">
                  <c:v>51.1</c:v>
                </c:pt>
                <c:pt idx="37">
                  <c:v>52.4</c:v>
                </c:pt>
                <c:pt idx="38">
                  <c:v>52.7</c:v>
                </c:pt>
                <c:pt idx="39">
                  <c:v>52.4</c:v>
                </c:pt>
                <c:pt idx="40">
                  <c:v>49.5</c:v>
                </c:pt>
                <c:pt idx="41">
                  <c:v>50.7</c:v>
                </c:pt>
                <c:pt idx="42">
                  <c:v>49.2</c:v>
                </c:pt>
                <c:pt idx="43">
                  <c:v>48</c:v>
                </c:pt>
                <c:pt idx="77">
                  <c:v>50</c:v>
                </c:pt>
                <c:pt idx="78">
                  <c:v>46.9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6-45CD-B55F-3D14CFC27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61248"/>
        <c:axId val="539067136"/>
      </c:areaChart>
      <c:barChart>
        <c:barDir val="col"/>
        <c:grouping val="clustered"/>
        <c:varyColors val="0"/>
        <c:ser>
          <c:idx val="2"/>
          <c:order val="2"/>
          <c:tx>
            <c:strRef>
              <c:f>INS!$D$73</c:f>
              <c:strCache>
                <c:ptCount val="1"/>
                <c:pt idx="0">
                  <c:v>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INS!$D$78:$D$115</c:f>
              <c:numCache>
                <c:formatCode>0.0%</c:formatCode>
                <c:ptCount val="38"/>
                <c:pt idx="3">
                  <c:v>2.9000000000000001E-2</c:v>
                </c:pt>
                <c:pt idx="6">
                  <c:v>3.4000000000000002E-2</c:v>
                </c:pt>
                <c:pt idx="9">
                  <c:v>-1.2999999999999999E-2</c:v>
                </c:pt>
                <c:pt idx="12">
                  <c:v>1.4E-2</c:v>
                </c:pt>
                <c:pt idx="15">
                  <c:v>2.8000000000000001E-2</c:v>
                </c:pt>
                <c:pt idx="18">
                  <c:v>3.1800000000000002E-2</c:v>
                </c:pt>
                <c:pt idx="21">
                  <c:v>-1.4500000000000001E-2</c:v>
                </c:pt>
                <c:pt idx="24">
                  <c:v>1.4200000000000001E-2</c:v>
                </c:pt>
                <c:pt idx="27">
                  <c:v>2.6100000000000002E-2</c:v>
                </c:pt>
                <c:pt idx="30">
                  <c:v>2.9600000000000001E-2</c:v>
                </c:pt>
                <c:pt idx="33">
                  <c:v>-1.4E-2</c:v>
                </c:pt>
                <c:pt idx="36">
                  <c:v>9.4999999999999998E-3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6-45CD-B55F-3D14CFC27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9074560"/>
        <c:axId val="539068672"/>
      </c:barChart>
      <c:lineChart>
        <c:grouping val="standard"/>
        <c:varyColors val="0"/>
        <c:ser>
          <c:idx val="1"/>
          <c:order val="1"/>
          <c:spPr>
            <a:ln>
              <a:solidFill>
                <a:schemeClr val="bg1"/>
              </a:solidFill>
            </a:ln>
          </c:spPr>
          <c:marker>
            <c:symbol val="none"/>
          </c:marker>
          <c:val>
            <c:numRef>
              <c:f>INS!$B$78:$B$287</c:f>
              <c:numCache>
                <c:formatCode>0.0</c:formatCode>
                <c:ptCount val="210"/>
                <c:pt idx="0">
                  <c:v>48.1</c:v>
                </c:pt>
                <c:pt idx="1">
                  <c:v>48</c:v>
                </c:pt>
                <c:pt idx="2">
                  <c:v>50.5</c:v>
                </c:pt>
                <c:pt idx="3">
                  <c:v>51</c:v>
                </c:pt>
                <c:pt idx="4">
                  <c:v>50.9</c:v>
                </c:pt>
                <c:pt idx="5">
                  <c:v>49.8</c:v>
                </c:pt>
                <c:pt idx="6">
                  <c:v>51.3</c:v>
                </c:pt>
                <c:pt idx="7">
                  <c:v>50.1</c:v>
                </c:pt>
                <c:pt idx="8">
                  <c:v>48.1</c:v>
                </c:pt>
                <c:pt idx="9">
                  <c:v>48.5</c:v>
                </c:pt>
                <c:pt idx="10">
                  <c:v>50.6</c:v>
                </c:pt>
                <c:pt idx="11">
                  <c:v>50.8</c:v>
                </c:pt>
                <c:pt idx="12">
                  <c:v>50.5</c:v>
                </c:pt>
                <c:pt idx="13">
                  <c:v>48.1</c:v>
                </c:pt>
                <c:pt idx="14">
                  <c:v>50.2</c:v>
                </c:pt>
                <c:pt idx="15">
                  <c:v>51.3</c:v>
                </c:pt>
                <c:pt idx="16">
                  <c:v>51.4</c:v>
                </c:pt>
                <c:pt idx="17">
                  <c:v>51.6</c:v>
                </c:pt>
                <c:pt idx="18">
                  <c:v>50.5</c:v>
                </c:pt>
                <c:pt idx="19">
                  <c:v>51.9</c:v>
                </c:pt>
                <c:pt idx="20">
                  <c:v>51.5</c:v>
                </c:pt>
                <c:pt idx="21">
                  <c:v>49.7</c:v>
                </c:pt>
                <c:pt idx="22">
                  <c:v>50.5</c:v>
                </c:pt>
                <c:pt idx="23">
                  <c:v>51.3</c:v>
                </c:pt>
                <c:pt idx="24">
                  <c:v>51.7</c:v>
                </c:pt>
                <c:pt idx="25">
                  <c:v>51.6</c:v>
                </c:pt>
                <c:pt idx="26">
                  <c:v>51</c:v>
                </c:pt>
                <c:pt idx="27">
                  <c:v>50.7</c:v>
                </c:pt>
                <c:pt idx="28">
                  <c:v>48.5</c:v>
                </c:pt>
                <c:pt idx="29">
                  <c:v>50.2</c:v>
                </c:pt>
                <c:pt idx="30">
                  <c:v>50.9</c:v>
                </c:pt>
                <c:pt idx="31">
                  <c:v>50.3</c:v>
                </c:pt>
                <c:pt idx="32">
                  <c:v>50.9</c:v>
                </c:pt>
                <c:pt idx="33">
                  <c:v>51</c:v>
                </c:pt>
                <c:pt idx="34">
                  <c:v>50.5</c:v>
                </c:pt>
                <c:pt idx="35">
                  <c:v>50.1</c:v>
                </c:pt>
                <c:pt idx="36">
                  <c:v>51.1</c:v>
                </c:pt>
                <c:pt idx="37">
                  <c:v>52.4</c:v>
                </c:pt>
                <c:pt idx="38">
                  <c:v>52.7</c:v>
                </c:pt>
                <c:pt idx="39">
                  <c:v>52.4</c:v>
                </c:pt>
                <c:pt idx="40">
                  <c:v>49.5</c:v>
                </c:pt>
                <c:pt idx="41">
                  <c:v>50.7</c:v>
                </c:pt>
                <c:pt idx="42">
                  <c:v>49.2</c:v>
                </c:pt>
                <c:pt idx="43">
                  <c:v>48</c:v>
                </c:pt>
                <c:pt idx="77">
                  <c:v>50</c:v>
                </c:pt>
                <c:pt idx="78">
                  <c:v>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6-45CD-B55F-3D14CFC27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061248"/>
        <c:axId val="539067136"/>
      </c:lineChart>
      <c:dateAx>
        <c:axId val="539061248"/>
        <c:scaling>
          <c:orientation val="minMax"/>
          <c:min val="40634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067136"/>
        <c:crossesAt val="50"/>
        <c:auto val="1"/>
        <c:lblOffset val="100"/>
        <c:baseTimeUnit val="months"/>
        <c:majorUnit val="1"/>
        <c:majorTimeUnit val="years"/>
      </c:dateAx>
      <c:valAx>
        <c:axId val="539067136"/>
        <c:scaling>
          <c:orientation val="minMax"/>
          <c:max val="55"/>
          <c:min val="45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061248"/>
        <c:crosses val="autoZero"/>
        <c:crossBetween val="between"/>
        <c:majorUnit val="2.5"/>
      </c:valAx>
      <c:valAx>
        <c:axId val="539068672"/>
        <c:scaling>
          <c:orientation val="minMax"/>
          <c:max val="5.000000000000001E-2"/>
          <c:min val="-5.000000000000001E-2"/>
        </c:scaling>
        <c:delete val="0"/>
        <c:axPos val="r"/>
        <c:numFmt formatCode="0.0%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chemeClr val="bg1"/>
                </a:solidFill>
              </a:defRPr>
            </a:pPr>
            <a:endParaRPr lang="en-US"/>
          </a:p>
        </c:txPr>
        <c:crossAx val="539074560"/>
        <c:crosses val="max"/>
        <c:crossBetween val="between"/>
        <c:majorUnit val="1.0000000000000002E-2"/>
      </c:valAx>
      <c:catAx>
        <c:axId val="539074560"/>
        <c:scaling>
          <c:orientation val="minMax"/>
        </c:scaling>
        <c:delete val="1"/>
        <c:axPos val="b"/>
        <c:majorTickMark val="out"/>
        <c:minorTickMark val="none"/>
        <c:tickLblPos val="nextTo"/>
        <c:crossAx val="539068672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1993490479963395"/>
          <c:y val="0.76045636958423679"/>
          <c:w val="0.16016548517119328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Taiwan</a:t>
            </a:r>
            <a:r>
              <a:rPr lang="en-US" baseline="0"/>
              <a:t> </a:t>
            </a:r>
            <a:r>
              <a:rPr lang="en-US"/>
              <a:t>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TW!$B$1</c:f>
              <c:strCache>
                <c:ptCount val="1"/>
                <c:pt idx="0">
                  <c:v>Taiwan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TW!$A$72:$A$285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TW!$B$72:$B$285</c:f>
              <c:numCache>
                <c:formatCode>0.0</c:formatCode>
                <c:ptCount val="214"/>
                <c:pt idx="0">
                  <c:v>48.6</c:v>
                </c:pt>
                <c:pt idx="1">
                  <c:v>51.7</c:v>
                </c:pt>
                <c:pt idx="2">
                  <c:v>51.7</c:v>
                </c:pt>
                <c:pt idx="3">
                  <c:v>54.6</c:v>
                </c:pt>
                <c:pt idx="4">
                  <c:v>55.8</c:v>
                </c:pt>
                <c:pt idx="5">
                  <c:v>55.6</c:v>
                </c:pt>
                <c:pt idx="6">
                  <c:v>58.2</c:v>
                </c:pt>
                <c:pt idx="7">
                  <c:v>54.9</c:v>
                </c:pt>
                <c:pt idx="8">
                  <c:v>49.9</c:v>
                </c:pt>
                <c:pt idx="9">
                  <c:v>46.1</c:v>
                </c:pt>
                <c:pt idx="10">
                  <c:v>45.2</c:v>
                </c:pt>
                <c:pt idx="11">
                  <c:v>44.5</c:v>
                </c:pt>
                <c:pt idx="12">
                  <c:v>48</c:v>
                </c:pt>
                <c:pt idx="13">
                  <c:v>47.1</c:v>
                </c:pt>
                <c:pt idx="14">
                  <c:v>47.1</c:v>
                </c:pt>
                <c:pt idx="15">
                  <c:v>47.1</c:v>
                </c:pt>
                <c:pt idx="16">
                  <c:v>48.9</c:v>
                </c:pt>
                <c:pt idx="17">
                  <c:v>52.7</c:v>
                </c:pt>
                <c:pt idx="18">
                  <c:v>54.1</c:v>
                </c:pt>
                <c:pt idx="19">
                  <c:v>51.2</c:v>
                </c:pt>
                <c:pt idx="20">
                  <c:v>50.5</c:v>
                </c:pt>
                <c:pt idx="21">
                  <c:v>49.2</c:v>
                </c:pt>
                <c:pt idx="22">
                  <c:v>47.5</c:v>
                </c:pt>
                <c:pt idx="23">
                  <c:v>46.1</c:v>
                </c:pt>
                <c:pt idx="24">
                  <c:v>45.6</c:v>
                </c:pt>
                <c:pt idx="25">
                  <c:v>47.8</c:v>
                </c:pt>
                <c:pt idx="26">
                  <c:v>47.4</c:v>
                </c:pt>
                <c:pt idx="27">
                  <c:v>51.5</c:v>
                </c:pt>
                <c:pt idx="28">
                  <c:v>51.5</c:v>
                </c:pt>
                <c:pt idx="29">
                  <c:v>50.2</c:v>
                </c:pt>
                <c:pt idx="30">
                  <c:v>51.2</c:v>
                </c:pt>
                <c:pt idx="31">
                  <c:v>50.7</c:v>
                </c:pt>
                <c:pt idx="32">
                  <c:v>47.1</c:v>
                </c:pt>
                <c:pt idx="33">
                  <c:v>49.5</c:v>
                </c:pt>
                <c:pt idx="34">
                  <c:v>48.6</c:v>
                </c:pt>
                <c:pt idx="35">
                  <c:v>50</c:v>
                </c:pt>
                <c:pt idx="36">
                  <c:v>52</c:v>
                </c:pt>
                <c:pt idx="37">
                  <c:v>53</c:v>
                </c:pt>
                <c:pt idx="38">
                  <c:v>53.4</c:v>
                </c:pt>
                <c:pt idx="39">
                  <c:v>55.5</c:v>
                </c:pt>
                <c:pt idx="40">
                  <c:v>54.7</c:v>
                </c:pt>
                <c:pt idx="41">
                  <c:v>52.7</c:v>
                </c:pt>
                <c:pt idx="42">
                  <c:v>52.3</c:v>
                </c:pt>
                <c:pt idx="43">
                  <c:v>52.4</c:v>
                </c:pt>
                <c:pt idx="44">
                  <c:v>54</c:v>
                </c:pt>
                <c:pt idx="45">
                  <c:v>55.8</c:v>
                </c:pt>
                <c:pt idx="46">
                  <c:v>56.1</c:v>
                </c:pt>
                <c:pt idx="47">
                  <c:v>53.3</c:v>
                </c:pt>
                <c:pt idx="48">
                  <c:v>52</c:v>
                </c:pt>
                <c:pt idx="49">
                  <c:v>51.4</c:v>
                </c:pt>
                <c:pt idx="83">
                  <c:v>56.1</c:v>
                </c:pt>
                <c:pt idx="84">
                  <c:v>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9-406F-8C23-6666E6769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73472"/>
        <c:axId val="539275264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TW!$B$72:$B$285</c:f>
              <c:numCache>
                <c:formatCode>0.0</c:formatCode>
                <c:ptCount val="214"/>
                <c:pt idx="0">
                  <c:v>48.6</c:v>
                </c:pt>
                <c:pt idx="1">
                  <c:v>51.7</c:v>
                </c:pt>
                <c:pt idx="2">
                  <c:v>51.7</c:v>
                </c:pt>
                <c:pt idx="3">
                  <c:v>54.6</c:v>
                </c:pt>
                <c:pt idx="4">
                  <c:v>55.8</c:v>
                </c:pt>
                <c:pt idx="5">
                  <c:v>55.6</c:v>
                </c:pt>
                <c:pt idx="6">
                  <c:v>58.2</c:v>
                </c:pt>
                <c:pt idx="7">
                  <c:v>54.9</c:v>
                </c:pt>
                <c:pt idx="8">
                  <c:v>49.9</c:v>
                </c:pt>
                <c:pt idx="9">
                  <c:v>46.1</c:v>
                </c:pt>
                <c:pt idx="10">
                  <c:v>45.2</c:v>
                </c:pt>
                <c:pt idx="11">
                  <c:v>44.5</c:v>
                </c:pt>
                <c:pt idx="12">
                  <c:v>48</c:v>
                </c:pt>
                <c:pt idx="13">
                  <c:v>47.1</c:v>
                </c:pt>
                <c:pt idx="14">
                  <c:v>47.1</c:v>
                </c:pt>
                <c:pt idx="15">
                  <c:v>47.1</c:v>
                </c:pt>
                <c:pt idx="16">
                  <c:v>48.9</c:v>
                </c:pt>
                <c:pt idx="17">
                  <c:v>52.7</c:v>
                </c:pt>
                <c:pt idx="18">
                  <c:v>54.1</c:v>
                </c:pt>
                <c:pt idx="19">
                  <c:v>51.2</c:v>
                </c:pt>
                <c:pt idx="20">
                  <c:v>50.5</c:v>
                </c:pt>
                <c:pt idx="21">
                  <c:v>49.2</c:v>
                </c:pt>
                <c:pt idx="22">
                  <c:v>47.5</c:v>
                </c:pt>
                <c:pt idx="23">
                  <c:v>46.1</c:v>
                </c:pt>
                <c:pt idx="24">
                  <c:v>45.6</c:v>
                </c:pt>
                <c:pt idx="25">
                  <c:v>47.8</c:v>
                </c:pt>
                <c:pt idx="26">
                  <c:v>47.4</c:v>
                </c:pt>
                <c:pt idx="27">
                  <c:v>51.5</c:v>
                </c:pt>
                <c:pt idx="28">
                  <c:v>51.5</c:v>
                </c:pt>
                <c:pt idx="29">
                  <c:v>50.2</c:v>
                </c:pt>
                <c:pt idx="30">
                  <c:v>51.2</c:v>
                </c:pt>
                <c:pt idx="31">
                  <c:v>50.7</c:v>
                </c:pt>
                <c:pt idx="32">
                  <c:v>47.1</c:v>
                </c:pt>
                <c:pt idx="33">
                  <c:v>49.5</c:v>
                </c:pt>
                <c:pt idx="34">
                  <c:v>48.6</c:v>
                </c:pt>
                <c:pt idx="35">
                  <c:v>50</c:v>
                </c:pt>
                <c:pt idx="36">
                  <c:v>52</c:v>
                </c:pt>
                <c:pt idx="37">
                  <c:v>53</c:v>
                </c:pt>
                <c:pt idx="38">
                  <c:v>53.4</c:v>
                </c:pt>
                <c:pt idx="39">
                  <c:v>55.5</c:v>
                </c:pt>
                <c:pt idx="40">
                  <c:v>54.7</c:v>
                </c:pt>
                <c:pt idx="41">
                  <c:v>52.7</c:v>
                </c:pt>
                <c:pt idx="42">
                  <c:v>52.3</c:v>
                </c:pt>
                <c:pt idx="43">
                  <c:v>52.4</c:v>
                </c:pt>
                <c:pt idx="44">
                  <c:v>54</c:v>
                </c:pt>
                <c:pt idx="45">
                  <c:v>55.8</c:v>
                </c:pt>
                <c:pt idx="46">
                  <c:v>56.1</c:v>
                </c:pt>
                <c:pt idx="47">
                  <c:v>53.3</c:v>
                </c:pt>
                <c:pt idx="48">
                  <c:v>52</c:v>
                </c:pt>
                <c:pt idx="49">
                  <c:v>51.4</c:v>
                </c:pt>
                <c:pt idx="83">
                  <c:v>56.1</c:v>
                </c:pt>
                <c:pt idx="84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9-406F-8C23-6666E6769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273472"/>
        <c:axId val="539275264"/>
      </c:lineChart>
      <c:dateAx>
        <c:axId val="53927347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275264"/>
        <c:crossesAt val="50"/>
        <c:auto val="1"/>
        <c:lblOffset val="100"/>
        <c:baseTimeUnit val="months"/>
        <c:majorUnit val="1"/>
        <c:majorTimeUnit val="years"/>
      </c:dateAx>
      <c:valAx>
        <c:axId val="539275264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273472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335140339669303E-2"/>
          <c:y val="0.72120516185476813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Taiwan</a:t>
            </a:r>
            <a:r>
              <a:rPr lang="en-US" baseline="0"/>
              <a:t> </a:t>
            </a:r>
            <a:r>
              <a:rPr lang="en-US"/>
              <a:t>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TW!$B$1</c:f>
              <c:strCache>
                <c:ptCount val="1"/>
                <c:pt idx="0">
                  <c:v>Taiwan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TW!$A$72:$A$285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TW!$B$72:$B$285</c:f>
              <c:numCache>
                <c:formatCode>0.0</c:formatCode>
                <c:ptCount val="214"/>
                <c:pt idx="0">
                  <c:v>48.6</c:v>
                </c:pt>
                <c:pt idx="1">
                  <c:v>51.7</c:v>
                </c:pt>
                <c:pt idx="2">
                  <c:v>51.7</c:v>
                </c:pt>
                <c:pt idx="3">
                  <c:v>54.6</c:v>
                </c:pt>
                <c:pt idx="4">
                  <c:v>55.8</c:v>
                </c:pt>
                <c:pt idx="5">
                  <c:v>55.6</c:v>
                </c:pt>
                <c:pt idx="6">
                  <c:v>58.2</c:v>
                </c:pt>
                <c:pt idx="7">
                  <c:v>54.9</c:v>
                </c:pt>
                <c:pt idx="8">
                  <c:v>49.9</c:v>
                </c:pt>
                <c:pt idx="9">
                  <c:v>46.1</c:v>
                </c:pt>
                <c:pt idx="10">
                  <c:v>45.2</c:v>
                </c:pt>
                <c:pt idx="11">
                  <c:v>44.5</c:v>
                </c:pt>
                <c:pt idx="12">
                  <c:v>48</c:v>
                </c:pt>
                <c:pt idx="13">
                  <c:v>47.1</c:v>
                </c:pt>
                <c:pt idx="14">
                  <c:v>47.1</c:v>
                </c:pt>
                <c:pt idx="15">
                  <c:v>47.1</c:v>
                </c:pt>
                <c:pt idx="16">
                  <c:v>48.9</c:v>
                </c:pt>
                <c:pt idx="17">
                  <c:v>52.7</c:v>
                </c:pt>
                <c:pt idx="18">
                  <c:v>54.1</c:v>
                </c:pt>
                <c:pt idx="19">
                  <c:v>51.2</c:v>
                </c:pt>
                <c:pt idx="20">
                  <c:v>50.5</c:v>
                </c:pt>
                <c:pt idx="21">
                  <c:v>49.2</c:v>
                </c:pt>
                <c:pt idx="22">
                  <c:v>47.5</c:v>
                </c:pt>
                <c:pt idx="23">
                  <c:v>46.1</c:v>
                </c:pt>
                <c:pt idx="24">
                  <c:v>45.6</c:v>
                </c:pt>
                <c:pt idx="25">
                  <c:v>47.8</c:v>
                </c:pt>
                <c:pt idx="26">
                  <c:v>47.4</c:v>
                </c:pt>
                <c:pt idx="27">
                  <c:v>51.5</c:v>
                </c:pt>
                <c:pt idx="28">
                  <c:v>51.5</c:v>
                </c:pt>
                <c:pt idx="29">
                  <c:v>50.2</c:v>
                </c:pt>
                <c:pt idx="30">
                  <c:v>51.2</c:v>
                </c:pt>
                <c:pt idx="31">
                  <c:v>50.7</c:v>
                </c:pt>
                <c:pt idx="32">
                  <c:v>47.1</c:v>
                </c:pt>
                <c:pt idx="33">
                  <c:v>49.5</c:v>
                </c:pt>
                <c:pt idx="34">
                  <c:v>48.6</c:v>
                </c:pt>
                <c:pt idx="35">
                  <c:v>50</c:v>
                </c:pt>
                <c:pt idx="36">
                  <c:v>52</c:v>
                </c:pt>
                <c:pt idx="37">
                  <c:v>53</c:v>
                </c:pt>
                <c:pt idx="38">
                  <c:v>53.4</c:v>
                </c:pt>
                <c:pt idx="39">
                  <c:v>55.5</c:v>
                </c:pt>
                <c:pt idx="40">
                  <c:v>54.7</c:v>
                </c:pt>
                <c:pt idx="41">
                  <c:v>52.7</c:v>
                </c:pt>
                <c:pt idx="42">
                  <c:v>52.3</c:v>
                </c:pt>
                <c:pt idx="43">
                  <c:v>52.4</c:v>
                </c:pt>
                <c:pt idx="44">
                  <c:v>54</c:v>
                </c:pt>
                <c:pt idx="45">
                  <c:v>55.8</c:v>
                </c:pt>
                <c:pt idx="46">
                  <c:v>56.1</c:v>
                </c:pt>
                <c:pt idx="47">
                  <c:v>53.3</c:v>
                </c:pt>
                <c:pt idx="48">
                  <c:v>52</c:v>
                </c:pt>
                <c:pt idx="49">
                  <c:v>51.4</c:v>
                </c:pt>
                <c:pt idx="83">
                  <c:v>56.1</c:v>
                </c:pt>
                <c:pt idx="84">
                  <c:v>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7-4A0F-B345-04CFD987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91648"/>
        <c:axId val="539293184"/>
      </c:areaChart>
      <c:barChart>
        <c:barDir val="col"/>
        <c:grouping val="clustered"/>
        <c:varyColors val="0"/>
        <c:ser>
          <c:idx val="2"/>
          <c:order val="2"/>
          <c:tx>
            <c:strRef>
              <c:f>TW!$D$1</c:f>
              <c:strCache>
                <c:ptCount val="1"/>
                <c:pt idx="0">
                  <c:v>Taiwan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TW!$D$72:$D$270</c:f>
              <c:numCache>
                <c:formatCode>0.0%</c:formatCode>
                <c:ptCount val="199"/>
                <c:pt idx="2">
                  <c:v>6.0000000000000001E-3</c:v>
                </c:pt>
                <c:pt idx="5">
                  <c:v>2.7E-2</c:v>
                </c:pt>
                <c:pt idx="8">
                  <c:v>5.0000000000000001E-3</c:v>
                </c:pt>
                <c:pt idx="11">
                  <c:v>-5.0000000000000001E-3</c:v>
                </c:pt>
                <c:pt idx="14">
                  <c:v>-1.2999999999999999E-2</c:v>
                </c:pt>
                <c:pt idx="17">
                  <c:v>1.7999999999999999E-2</c:v>
                </c:pt>
                <c:pt idx="20">
                  <c:v>-1E-3</c:v>
                </c:pt>
                <c:pt idx="23">
                  <c:v>0.01</c:v>
                </c:pt>
                <c:pt idx="26">
                  <c:v>1.2E-2</c:v>
                </c:pt>
                <c:pt idx="29">
                  <c:v>-5.0000000000000001E-3</c:v>
                </c:pt>
                <c:pt idx="32">
                  <c:v>8.9999999999999993E-3</c:v>
                </c:pt>
                <c:pt idx="35">
                  <c:v>0</c:v>
                </c:pt>
                <c:pt idx="38">
                  <c:v>1.7999999999999999E-2</c:v>
                </c:pt>
                <c:pt idx="41">
                  <c:v>4.0000000000000001E-3</c:v>
                </c:pt>
                <c:pt idx="44">
                  <c:v>8.6E-3</c:v>
                </c:pt>
                <c:pt idx="47" formatCode="0.00%">
                  <c:v>6.6E-3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7-4A0F-B345-04CFD987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9296512"/>
        <c:axId val="53929472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TW!$B$72:$B$285</c:f>
              <c:numCache>
                <c:formatCode>0.0</c:formatCode>
                <c:ptCount val="214"/>
                <c:pt idx="0">
                  <c:v>48.6</c:v>
                </c:pt>
                <c:pt idx="1">
                  <c:v>51.7</c:v>
                </c:pt>
                <c:pt idx="2">
                  <c:v>51.7</c:v>
                </c:pt>
                <c:pt idx="3">
                  <c:v>54.6</c:v>
                </c:pt>
                <c:pt idx="4">
                  <c:v>55.8</c:v>
                </c:pt>
                <c:pt idx="5">
                  <c:v>55.6</c:v>
                </c:pt>
                <c:pt idx="6">
                  <c:v>58.2</c:v>
                </c:pt>
                <c:pt idx="7">
                  <c:v>54.9</c:v>
                </c:pt>
                <c:pt idx="8">
                  <c:v>49.9</c:v>
                </c:pt>
                <c:pt idx="9">
                  <c:v>46.1</c:v>
                </c:pt>
                <c:pt idx="10">
                  <c:v>45.2</c:v>
                </c:pt>
                <c:pt idx="11">
                  <c:v>44.5</c:v>
                </c:pt>
                <c:pt idx="12">
                  <c:v>48</c:v>
                </c:pt>
                <c:pt idx="13">
                  <c:v>47.1</c:v>
                </c:pt>
                <c:pt idx="14">
                  <c:v>47.1</c:v>
                </c:pt>
                <c:pt idx="15">
                  <c:v>47.1</c:v>
                </c:pt>
                <c:pt idx="16">
                  <c:v>48.9</c:v>
                </c:pt>
                <c:pt idx="17">
                  <c:v>52.7</c:v>
                </c:pt>
                <c:pt idx="18">
                  <c:v>54.1</c:v>
                </c:pt>
                <c:pt idx="19">
                  <c:v>51.2</c:v>
                </c:pt>
                <c:pt idx="20">
                  <c:v>50.5</c:v>
                </c:pt>
                <c:pt idx="21">
                  <c:v>49.2</c:v>
                </c:pt>
                <c:pt idx="22">
                  <c:v>47.5</c:v>
                </c:pt>
                <c:pt idx="23">
                  <c:v>46.1</c:v>
                </c:pt>
                <c:pt idx="24">
                  <c:v>45.6</c:v>
                </c:pt>
                <c:pt idx="25">
                  <c:v>47.8</c:v>
                </c:pt>
                <c:pt idx="26">
                  <c:v>47.4</c:v>
                </c:pt>
                <c:pt idx="27">
                  <c:v>51.5</c:v>
                </c:pt>
                <c:pt idx="28">
                  <c:v>51.5</c:v>
                </c:pt>
                <c:pt idx="29">
                  <c:v>50.2</c:v>
                </c:pt>
                <c:pt idx="30">
                  <c:v>51.2</c:v>
                </c:pt>
                <c:pt idx="31">
                  <c:v>50.7</c:v>
                </c:pt>
                <c:pt idx="32">
                  <c:v>47.1</c:v>
                </c:pt>
                <c:pt idx="33">
                  <c:v>49.5</c:v>
                </c:pt>
                <c:pt idx="34">
                  <c:v>48.6</c:v>
                </c:pt>
                <c:pt idx="35">
                  <c:v>50</c:v>
                </c:pt>
                <c:pt idx="36">
                  <c:v>52</c:v>
                </c:pt>
                <c:pt idx="37">
                  <c:v>53</c:v>
                </c:pt>
                <c:pt idx="38">
                  <c:v>53.4</c:v>
                </c:pt>
                <c:pt idx="39">
                  <c:v>55.5</c:v>
                </c:pt>
                <c:pt idx="40">
                  <c:v>54.7</c:v>
                </c:pt>
                <c:pt idx="41">
                  <c:v>52.7</c:v>
                </c:pt>
                <c:pt idx="42">
                  <c:v>52.3</c:v>
                </c:pt>
                <c:pt idx="43">
                  <c:v>52.4</c:v>
                </c:pt>
                <c:pt idx="44">
                  <c:v>54</c:v>
                </c:pt>
                <c:pt idx="45">
                  <c:v>55.8</c:v>
                </c:pt>
                <c:pt idx="46">
                  <c:v>56.1</c:v>
                </c:pt>
                <c:pt idx="47">
                  <c:v>53.3</c:v>
                </c:pt>
                <c:pt idx="48">
                  <c:v>52</c:v>
                </c:pt>
                <c:pt idx="49">
                  <c:v>51.4</c:v>
                </c:pt>
                <c:pt idx="83">
                  <c:v>56.1</c:v>
                </c:pt>
                <c:pt idx="84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7-4A0F-B345-04CFD987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291648"/>
        <c:axId val="539293184"/>
      </c:lineChart>
      <c:dateAx>
        <c:axId val="53929164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293184"/>
        <c:crossesAt val="50"/>
        <c:auto val="1"/>
        <c:lblOffset val="100"/>
        <c:baseTimeUnit val="months"/>
        <c:majorUnit val="1"/>
        <c:majorTimeUnit val="years"/>
      </c:dateAx>
      <c:valAx>
        <c:axId val="539293184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291648"/>
        <c:crosses val="autoZero"/>
        <c:crossBetween val="between"/>
        <c:majorUnit val="3"/>
      </c:valAx>
      <c:valAx>
        <c:axId val="539294720"/>
        <c:scaling>
          <c:orientation val="minMax"/>
          <c:max val="3.7000000000000005E-2"/>
          <c:min val="-2.5000000000000005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 b="1" baseline="0">
                <a:solidFill>
                  <a:schemeClr val="bg1"/>
                </a:solidFill>
              </a:defRPr>
            </a:pPr>
            <a:endParaRPr lang="en-US"/>
          </a:p>
        </c:txPr>
        <c:crossAx val="539296512"/>
        <c:crosses val="max"/>
        <c:crossBetween val="between"/>
      </c:valAx>
      <c:catAx>
        <c:axId val="539296512"/>
        <c:scaling>
          <c:orientation val="minMax"/>
        </c:scaling>
        <c:delete val="1"/>
        <c:axPos val="b"/>
        <c:majorTickMark val="out"/>
        <c:minorTickMark val="none"/>
        <c:tickLblPos val="nextTo"/>
        <c:crossAx val="53929472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24697398698450365"/>
          <c:y val="0.13847569325573431"/>
          <c:w val="0.18764687070648933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Turkey</a:t>
            </a:r>
            <a:r>
              <a:rPr lang="en-US" baseline="0"/>
              <a:t> </a:t>
            </a:r>
            <a:r>
              <a:rPr lang="en-US"/>
              <a:t>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TUR!$B$71</c:f>
              <c:strCache>
                <c:ptCount val="1"/>
                <c:pt idx="0">
                  <c:v>Turkey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TUR!$A$72:$A$285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TUR!$B$72:$B$285</c:f>
              <c:numCache>
                <c:formatCode>0.0</c:formatCode>
                <c:ptCount val="214"/>
                <c:pt idx="0">
                  <c:v>54.3</c:v>
                </c:pt>
                <c:pt idx="1">
                  <c:v>56.4</c:v>
                </c:pt>
                <c:pt idx="2">
                  <c:v>56.4</c:v>
                </c:pt>
                <c:pt idx="3">
                  <c:v>57.2</c:v>
                </c:pt>
                <c:pt idx="4">
                  <c:v>58.5</c:v>
                </c:pt>
                <c:pt idx="5">
                  <c:v>56.1</c:v>
                </c:pt>
                <c:pt idx="6">
                  <c:v>52.7</c:v>
                </c:pt>
                <c:pt idx="7">
                  <c:v>50.6</c:v>
                </c:pt>
                <c:pt idx="8">
                  <c:v>52.3</c:v>
                </c:pt>
                <c:pt idx="9">
                  <c:v>52.3</c:v>
                </c:pt>
                <c:pt idx="10">
                  <c:v>49.8</c:v>
                </c:pt>
                <c:pt idx="11">
                  <c:v>51.5</c:v>
                </c:pt>
                <c:pt idx="12">
                  <c:v>53.3</c:v>
                </c:pt>
                <c:pt idx="13">
                  <c:v>52.3</c:v>
                </c:pt>
                <c:pt idx="14">
                  <c:v>52</c:v>
                </c:pt>
                <c:pt idx="15">
                  <c:v>51.7</c:v>
                </c:pt>
                <c:pt idx="16">
                  <c:v>49.6</c:v>
                </c:pt>
                <c:pt idx="17">
                  <c:v>49.6</c:v>
                </c:pt>
                <c:pt idx="18">
                  <c:v>52.3</c:v>
                </c:pt>
                <c:pt idx="19">
                  <c:v>50.2</c:v>
                </c:pt>
                <c:pt idx="20">
                  <c:v>51.4</c:v>
                </c:pt>
                <c:pt idx="21">
                  <c:v>49.4</c:v>
                </c:pt>
                <c:pt idx="22">
                  <c:v>50</c:v>
                </c:pt>
                <c:pt idx="23">
                  <c:v>52.2</c:v>
                </c:pt>
                <c:pt idx="24">
                  <c:v>52.5</c:v>
                </c:pt>
                <c:pt idx="25">
                  <c:v>51.6</c:v>
                </c:pt>
                <c:pt idx="26">
                  <c:v>53.1</c:v>
                </c:pt>
                <c:pt idx="27">
                  <c:v>54</c:v>
                </c:pt>
                <c:pt idx="28">
                  <c:v>53.5</c:v>
                </c:pt>
                <c:pt idx="29">
                  <c:v>52.3</c:v>
                </c:pt>
                <c:pt idx="30">
                  <c:v>51.3</c:v>
                </c:pt>
                <c:pt idx="31">
                  <c:v>51.1</c:v>
                </c:pt>
                <c:pt idx="32">
                  <c:v>51.2</c:v>
                </c:pt>
                <c:pt idx="33">
                  <c:v>49.8</c:v>
                </c:pt>
                <c:pt idx="34">
                  <c:v>50.9</c:v>
                </c:pt>
                <c:pt idx="35">
                  <c:v>54</c:v>
                </c:pt>
                <c:pt idx="36">
                  <c:v>53.3</c:v>
                </c:pt>
                <c:pt idx="37">
                  <c:v>55</c:v>
                </c:pt>
                <c:pt idx="38">
                  <c:v>53.5</c:v>
                </c:pt>
                <c:pt idx="39">
                  <c:v>52.7</c:v>
                </c:pt>
                <c:pt idx="40">
                  <c:v>53.4</c:v>
                </c:pt>
                <c:pt idx="41">
                  <c:v>51.7</c:v>
                </c:pt>
                <c:pt idx="42">
                  <c:v>51.1</c:v>
                </c:pt>
                <c:pt idx="43">
                  <c:v>50.1</c:v>
                </c:pt>
                <c:pt idx="44">
                  <c:v>48.8</c:v>
                </c:pt>
                <c:pt idx="45">
                  <c:v>48.453571428571401</c:v>
                </c:pt>
                <c:pt idx="46">
                  <c:v>50</c:v>
                </c:pt>
                <c:pt idx="47">
                  <c:v>50.4</c:v>
                </c:pt>
                <c:pt idx="48">
                  <c:v>51.5</c:v>
                </c:pt>
                <c:pt idx="49">
                  <c:v>52.2</c:v>
                </c:pt>
                <c:pt idx="83">
                  <c:v>49.8</c:v>
                </c:pt>
                <c:pt idx="84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F-4B03-A6AE-1D8B60E1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19296"/>
        <c:axId val="539443968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TUR!$B$72:$B$285</c:f>
              <c:numCache>
                <c:formatCode>0.0</c:formatCode>
                <c:ptCount val="214"/>
                <c:pt idx="0">
                  <c:v>54.3</c:v>
                </c:pt>
                <c:pt idx="1">
                  <c:v>56.4</c:v>
                </c:pt>
                <c:pt idx="2">
                  <c:v>56.4</c:v>
                </c:pt>
                <c:pt idx="3">
                  <c:v>57.2</c:v>
                </c:pt>
                <c:pt idx="4">
                  <c:v>58.5</c:v>
                </c:pt>
                <c:pt idx="5">
                  <c:v>56.1</c:v>
                </c:pt>
                <c:pt idx="6">
                  <c:v>52.7</c:v>
                </c:pt>
                <c:pt idx="7">
                  <c:v>50.6</c:v>
                </c:pt>
                <c:pt idx="8">
                  <c:v>52.3</c:v>
                </c:pt>
                <c:pt idx="9">
                  <c:v>52.3</c:v>
                </c:pt>
                <c:pt idx="10">
                  <c:v>49.8</c:v>
                </c:pt>
                <c:pt idx="11">
                  <c:v>51.5</c:v>
                </c:pt>
                <c:pt idx="12">
                  <c:v>53.3</c:v>
                </c:pt>
                <c:pt idx="13">
                  <c:v>52.3</c:v>
                </c:pt>
                <c:pt idx="14">
                  <c:v>52</c:v>
                </c:pt>
                <c:pt idx="15">
                  <c:v>51.7</c:v>
                </c:pt>
                <c:pt idx="16">
                  <c:v>49.6</c:v>
                </c:pt>
                <c:pt idx="17">
                  <c:v>49.6</c:v>
                </c:pt>
                <c:pt idx="18">
                  <c:v>52.3</c:v>
                </c:pt>
                <c:pt idx="19">
                  <c:v>50.2</c:v>
                </c:pt>
                <c:pt idx="20">
                  <c:v>51.4</c:v>
                </c:pt>
                <c:pt idx="21">
                  <c:v>49.4</c:v>
                </c:pt>
                <c:pt idx="22">
                  <c:v>50</c:v>
                </c:pt>
                <c:pt idx="23">
                  <c:v>52.2</c:v>
                </c:pt>
                <c:pt idx="24">
                  <c:v>52.5</c:v>
                </c:pt>
                <c:pt idx="25">
                  <c:v>51.6</c:v>
                </c:pt>
                <c:pt idx="26">
                  <c:v>53.1</c:v>
                </c:pt>
                <c:pt idx="27">
                  <c:v>54</c:v>
                </c:pt>
                <c:pt idx="28">
                  <c:v>53.5</c:v>
                </c:pt>
                <c:pt idx="29">
                  <c:v>52.3</c:v>
                </c:pt>
                <c:pt idx="30">
                  <c:v>51.3</c:v>
                </c:pt>
                <c:pt idx="31">
                  <c:v>51.1</c:v>
                </c:pt>
                <c:pt idx="32">
                  <c:v>51.2</c:v>
                </c:pt>
                <c:pt idx="33">
                  <c:v>49.8</c:v>
                </c:pt>
                <c:pt idx="34">
                  <c:v>50.9</c:v>
                </c:pt>
                <c:pt idx="35">
                  <c:v>54</c:v>
                </c:pt>
                <c:pt idx="36">
                  <c:v>53.3</c:v>
                </c:pt>
                <c:pt idx="37">
                  <c:v>55</c:v>
                </c:pt>
                <c:pt idx="38">
                  <c:v>53.5</c:v>
                </c:pt>
                <c:pt idx="39">
                  <c:v>52.7</c:v>
                </c:pt>
                <c:pt idx="40">
                  <c:v>53.4</c:v>
                </c:pt>
                <c:pt idx="41">
                  <c:v>51.7</c:v>
                </c:pt>
                <c:pt idx="42">
                  <c:v>51.1</c:v>
                </c:pt>
                <c:pt idx="43">
                  <c:v>50.1</c:v>
                </c:pt>
                <c:pt idx="44">
                  <c:v>48.8</c:v>
                </c:pt>
                <c:pt idx="45">
                  <c:v>48.453571428571401</c:v>
                </c:pt>
                <c:pt idx="46">
                  <c:v>50</c:v>
                </c:pt>
                <c:pt idx="47">
                  <c:v>50.4</c:v>
                </c:pt>
                <c:pt idx="48">
                  <c:v>51.5</c:v>
                </c:pt>
                <c:pt idx="49">
                  <c:v>52.2</c:v>
                </c:pt>
                <c:pt idx="83">
                  <c:v>49.8</c:v>
                </c:pt>
                <c:pt idx="84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F-4B03-A6AE-1D8B60E1D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319296"/>
        <c:axId val="539443968"/>
      </c:lineChart>
      <c:dateAx>
        <c:axId val="53931929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443968"/>
        <c:crossesAt val="50"/>
        <c:auto val="1"/>
        <c:lblOffset val="100"/>
        <c:baseTimeUnit val="months"/>
        <c:majorUnit val="1"/>
        <c:majorTimeUnit val="years"/>
      </c:dateAx>
      <c:valAx>
        <c:axId val="539443968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319296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335140339669303E-2"/>
          <c:y val="0.72120516185476813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Turkey</a:t>
            </a:r>
            <a:r>
              <a:rPr lang="en-US" baseline="0"/>
              <a:t> </a:t>
            </a:r>
            <a:r>
              <a:rPr lang="en-US"/>
              <a:t>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TUR!$B$71</c:f>
              <c:strCache>
                <c:ptCount val="1"/>
                <c:pt idx="0">
                  <c:v>Turkey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TUR!$A$72:$A$285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TUR!$B$72:$B$285</c:f>
              <c:numCache>
                <c:formatCode>0.0</c:formatCode>
                <c:ptCount val="214"/>
                <c:pt idx="0">
                  <c:v>54.3</c:v>
                </c:pt>
                <c:pt idx="1">
                  <c:v>56.4</c:v>
                </c:pt>
                <c:pt idx="2">
                  <c:v>56.4</c:v>
                </c:pt>
                <c:pt idx="3">
                  <c:v>57.2</c:v>
                </c:pt>
                <c:pt idx="4">
                  <c:v>58.5</c:v>
                </c:pt>
                <c:pt idx="5">
                  <c:v>56.1</c:v>
                </c:pt>
                <c:pt idx="6">
                  <c:v>52.7</c:v>
                </c:pt>
                <c:pt idx="7">
                  <c:v>50.6</c:v>
                </c:pt>
                <c:pt idx="8">
                  <c:v>52.3</c:v>
                </c:pt>
                <c:pt idx="9">
                  <c:v>52.3</c:v>
                </c:pt>
                <c:pt idx="10">
                  <c:v>49.8</c:v>
                </c:pt>
                <c:pt idx="11">
                  <c:v>51.5</c:v>
                </c:pt>
                <c:pt idx="12">
                  <c:v>53.3</c:v>
                </c:pt>
                <c:pt idx="13">
                  <c:v>52.3</c:v>
                </c:pt>
                <c:pt idx="14">
                  <c:v>52</c:v>
                </c:pt>
                <c:pt idx="15">
                  <c:v>51.7</c:v>
                </c:pt>
                <c:pt idx="16">
                  <c:v>49.6</c:v>
                </c:pt>
                <c:pt idx="17">
                  <c:v>49.6</c:v>
                </c:pt>
                <c:pt idx="18">
                  <c:v>52.3</c:v>
                </c:pt>
                <c:pt idx="19">
                  <c:v>50.2</c:v>
                </c:pt>
                <c:pt idx="20">
                  <c:v>51.4</c:v>
                </c:pt>
                <c:pt idx="21">
                  <c:v>49.4</c:v>
                </c:pt>
                <c:pt idx="22">
                  <c:v>50</c:v>
                </c:pt>
                <c:pt idx="23">
                  <c:v>52.2</c:v>
                </c:pt>
                <c:pt idx="24">
                  <c:v>52.5</c:v>
                </c:pt>
                <c:pt idx="25">
                  <c:v>51.6</c:v>
                </c:pt>
                <c:pt idx="26">
                  <c:v>53.1</c:v>
                </c:pt>
                <c:pt idx="27">
                  <c:v>54</c:v>
                </c:pt>
                <c:pt idx="28">
                  <c:v>53.5</c:v>
                </c:pt>
                <c:pt idx="29">
                  <c:v>52.3</c:v>
                </c:pt>
                <c:pt idx="30">
                  <c:v>51.3</c:v>
                </c:pt>
                <c:pt idx="31">
                  <c:v>51.1</c:v>
                </c:pt>
                <c:pt idx="32">
                  <c:v>51.2</c:v>
                </c:pt>
                <c:pt idx="33">
                  <c:v>49.8</c:v>
                </c:pt>
                <c:pt idx="34">
                  <c:v>50.9</c:v>
                </c:pt>
                <c:pt idx="35">
                  <c:v>54</c:v>
                </c:pt>
                <c:pt idx="36">
                  <c:v>53.3</c:v>
                </c:pt>
                <c:pt idx="37">
                  <c:v>55</c:v>
                </c:pt>
                <c:pt idx="38">
                  <c:v>53.5</c:v>
                </c:pt>
                <c:pt idx="39">
                  <c:v>52.7</c:v>
                </c:pt>
                <c:pt idx="40">
                  <c:v>53.4</c:v>
                </c:pt>
                <c:pt idx="41">
                  <c:v>51.7</c:v>
                </c:pt>
                <c:pt idx="42">
                  <c:v>51.1</c:v>
                </c:pt>
                <c:pt idx="43">
                  <c:v>50.1</c:v>
                </c:pt>
                <c:pt idx="44">
                  <c:v>48.8</c:v>
                </c:pt>
                <c:pt idx="45">
                  <c:v>48.453571428571401</c:v>
                </c:pt>
                <c:pt idx="46">
                  <c:v>50</c:v>
                </c:pt>
                <c:pt idx="47">
                  <c:v>50.4</c:v>
                </c:pt>
                <c:pt idx="48">
                  <c:v>51.5</c:v>
                </c:pt>
                <c:pt idx="49">
                  <c:v>52.2</c:v>
                </c:pt>
                <c:pt idx="83">
                  <c:v>49.8</c:v>
                </c:pt>
                <c:pt idx="84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9-4A31-B5EB-05E1F81F7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56256"/>
        <c:axId val="539457792"/>
      </c:areaChart>
      <c:barChart>
        <c:barDir val="col"/>
        <c:grouping val="clustered"/>
        <c:varyColors val="0"/>
        <c:ser>
          <c:idx val="2"/>
          <c:order val="2"/>
          <c:tx>
            <c:strRef>
              <c:f>TUR!$D$71</c:f>
              <c:strCache>
                <c:ptCount val="1"/>
                <c:pt idx="0">
                  <c:v>Turkey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TUR!$D$72:$D$270</c:f>
              <c:numCache>
                <c:formatCode>0.0%</c:formatCode>
                <c:ptCount val="199"/>
                <c:pt idx="2">
                  <c:v>4.9000000000000002E-2</c:v>
                </c:pt>
                <c:pt idx="5">
                  <c:v>2.1999999999999999E-2</c:v>
                </c:pt>
                <c:pt idx="8">
                  <c:v>8.0000000000000002E-3</c:v>
                </c:pt>
                <c:pt idx="11">
                  <c:v>1.2999999999999999E-2</c:v>
                </c:pt>
                <c:pt idx="14">
                  <c:v>8.0000000000000002E-3</c:v>
                </c:pt>
                <c:pt idx="17">
                  <c:v>-5.0000000000000001E-3</c:v>
                </c:pt>
                <c:pt idx="20">
                  <c:v>1.4E-2</c:v>
                </c:pt>
                <c:pt idx="23">
                  <c:v>3.0000000000000001E-3</c:v>
                </c:pt>
                <c:pt idx="26">
                  <c:v>3.0000000000000001E-3</c:v>
                </c:pt>
                <c:pt idx="29">
                  <c:v>1.4E-2</c:v>
                </c:pt>
                <c:pt idx="32">
                  <c:v>0.02</c:v>
                </c:pt>
                <c:pt idx="35">
                  <c:v>4.0000000000000001E-3</c:v>
                </c:pt>
                <c:pt idx="38">
                  <c:v>8.9999999999999993E-3</c:v>
                </c:pt>
                <c:pt idx="41">
                  <c:v>1.7000000000000001E-2</c:v>
                </c:pt>
                <c:pt idx="44" formatCode="0.00%">
                  <c:v>-5.0000000000000001E-3</c:v>
                </c:pt>
                <c:pt idx="47" formatCode="0.00%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9-4A31-B5EB-05E1F81F7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9469312"/>
        <c:axId val="539467776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TUR!$B$72:$B$285</c:f>
              <c:numCache>
                <c:formatCode>0.0</c:formatCode>
                <c:ptCount val="214"/>
                <c:pt idx="0">
                  <c:v>54.3</c:v>
                </c:pt>
                <c:pt idx="1">
                  <c:v>56.4</c:v>
                </c:pt>
                <c:pt idx="2">
                  <c:v>56.4</c:v>
                </c:pt>
                <c:pt idx="3">
                  <c:v>57.2</c:v>
                </c:pt>
                <c:pt idx="4">
                  <c:v>58.5</c:v>
                </c:pt>
                <c:pt idx="5">
                  <c:v>56.1</c:v>
                </c:pt>
                <c:pt idx="6">
                  <c:v>52.7</c:v>
                </c:pt>
                <c:pt idx="7">
                  <c:v>50.6</c:v>
                </c:pt>
                <c:pt idx="8">
                  <c:v>52.3</c:v>
                </c:pt>
                <c:pt idx="9">
                  <c:v>52.3</c:v>
                </c:pt>
                <c:pt idx="10">
                  <c:v>49.8</c:v>
                </c:pt>
                <c:pt idx="11">
                  <c:v>51.5</c:v>
                </c:pt>
                <c:pt idx="12">
                  <c:v>53.3</c:v>
                </c:pt>
                <c:pt idx="13">
                  <c:v>52.3</c:v>
                </c:pt>
                <c:pt idx="14">
                  <c:v>52</c:v>
                </c:pt>
                <c:pt idx="15">
                  <c:v>51.7</c:v>
                </c:pt>
                <c:pt idx="16">
                  <c:v>49.6</c:v>
                </c:pt>
                <c:pt idx="17">
                  <c:v>49.6</c:v>
                </c:pt>
                <c:pt idx="18">
                  <c:v>52.3</c:v>
                </c:pt>
                <c:pt idx="19">
                  <c:v>50.2</c:v>
                </c:pt>
                <c:pt idx="20">
                  <c:v>51.4</c:v>
                </c:pt>
                <c:pt idx="21">
                  <c:v>49.4</c:v>
                </c:pt>
                <c:pt idx="22">
                  <c:v>50</c:v>
                </c:pt>
                <c:pt idx="23">
                  <c:v>52.2</c:v>
                </c:pt>
                <c:pt idx="24">
                  <c:v>52.5</c:v>
                </c:pt>
                <c:pt idx="25">
                  <c:v>51.6</c:v>
                </c:pt>
                <c:pt idx="26">
                  <c:v>53.1</c:v>
                </c:pt>
                <c:pt idx="27">
                  <c:v>54</c:v>
                </c:pt>
                <c:pt idx="28">
                  <c:v>53.5</c:v>
                </c:pt>
                <c:pt idx="29">
                  <c:v>52.3</c:v>
                </c:pt>
                <c:pt idx="30">
                  <c:v>51.3</c:v>
                </c:pt>
                <c:pt idx="31">
                  <c:v>51.1</c:v>
                </c:pt>
                <c:pt idx="32">
                  <c:v>51.2</c:v>
                </c:pt>
                <c:pt idx="33">
                  <c:v>49.8</c:v>
                </c:pt>
                <c:pt idx="34">
                  <c:v>50.9</c:v>
                </c:pt>
                <c:pt idx="35">
                  <c:v>54</c:v>
                </c:pt>
                <c:pt idx="36">
                  <c:v>53.3</c:v>
                </c:pt>
                <c:pt idx="37">
                  <c:v>55</c:v>
                </c:pt>
                <c:pt idx="38">
                  <c:v>53.5</c:v>
                </c:pt>
                <c:pt idx="39">
                  <c:v>52.7</c:v>
                </c:pt>
                <c:pt idx="40">
                  <c:v>53.4</c:v>
                </c:pt>
                <c:pt idx="41">
                  <c:v>51.7</c:v>
                </c:pt>
                <c:pt idx="42">
                  <c:v>51.1</c:v>
                </c:pt>
                <c:pt idx="43">
                  <c:v>50.1</c:v>
                </c:pt>
                <c:pt idx="44">
                  <c:v>48.8</c:v>
                </c:pt>
                <c:pt idx="45">
                  <c:v>48.453571428571401</c:v>
                </c:pt>
                <c:pt idx="46">
                  <c:v>50</c:v>
                </c:pt>
                <c:pt idx="47">
                  <c:v>50.4</c:v>
                </c:pt>
                <c:pt idx="48">
                  <c:v>51.5</c:v>
                </c:pt>
                <c:pt idx="49">
                  <c:v>52.2</c:v>
                </c:pt>
                <c:pt idx="83">
                  <c:v>49.8</c:v>
                </c:pt>
                <c:pt idx="84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A9-4A31-B5EB-05E1F81F7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456256"/>
        <c:axId val="539457792"/>
      </c:lineChart>
      <c:dateAx>
        <c:axId val="53945625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457792"/>
        <c:crossesAt val="50"/>
        <c:auto val="1"/>
        <c:lblOffset val="100"/>
        <c:baseTimeUnit val="months"/>
        <c:majorUnit val="1"/>
        <c:majorTimeUnit val="years"/>
      </c:dateAx>
      <c:valAx>
        <c:axId val="539457792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456256"/>
        <c:crosses val="autoZero"/>
        <c:crossBetween val="between"/>
        <c:majorUnit val="3"/>
      </c:valAx>
      <c:valAx>
        <c:axId val="539467776"/>
        <c:scaling>
          <c:orientation val="minMax"/>
          <c:max val="7.5000000000000011E-2"/>
          <c:min val="-5.000000000000001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39469312"/>
        <c:crosses val="max"/>
        <c:crossBetween val="between"/>
        <c:majorUnit val="2.0000000000000004E-2"/>
      </c:valAx>
      <c:catAx>
        <c:axId val="539469312"/>
        <c:scaling>
          <c:orientation val="minMax"/>
        </c:scaling>
        <c:delete val="1"/>
        <c:axPos val="b"/>
        <c:majorTickMark val="out"/>
        <c:minorTickMark val="none"/>
        <c:tickLblPos val="nextTo"/>
        <c:crossAx val="539467776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335140339669303E-2"/>
          <c:y val="0.72120516185476813"/>
          <c:w val="0.18524291627327802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Turkey</a:t>
            </a:r>
            <a:r>
              <a:rPr lang="en-US" baseline="0"/>
              <a:t> </a:t>
            </a:r>
            <a:r>
              <a:rPr lang="en-US"/>
              <a:t>Manufacturing PMI</a:t>
            </a:r>
            <a:r>
              <a:rPr lang="en-US" baseline="0"/>
              <a:t> 2011-2014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TUR!$B$71</c:f>
              <c:strCache>
                <c:ptCount val="1"/>
                <c:pt idx="0">
                  <c:v>Turkey PMI</c:v>
                </c:pt>
              </c:strCache>
            </c:strRef>
          </c:tx>
          <c:spPr>
            <a:solidFill>
              <a:srgbClr val="00B050"/>
            </a:solidFill>
            <a:ln w="19050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TUR!$A$72:$A$285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TUR!$B$72:$B$285</c:f>
              <c:numCache>
                <c:formatCode>0.0</c:formatCode>
                <c:ptCount val="214"/>
                <c:pt idx="0">
                  <c:v>54.3</c:v>
                </c:pt>
                <c:pt idx="1">
                  <c:v>56.4</c:v>
                </c:pt>
                <c:pt idx="2">
                  <c:v>56.4</c:v>
                </c:pt>
                <c:pt idx="3">
                  <c:v>57.2</c:v>
                </c:pt>
                <c:pt idx="4">
                  <c:v>58.5</c:v>
                </c:pt>
                <c:pt idx="5">
                  <c:v>56.1</c:v>
                </c:pt>
                <c:pt idx="6">
                  <c:v>52.7</c:v>
                </c:pt>
                <c:pt idx="7">
                  <c:v>50.6</c:v>
                </c:pt>
                <c:pt idx="8">
                  <c:v>52.3</c:v>
                </c:pt>
                <c:pt idx="9">
                  <c:v>52.3</c:v>
                </c:pt>
                <c:pt idx="10">
                  <c:v>49.8</c:v>
                </c:pt>
                <c:pt idx="11">
                  <c:v>51.5</c:v>
                </c:pt>
                <c:pt idx="12">
                  <c:v>53.3</c:v>
                </c:pt>
                <c:pt idx="13">
                  <c:v>52.3</c:v>
                </c:pt>
                <c:pt idx="14">
                  <c:v>52</c:v>
                </c:pt>
                <c:pt idx="15">
                  <c:v>51.7</c:v>
                </c:pt>
                <c:pt idx="16">
                  <c:v>49.6</c:v>
                </c:pt>
                <c:pt idx="17">
                  <c:v>49.6</c:v>
                </c:pt>
                <c:pt idx="18">
                  <c:v>52.3</c:v>
                </c:pt>
                <c:pt idx="19">
                  <c:v>50.2</c:v>
                </c:pt>
                <c:pt idx="20">
                  <c:v>51.4</c:v>
                </c:pt>
                <c:pt idx="21">
                  <c:v>49.4</c:v>
                </c:pt>
                <c:pt idx="22">
                  <c:v>50</c:v>
                </c:pt>
                <c:pt idx="23">
                  <c:v>52.2</c:v>
                </c:pt>
                <c:pt idx="24">
                  <c:v>52.5</c:v>
                </c:pt>
                <c:pt idx="25">
                  <c:v>51.6</c:v>
                </c:pt>
                <c:pt idx="26">
                  <c:v>53.1</c:v>
                </c:pt>
                <c:pt idx="27">
                  <c:v>54</c:v>
                </c:pt>
                <c:pt idx="28">
                  <c:v>53.5</c:v>
                </c:pt>
                <c:pt idx="29">
                  <c:v>52.3</c:v>
                </c:pt>
                <c:pt idx="30">
                  <c:v>51.3</c:v>
                </c:pt>
                <c:pt idx="31">
                  <c:v>51.1</c:v>
                </c:pt>
                <c:pt idx="32">
                  <c:v>51.2</c:v>
                </c:pt>
                <c:pt idx="33">
                  <c:v>49.8</c:v>
                </c:pt>
                <c:pt idx="34">
                  <c:v>50.9</c:v>
                </c:pt>
                <c:pt idx="35">
                  <c:v>54</c:v>
                </c:pt>
                <c:pt idx="36">
                  <c:v>53.3</c:v>
                </c:pt>
                <c:pt idx="37">
                  <c:v>55</c:v>
                </c:pt>
                <c:pt idx="38">
                  <c:v>53.5</c:v>
                </c:pt>
                <c:pt idx="39">
                  <c:v>52.7</c:v>
                </c:pt>
                <c:pt idx="40">
                  <c:v>53.4</c:v>
                </c:pt>
                <c:pt idx="41">
                  <c:v>51.7</c:v>
                </c:pt>
                <c:pt idx="42">
                  <c:v>51.1</c:v>
                </c:pt>
                <c:pt idx="43">
                  <c:v>50.1</c:v>
                </c:pt>
                <c:pt idx="44">
                  <c:v>48.8</c:v>
                </c:pt>
                <c:pt idx="45">
                  <c:v>48.453571428571401</c:v>
                </c:pt>
                <c:pt idx="46">
                  <c:v>50</c:v>
                </c:pt>
                <c:pt idx="47">
                  <c:v>50.4</c:v>
                </c:pt>
                <c:pt idx="48">
                  <c:v>51.5</c:v>
                </c:pt>
                <c:pt idx="49">
                  <c:v>52.2</c:v>
                </c:pt>
                <c:pt idx="83">
                  <c:v>49.8</c:v>
                </c:pt>
                <c:pt idx="84">
                  <c:v>47.1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1905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8E-4FF5-85CF-264C6A7C3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axId val="539490560"/>
        <c:axId val="539512832"/>
      </c:barChart>
      <c:dateAx>
        <c:axId val="539490560"/>
        <c:scaling>
          <c:orientation val="minMax"/>
          <c:min val="40575"/>
        </c:scaling>
        <c:delete val="0"/>
        <c:axPos val="b"/>
        <c:numFmt formatCode="mmm\-yy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512832"/>
        <c:crossesAt val="50"/>
        <c:auto val="1"/>
        <c:lblOffset val="100"/>
        <c:baseTimeUnit val="months"/>
        <c:majorUnit val="2"/>
        <c:majorTimeUnit val="months"/>
      </c:dateAx>
      <c:valAx>
        <c:axId val="539512832"/>
        <c:scaling>
          <c:orientation val="minMax"/>
          <c:max val="60"/>
          <c:min val="42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9490560"/>
        <c:crosses val="autoZero"/>
        <c:crossBetween val="between"/>
        <c:majorUnit val="1"/>
      </c:valAx>
      <c:spPr>
        <a:solidFill>
          <a:sysClr val="windowText" lastClr="000000"/>
        </a:solidFill>
      </c:spPr>
    </c:plotArea>
    <c:legend>
      <c:legendPos val="r"/>
      <c:layout>
        <c:manualLayout>
          <c:xMode val="edge"/>
          <c:yMode val="edge"/>
          <c:x val="8.335140339669303E-2"/>
          <c:y val="0.72120516185476813"/>
          <c:w val="0.144797081120603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 baseline="0"/>
              <a:t>Czech Rep. </a:t>
            </a:r>
            <a:r>
              <a:rPr lang="en-US"/>
              <a:t>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CZ!$B$71</c:f>
              <c:strCache>
                <c:ptCount val="1"/>
                <c:pt idx="0">
                  <c:v>Czech Manufacturing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CZ!$A$72:$A$285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CZ!$B$72:$B$285</c:f>
              <c:numCache>
                <c:formatCode>0.0</c:formatCode>
                <c:ptCount val="214"/>
                <c:pt idx="0">
                  <c:v>57.2</c:v>
                </c:pt>
                <c:pt idx="1">
                  <c:v>57.3</c:v>
                </c:pt>
                <c:pt idx="2">
                  <c:v>58.4</c:v>
                </c:pt>
                <c:pt idx="3">
                  <c:v>60.5</c:v>
                </c:pt>
                <c:pt idx="4">
                  <c:v>59.8</c:v>
                </c:pt>
                <c:pt idx="5">
                  <c:v>58.6</c:v>
                </c:pt>
                <c:pt idx="6">
                  <c:v>59</c:v>
                </c:pt>
                <c:pt idx="7">
                  <c:v>55.9</c:v>
                </c:pt>
                <c:pt idx="8">
                  <c:v>55.1</c:v>
                </c:pt>
                <c:pt idx="9">
                  <c:v>53.4</c:v>
                </c:pt>
                <c:pt idx="10">
                  <c:v>53.4</c:v>
                </c:pt>
                <c:pt idx="11">
                  <c:v>52.3</c:v>
                </c:pt>
                <c:pt idx="12">
                  <c:v>51.7</c:v>
                </c:pt>
                <c:pt idx="13">
                  <c:v>48.6</c:v>
                </c:pt>
                <c:pt idx="14">
                  <c:v>49.2</c:v>
                </c:pt>
                <c:pt idx="15">
                  <c:v>48.8</c:v>
                </c:pt>
                <c:pt idx="16">
                  <c:v>50.5</c:v>
                </c:pt>
                <c:pt idx="17">
                  <c:v>52.1</c:v>
                </c:pt>
                <c:pt idx="18">
                  <c:v>49.7</c:v>
                </c:pt>
                <c:pt idx="19">
                  <c:v>47.6</c:v>
                </c:pt>
                <c:pt idx="20">
                  <c:v>49.4</c:v>
                </c:pt>
                <c:pt idx="21">
                  <c:v>49.5</c:v>
                </c:pt>
                <c:pt idx="22">
                  <c:v>48.7</c:v>
                </c:pt>
                <c:pt idx="23">
                  <c:v>48</c:v>
                </c:pt>
                <c:pt idx="24">
                  <c:v>47.2</c:v>
                </c:pt>
                <c:pt idx="25">
                  <c:v>48.2</c:v>
                </c:pt>
                <c:pt idx="26">
                  <c:v>46</c:v>
                </c:pt>
                <c:pt idx="27">
                  <c:v>48.3</c:v>
                </c:pt>
                <c:pt idx="28">
                  <c:v>49.9</c:v>
                </c:pt>
                <c:pt idx="29">
                  <c:v>49.1</c:v>
                </c:pt>
                <c:pt idx="30">
                  <c:v>49.5</c:v>
                </c:pt>
                <c:pt idx="31">
                  <c:v>50.1</c:v>
                </c:pt>
                <c:pt idx="32">
                  <c:v>51</c:v>
                </c:pt>
                <c:pt idx="33">
                  <c:v>52</c:v>
                </c:pt>
                <c:pt idx="34">
                  <c:v>53.9</c:v>
                </c:pt>
                <c:pt idx="35">
                  <c:v>53.4</c:v>
                </c:pt>
                <c:pt idx="36">
                  <c:v>54.5</c:v>
                </c:pt>
                <c:pt idx="37">
                  <c:v>55.4</c:v>
                </c:pt>
                <c:pt idx="38">
                  <c:v>54.9</c:v>
                </c:pt>
                <c:pt idx="39">
                  <c:v>55.9</c:v>
                </c:pt>
                <c:pt idx="40">
                  <c:v>56.5</c:v>
                </c:pt>
                <c:pt idx="41">
                  <c:v>55.5</c:v>
                </c:pt>
                <c:pt idx="42">
                  <c:v>56.5</c:v>
                </c:pt>
                <c:pt idx="43">
                  <c:v>57.3</c:v>
                </c:pt>
                <c:pt idx="44">
                  <c:v>54.7</c:v>
                </c:pt>
                <c:pt idx="45">
                  <c:v>56.463888888888903</c:v>
                </c:pt>
                <c:pt idx="46">
                  <c:v>54.3</c:v>
                </c:pt>
                <c:pt idx="47">
                  <c:v>55.6</c:v>
                </c:pt>
                <c:pt idx="48">
                  <c:v>54.4</c:v>
                </c:pt>
                <c:pt idx="49">
                  <c:v>55.6</c:v>
                </c:pt>
                <c:pt idx="83">
                  <c:v>52.2</c:v>
                </c:pt>
                <c:pt idx="84">
                  <c:v>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A-44A5-B5C0-2F9D6F3AD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30848"/>
        <c:axId val="540032384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CZ!$B$72:$B$285</c:f>
              <c:numCache>
                <c:formatCode>0.0</c:formatCode>
                <c:ptCount val="214"/>
                <c:pt idx="0">
                  <c:v>57.2</c:v>
                </c:pt>
                <c:pt idx="1">
                  <c:v>57.3</c:v>
                </c:pt>
                <c:pt idx="2">
                  <c:v>58.4</c:v>
                </c:pt>
                <c:pt idx="3">
                  <c:v>60.5</c:v>
                </c:pt>
                <c:pt idx="4">
                  <c:v>59.8</c:v>
                </c:pt>
                <c:pt idx="5">
                  <c:v>58.6</c:v>
                </c:pt>
                <c:pt idx="6">
                  <c:v>59</c:v>
                </c:pt>
                <c:pt idx="7">
                  <c:v>55.9</c:v>
                </c:pt>
                <c:pt idx="8">
                  <c:v>55.1</c:v>
                </c:pt>
                <c:pt idx="9">
                  <c:v>53.4</c:v>
                </c:pt>
                <c:pt idx="10">
                  <c:v>53.4</c:v>
                </c:pt>
                <c:pt idx="11">
                  <c:v>52.3</c:v>
                </c:pt>
                <c:pt idx="12">
                  <c:v>51.7</c:v>
                </c:pt>
                <c:pt idx="13">
                  <c:v>48.6</c:v>
                </c:pt>
                <c:pt idx="14">
                  <c:v>49.2</c:v>
                </c:pt>
                <c:pt idx="15">
                  <c:v>48.8</c:v>
                </c:pt>
                <c:pt idx="16">
                  <c:v>50.5</c:v>
                </c:pt>
                <c:pt idx="17">
                  <c:v>52.1</c:v>
                </c:pt>
                <c:pt idx="18">
                  <c:v>49.7</c:v>
                </c:pt>
                <c:pt idx="19">
                  <c:v>47.6</c:v>
                </c:pt>
                <c:pt idx="20">
                  <c:v>49.4</c:v>
                </c:pt>
                <c:pt idx="21">
                  <c:v>49.5</c:v>
                </c:pt>
                <c:pt idx="22">
                  <c:v>48.7</c:v>
                </c:pt>
                <c:pt idx="23">
                  <c:v>48</c:v>
                </c:pt>
                <c:pt idx="24">
                  <c:v>47.2</c:v>
                </c:pt>
                <c:pt idx="25">
                  <c:v>48.2</c:v>
                </c:pt>
                <c:pt idx="26">
                  <c:v>46</c:v>
                </c:pt>
                <c:pt idx="27">
                  <c:v>48.3</c:v>
                </c:pt>
                <c:pt idx="28">
                  <c:v>49.9</c:v>
                </c:pt>
                <c:pt idx="29">
                  <c:v>49.1</c:v>
                </c:pt>
                <c:pt idx="30">
                  <c:v>49.5</c:v>
                </c:pt>
                <c:pt idx="31">
                  <c:v>50.1</c:v>
                </c:pt>
                <c:pt idx="32">
                  <c:v>51</c:v>
                </c:pt>
                <c:pt idx="33">
                  <c:v>52</c:v>
                </c:pt>
                <c:pt idx="34">
                  <c:v>53.9</c:v>
                </c:pt>
                <c:pt idx="35">
                  <c:v>53.4</c:v>
                </c:pt>
                <c:pt idx="36">
                  <c:v>54.5</c:v>
                </c:pt>
                <c:pt idx="37">
                  <c:v>55.4</c:v>
                </c:pt>
                <c:pt idx="38">
                  <c:v>54.9</c:v>
                </c:pt>
                <c:pt idx="39">
                  <c:v>55.9</c:v>
                </c:pt>
                <c:pt idx="40">
                  <c:v>56.5</c:v>
                </c:pt>
                <c:pt idx="41">
                  <c:v>55.5</c:v>
                </c:pt>
                <c:pt idx="42">
                  <c:v>56.5</c:v>
                </c:pt>
                <c:pt idx="43">
                  <c:v>57.3</c:v>
                </c:pt>
                <c:pt idx="44">
                  <c:v>54.7</c:v>
                </c:pt>
                <c:pt idx="45">
                  <c:v>56.463888888888903</c:v>
                </c:pt>
                <c:pt idx="46">
                  <c:v>54.3</c:v>
                </c:pt>
                <c:pt idx="47">
                  <c:v>55.6</c:v>
                </c:pt>
                <c:pt idx="48">
                  <c:v>54.4</c:v>
                </c:pt>
                <c:pt idx="49">
                  <c:v>55.6</c:v>
                </c:pt>
                <c:pt idx="83">
                  <c:v>52.2</c:v>
                </c:pt>
                <c:pt idx="84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0A-44A5-B5C0-2F9D6F3AD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030848"/>
        <c:axId val="540032384"/>
      </c:lineChart>
      <c:dateAx>
        <c:axId val="54003084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032384"/>
        <c:crossesAt val="50"/>
        <c:auto val="1"/>
        <c:lblOffset val="100"/>
        <c:baseTimeUnit val="months"/>
        <c:majorUnit val="1"/>
        <c:majorTimeUnit val="years"/>
      </c:dateAx>
      <c:valAx>
        <c:axId val="540032384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030848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335140339669303E-2"/>
          <c:y val="0.72120516185476813"/>
          <c:w val="0.23792339879410199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 baseline="0"/>
              <a:t>Czech Rep. </a:t>
            </a:r>
            <a:r>
              <a:rPr lang="en-US"/>
              <a:t>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CZ!$B$71</c:f>
              <c:strCache>
                <c:ptCount val="1"/>
                <c:pt idx="0">
                  <c:v>Czech Manufacturing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CZ!$A$72:$A$285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CZ!$B$72:$B$285</c:f>
              <c:numCache>
                <c:formatCode>0.0</c:formatCode>
                <c:ptCount val="214"/>
                <c:pt idx="0">
                  <c:v>57.2</c:v>
                </c:pt>
                <c:pt idx="1">
                  <c:v>57.3</c:v>
                </c:pt>
                <c:pt idx="2">
                  <c:v>58.4</c:v>
                </c:pt>
                <c:pt idx="3">
                  <c:v>60.5</c:v>
                </c:pt>
                <c:pt idx="4">
                  <c:v>59.8</c:v>
                </c:pt>
                <c:pt idx="5">
                  <c:v>58.6</c:v>
                </c:pt>
                <c:pt idx="6">
                  <c:v>59</c:v>
                </c:pt>
                <c:pt idx="7">
                  <c:v>55.9</c:v>
                </c:pt>
                <c:pt idx="8">
                  <c:v>55.1</c:v>
                </c:pt>
                <c:pt idx="9">
                  <c:v>53.4</c:v>
                </c:pt>
                <c:pt idx="10">
                  <c:v>53.4</c:v>
                </c:pt>
                <c:pt idx="11">
                  <c:v>52.3</c:v>
                </c:pt>
                <c:pt idx="12">
                  <c:v>51.7</c:v>
                </c:pt>
                <c:pt idx="13">
                  <c:v>48.6</c:v>
                </c:pt>
                <c:pt idx="14">
                  <c:v>49.2</c:v>
                </c:pt>
                <c:pt idx="15">
                  <c:v>48.8</c:v>
                </c:pt>
                <c:pt idx="16">
                  <c:v>50.5</c:v>
                </c:pt>
                <c:pt idx="17">
                  <c:v>52.1</c:v>
                </c:pt>
                <c:pt idx="18">
                  <c:v>49.7</c:v>
                </c:pt>
                <c:pt idx="19">
                  <c:v>47.6</c:v>
                </c:pt>
                <c:pt idx="20">
                  <c:v>49.4</c:v>
                </c:pt>
                <c:pt idx="21">
                  <c:v>49.5</c:v>
                </c:pt>
                <c:pt idx="22">
                  <c:v>48.7</c:v>
                </c:pt>
                <c:pt idx="23">
                  <c:v>48</c:v>
                </c:pt>
                <c:pt idx="24">
                  <c:v>47.2</c:v>
                </c:pt>
                <c:pt idx="25">
                  <c:v>48.2</c:v>
                </c:pt>
                <c:pt idx="26">
                  <c:v>46</c:v>
                </c:pt>
                <c:pt idx="27">
                  <c:v>48.3</c:v>
                </c:pt>
                <c:pt idx="28">
                  <c:v>49.9</c:v>
                </c:pt>
                <c:pt idx="29">
                  <c:v>49.1</c:v>
                </c:pt>
                <c:pt idx="30">
                  <c:v>49.5</c:v>
                </c:pt>
                <c:pt idx="31">
                  <c:v>50.1</c:v>
                </c:pt>
                <c:pt idx="32">
                  <c:v>51</c:v>
                </c:pt>
                <c:pt idx="33">
                  <c:v>52</c:v>
                </c:pt>
                <c:pt idx="34">
                  <c:v>53.9</c:v>
                </c:pt>
                <c:pt idx="35">
                  <c:v>53.4</c:v>
                </c:pt>
                <c:pt idx="36">
                  <c:v>54.5</c:v>
                </c:pt>
                <c:pt idx="37">
                  <c:v>55.4</c:v>
                </c:pt>
                <c:pt idx="38">
                  <c:v>54.9</c:v>
                </c:pt>
                <c:pt idx="39">
                  <c:v>55.9</c:v>
                </c:pt>
                <c:pt idx="40">
                  <c:v>56.5</c:v>
                </c:pt>
                <c:pt idx="41">
                  <c:v>55.5</c:v>
                </c:pt>
                <c:pt idx="42">
                  <c:v>56.5</c:v>
                </c:pt>
                <c:pt idx="43">
                  <c:v>57.3</c:v>
                </c:pt>
                <c:pt idx="44">
                  <c:v>54.7</c:v>
                </c:pt>
                <c:pt idx="45">
                  <c:v>56.463888888888903</c:v>
                </c:pt>
                <c:pt idx="46">
                  <c:v>54.3</c:v>
                </c:pt>
                <c:pt idx="47">
                  <c:v>55.6</c:v>
                </c:pt>
                <c:pt idx="48">
                  <c:v>54.4</c:v>
                </c:pt>
                <c:pt idx="49">
                  <c:v>55.6</c:v>
                </c:pt>
                <c:pt idx="83">
                  <c:v>52.2</c:v>
                </c:pt>
                <c:pt idx="84">
                  <c:v>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9-4FBF-A255-E282E4EA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224896"/>
        <c:axId val="540234880"/>
      </c:areaChart>
      <c:barChart>
        <c:barDir val="col"/>
        <c:grouping val="clustered"/>
        <c:varyColors val="0"/>
        <c:ser>
          <c:idx val="2"/>
          <c:order val="2"/>
          <c:tx>
            <c:strRef>
              <c:f>CZ!$D$71</c:f>
              <c:strCache>
                <c:ptCount val="1"/>
                <c:pt idx="0">
                  <c:v>Czech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CZ!$D$72:$D$270</c:f>
              <c:numCache>
                <c:formatCode>0.0%</c:formatCode>
                <c:ptCount val="199"/>
                <c:pt idx="2">
                  <c:v>5.0000000000000001E-3</c:v>
                </c:pt>
                <c:pt idx="5">
                  <c:v>8.9999999999999993E-3</c:v>
                </c:pt>
                <c:pt idx="8">
                  <c:v>1E-3</c:v>
                </c:pt>
                <c:pt idx="11">
                  <c:v>-1E-3</c:v>
                </c:pt>
                <c:pt idx="14">
                  <c:v>-1E-3</c:v>
                </c:pt>
                <c:pt idx="17">
                  <c:v>-5.0000000000000001E-3</c:v>
                </c:pt>
                <c:pt idx="20">
                  <c:v>-5.0000000000000001E-3</c:v>
                </c:pt>
                <c:pt idx="23">
                  <c:v>-4.0000000000000001E-3</c:v>
                </c:pt>
                <c:pt idx="26">
                  <c:v>-2E-3</c:v>
                </c:pt>
                <c:pt idx="29">
                  <c:v>-1.2999999999999999E-2</c:v>
                </c:pt>
                <c:pt idx="32">
                  <c:v>3.0000000000000001E-3</c:v>
                </c:pt>
                <c:pt idx="35">
                  <c:v>3.0000000000000001E-3</c:v>
                </c:pt>
                <c:pt idx="38">
                  <c:v>1.7999999999999999E-2</c:v>
                </c:pt>
                <c:pt idx="41">
                  <c:v>8.0000000000000002E-3</c:v>
                </c:pt>
                <c:pt idx="44">
                  <c:v>3.0000000000000001E-3</c:v>
                </c:pt>
                <c:pt idx="47" formatCode="0.00%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9-4FBF-A255-E282E4EA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0246400"/>
        <c:axId val="540236416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CZ!$B$72:$B$285</c:f>
              <c:numCache>
                <c:formatCode>0.0</c:formatCode>
                <c:ptCount val="214"/>
                <c:pt idx="0">
                  <c:v>57.2</c:v>
                </c:pt>
                <c:pt idx="1">
                  <c:v>57.3</c:v>
                </c:pt>
                <c:pt idx="2">
                  <c:v>58.4</c:v>
                </c:pt>
                <c:pt idx="3">
                  <c:v>60.5</c:v>
                </c:pt>
                <c:pt idx="4">
                  <c:v>59.8</c:v>
                </c:pt>
                <c:pt idx="5">
                  <c:v>58.6</c:v>
                </c:pt>
                <c:pt idx="6">
                  <c:v>59</c:v>
                </c:pt>
                <c:pt idx="7">
                  <c:v>55.9</c:v>
                </c:pt>
                <c:pt idx="8">
                  <c:v>55.1</c:v>
                </c:pt>
                <c:pt idx="9">
                  <c:v>53.4</c:v>
                </c:pt>
                <c:pt idx="10">
                  <c:v>53.4</c:v>
                </c:pt>
                <c:pt idx="11">
                  <c:v>52.3</c:v>
                </c:pt>
                <c:pt idx="12">
                  <c:v>51.7</c:v>
                </c:pt>
                <c:pt idx="13">
                  <c:v>48.6</c:v>
                </c:pt>
                <c:pt idx="14">
                  <c:v>49.2</c:v>
                </c:pt>
                <c:pt idx="15">
                  <c:v>48.8</c:v>
                </c:pt>
                <c:pt idx="16">
                  <c:v>50.5</c:v>
                </c:pt>
                <c:pt idx="17">
                  <c:v>52.1</c:v>
                </c:pt>
                <c:pt idx="18">
                  <c:v>49.7</c:v>
                </c:pt>
                <c:pt idx="19">
                  <c:v>47.6</c:v>
                </c:pt>
                <c:pt idx="20">
                  <c:v>49.4</c:v>
                </c:pt>
                <c:pt idx="21">
                  <c:v>49.5</c:v>
                </c:pt>
                <c:pt idx="22">
                  <c:v>48.7</c:v>
                </c:pt>
                <c:pt idx="23">
                  <c:v>48</c:v>
                </c:pt>
                <c:pt idx="24">
                  <c:v>47.2</c:v>
                </c:pt>
                <c:pt idx="25">
                  <c:v>48.2</c:v>
                </c:pt>
                <c:pt idx="26">
                  <c:v>46</c:v>
                </c:pt>
                <c:pt idx="27">
                  <c:v>48.3</c:v>
                </c:pt>
                <c:pt idx="28">
                  <c:v>49.9</c:v>
                </c:pt>
                <c:pt idx="29">
                  <c:v>49.1</c:v>
                </c:pt>
                <c:pt idx="30">
                  <c:v>49.5</c:v>
                </c:pt>
                <c:pt idx="31">
                  <c:v>50.1</c:v>
                </c:pt>
                <c:pt idx="32">
                  <c:v>51</c:v>
                </c:pt>
                <c:pt idx="33">
                  <c:v>52</c:v>
                </c:pt>
                <c:pt idx="34">
                  <c:v>53.9</c:v>
                </c:pt>
                <c:pt idx="35">
                  <c:v>53.4</c:v>
                </c:pt>
                <c:pt idx="36">
                  <c:v>54.5</c:v>
                </c:pt>
                <c:pt idx="37">
                  <c:v>55.4</c:v>
                </c:pt>
                <c:pt idx="38">
                  <c:v>54.9</c:v>
                </c:pt>
                <c:pt idx="39">
                  <c:v>55.9</c:v>
                </c:pt>
                <c:pt idx="40">
                  <c:v>56.5</c:v>
                </c:pt>
                <c:pt idx="41">
                  <c:v>55.5</c:v>
                </c:pt>
                <c:pt idx="42">
                  <c:v>56.5</c:v>
                </c:pt>
                <c:pt idx="43">
                  <c:v>57.3</c:v>
                </c:pt>
                <c:pt idx="44">
                  <c:v>54.7</c:v>
                </c:pt>
                <c:pt idx="45">
                  <c:v>56.463888888888903</c:v>
                </c:pt>
                <c:pt idx="46">
                  <c:v>54.3</c:v>
                </c:pt>
                <c:pt idx="47">
                  <c:v>55.6</c:v>
                </c:pt>
                <c:pt idx="48">
                  <c:v>54.4</c:v>
                </c:pt>
                <c:pt idx="49">
                  <c:v>55.6</c:v>
                </c:pt>
                <c:pt idx="83">
                  <c:v>52.2</c:v>
                </c:pt>
                <c:pt idx="84">
                  <c:v>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9-4FBF-A255-E282E4EA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24896"/>
        <c:axId val="540234880"/>
      </c:lineChart>
      <c:dateAx>
        <c:axId val="54022489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234880"/>
        <c:crossesAt val="50"/>
        <c:auto val="1"/>
        <c:lblOffset val="100"/>
        <c:baseTimeUnit val="months"/>
        <c:majorUnit val="1"/>
        <c:majorTimeUnit val="years"/>
      </c:dateAx>
      <c:valAx>
        <c:axId val="540234880"/>
        <c:scaling>
          <c:orientation val="minMax"/>
          <c:max val="62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224896"/>
        <c:crosses val="autoZero"/>
        <c:crossBetween val="between"/>
        <c:majorUnit val="3"/>
      </c:valAx>
      <c:valAx>
        <c:axId val="540236416"/>
        <c:scaling>
          <c:orientation val="minMax"/>
          <c:max val="4.0000000000000008E-2"/>
          <c:min val="-2.0000000000000004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40246400"/>
        <c:crosses val="max"/>
        <c:crossBetween val="between"/>
        <c:majorUnit val="1.0000000000000002E-2"/>
      </c:valAx>
      <c:catAx>
        <c:axId val="54024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540236416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335140339669303E-2"/>
          <c:y val="0.72120516185476813"/>
          <c:w val="0.1973114738691919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 baseline="0"/>
              <a:t>Poland </a:t>
            </a:r>
            <a:r>
              <a:rPr lang="en-US"/>
              <a:t>Manufacturing PMI</a:t>
            </a:r>
            <a:r>
              <a:rPr lang="en-US" baseline="0"/>
              <a:t> 2010-2014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PL!$B$71</c:f>
              <c:strCache>
                <c:ptCount val="1"/>
                <c:pt idx="0">
                  <c:v>Poland Manufacturing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PL!$A$72:$A$285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PL!$B$72:$B$285</c:f>
              <c:numCache>
                <c:formatCode>0.0</c:formatCode>
                <c:ptCount val="214"/>
                <c:pt idx="0">
                  <c:v>55.6</c:v>
                </c:pt>
                <c:pt idx="1">
                  <c:v>55.9</c:v>
                </c:pt>
                <c:pt idx="2">
                  <c:v>56.3</c:v>
                </c:pt>
                <c:pt idx="3">
                  <c:v>55.6</c:v>
                </c:pt>
                <c:pt idx="4">
                  <c:v>53.8</c:v>
                </c:pt>
                <c:pt idx="5">
                  <c:v>54.8</c:v>
                </c:pt>
                <c:pt idx="6">
                  <c:v>54.4</c:v>
                </c:pt>
                <c:pt idx="7">
                  <c:v>52.6</c:v>
                </c:pt>
                <c:pt idx="8">
                  <c:v>51.2</c:v>
                </c:pt>
                <c:pt idx="9">
                  <c:v>52.9</c:v>
                </c:pt>
                <c:pt idx="10">
                  <c:v>51.8</c:v>
                </c:pt>
                <c:pt idx="11">
                  <c:v>50.2</c:v>
                </c:pt>
                <c:pt idx="12">
                  <c:v>51.7</c:v>
                </c:pt>
                <c:pt idx="13">
                  <c:v>49.5</c:v>
                </c:pt>
                <c:pt idx="14">
                  <c:v>48.8</c:v>
                </c:pt>
                <c:pt idx="15">
                  <c:v>52.2</c:v>
                </c:pt>
                <c:pt idx="16">
                  <c:v>50</c:v>
                </c:pt>
                <c:pt idx="17">
                  <c:v>50.1</c:v>
                </c:pt>
                <c:pt idx="18">
                  <c:v>49.2</c:v>
                </c:pt>
                <c:pt idx="19">
                  <c:v>48.9</c:v>
                </c:pt>
                <c:pt idx="20">
                  <c:v>48</c:v>
                </c:pt>
                <c:pt idx="21">
                  <c:v>49.7</c:v>
                </c:pt>
                <c:pt idx="22">
                  <c:v>48.3</c:v>
                </c:pt>
                <c:pt idx="23">
                  <c:v>47</c:v>
                </c:pt>
                <c:pt idx="24">
                  <c:v>47.3</c:v>
                </c:pt>
                <c:pt idx="25">
                  <c:v>48.2</c:v>
                </c:pt>
                <c:pt idx="26">
                  <c:v>48.3</c:v>
                </c:pt>
                <c:pt idx="27">
                  <c:v>48.6</c:v>
                </c:pt>
                <c:pt idx="28">
                  <c:v>48.9</c:v>
                </c:pt>
                <c:pt idx="29">
                  <c:v>48</c:v>
                </c:pt>
                <c:pt idx="30">
                  <c:v>48</c:v>
                </c:pt>
                <c:pt idx="31">
                  <c:v>46.9</c:v>
                </c:pt>
                <c:pt idx="32">
                  <c:v>48</c:v>
                </c:pt>
                <c:pt idx="33">
                  <c:v>49.3</c:v>
                </c:pt>
                <c:pt idx="34">
                  <c:v>51.1</c:v>
                </c:pt>
                <c:pt idx="35">
                  <c:v>52.6</c:v>
                </c:pt>
                <c:pt idx="36">
                  <c:v>53.4</c:v>
                </c:pt>
                <c:pt idx="37">
                  <c:v>54.4</c:v>
                </c:pt>
                <c:pt idx="38">
                  <c:v>53.2</c:v>
                </c:pt>
                <c:pt idx="39">
                  <c:v>55.4</c:v>
                </c:pt>
                <c:pt idx="40">
                  <c:v>55.9</c:v>
                </c:pt>
                <c:pt idx="41">
                  <c:v>54</c:v>
                </c:pt>
                <c:pt idx="42">
                  <c:v>51.1</c:v>
                </c:pt>
                <c:pt idx="43">
                  <c:v>50.8</c:v>
                </c:pt>
                <c:pt idx="44">
                  <c:v>50.3</c:v>
                </c:pt>
                <c:pt idx="45">
                  <c:v>49.4</c:v>
                </c:pt>
                <c:pt idx="46">
                  <c:v>49</c:v>
                </c:pt>
                <c:pt idx="47">
                  <c:v>49.5</c:v>
                </c:pt>
                <c:pt idx="48">
                  <c:v>51.2</c:v>
                </c:pt>
                <c:pt idx="49">
                  <c:v>53.2</c:v>
                </c:pt>
                <c:pt idx="83">
                  <c:v>49.4</c:v>
                </c:pt>
                <c:pt idx="84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0-4BC0-BBB4-E27668A6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506752"/>
        <c:axId val="540512640"/>
      </c:area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PL!$B$72:$B$285</c:f>
              <c:numCache>
                <c:formatCode>0.0</c:formatCode>
                <c:ptCount val="214"/>
                <c:pt idx="0">
                  <c:v>55.6</c:v>
                </c:pt>
                <c:pt idx="1">
                  <c:v>55.9</c:v>
                </c:pt>
                <c:pt idx="2">
                  <c:v>56.3</c:v>
                </c:pt>
                <c:pt idx="3">
                  <c:v>55.6</c:v>
                </c:pt>
                <c:pt idx="4">
                  <c:v>53.8</c:v>
                </c:pt>
                <c:pt idx="5">
                  <c:v>54.8</c:v>
                </c:pt>
                <c:pt idx="6">
                  <c:v>54.4</c:v>
                </c:pt>
                <c:pt idx="7">
                  <c:v>52.6</c:v>
                </c:pt>
                <c:pt idx="8">
                  <c:v>51.2</c:v>
                </c:pt>
                <c:pt idx="9">
                  <c:v>52.9</c:v>
                </c:pt>
                <c:pt idx="10">
                  <c:v>51.8</c:v>
                </c:pt>
                <c:pt idx="11">
                  <c:v>50.2</c:v>
                </c:pt>
                <c:pt idx="12">
                  <c:v>51.7</c:v>
                </c:pt>
                <c:pt idx="13">
                  <c:v>49.5</c:v>
                </c:pt>
                <c:pt idx="14">
                  <c:v>48.8</c:v>
                </c:pt>
                <c:pt idx="15">
                  <c:v>52.2</c:v>
                </c:pt>
                <c:pt idx="16">
                  <c:v>50</c:v>
                </c:pt>
                <c:pt idx="17">
                  <c:v>50.1</c:v>
                </c:pt>
                <c:pt idx="18">
                  <c:v>49.2</c:v>
                </c:pt>
                <c:pt idx="19">
                  <c:v>48.9</c:v>
                </c:pt>
                <c:pt idx="20">
                  <c:v>48</c:v>
                </c:pt>
                <c:pt idx="21">
                  <c:v>49.7</c:v>
                </c:pt>
                <c:pt idx="22">
                  <c:v>48.3</c:v>
                </c:pt>
                <c:pt idx="23">
                  <c:v>47</c:v>
                </c:pt>
                <c:pt idx="24">
                  <c:v>47.3</c:v>
                </c:pt>
                <c:pt idx="25">
                  <c:v>48.2</c:v>
                </c:pt>
                <c:pt idx="26">
                  <c:v>48.3</c:v>
                </c:pt>
                <c:pt idx="27">
                  <c:v>48.6</c:v>
                </c:pt>
                <c:pt idx="28">
                  <c:v>48.9</c:v>
                </c:pt>
                <c:pt idx="29">
                  <c:v>48</c:v>
                </c:pt>
                <c:pt idx="30">
                  <c:v>48</c:v>
                </c:pt>
                <c:pt idx="31">
                  <c:v>46.9</c:v>
                </c:pt>
                <c:pt idx="32">
                  <c:v>48</c:v>
                </c:pt>
                <c:pt idx="33">
                  <c:v>49.3</c:v>
                </c:pt>
                <c:pt idx="34">
                  <c:v>51.1</c:v>
                </c:pt>
                <c:pt idx="35">
                  <c:v>52.6</c:v>
                </c:pt>
                <c:pt idx="36">
                  <c:v>53.4</c:v>
                </c:pt>
                <c:pt idx="37">
                  <c:v>54.4</c:v>
                </c:pt>
                <c:pt idx="38">
                  <c:v>53.2</c:v>
                </c:pt>
                <c:pt idx="39">
                  <c:v>55.4</c:v>
                </c:pt>
                <c:pt idx="40">
                  <c:v>55.9</c:v>
                </c:pt>
                <c:pt idx="41">
                  <c:v>54</c:v>
                </c:pt>
                <c:pt idx="42">
                  <c:v>51.1</c:v>
                </c:pt>
                <c:pt idx="43">
                  <c:v>50.8</c:v>
                </c:pt>
                <c:pt idx="44">
                  <c:v>50.3</c:v>
                </c:pt>
                <c:pt idx="45">
                  <c:v>49.4</c:v>
                </c:pt>
                <c:pt idx="46">
                  <c:v>49</c:v>
                </c:pt>
                <c:pt idx="47">
                  <c:v>49.5</c:v>
                </c:pt>
                <c:pt idx="48">
                  <c:v>51.2</c:v>
                </c:pt>
                <c:pt idx="49">
                  <c:v>53.2</c:v>
                </c:pt>
                <c:pt idx="83">
                  <c:v>49.4</c:v>
                </c:pt>
                <c:pt idx="84">
                  <c:v>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0-4BC0-BBB4-E27668A6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506752"/>
        <c:axId val="540512640"/>
      </c:lineChart>
      <c:dateAx>
        <c:axId val="5405067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512640"/>
        <c:crossesAt val="50"/>
        <c:auto val="1"/>
        <c:lblOffset val="100"/>
        <c:baseTimeUnit val="months"/>
        <c:majorUnit val="1"/>
        <c:majorTimeUnit val="years"/>
      </c:dateAx>
      <c:valAx>
        <c:axId val="540512640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506752"/>
        <c:crosses val="autoZero"/>
        <c:crossBetween val="between"/>
        <c:majorUnit val="3"/>
      </c:valAx>
      <c:spPr>
        <a:solidFill>
          <a:sysClr val="windowText" lastClr="000000"/>
        </a:solidFill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8.335140339669303E-2"/>
          <c:y val="0.72120516185476813"/>
          <c:w val="0.22090059804168313"/>
          <c:h val="4.8948704781467532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 baseline="0"/>
              <a:t>Poland </a:t>
            </a:r>
            <a:r>
              <a:rPr lang="en-US"/>
              <a:t>Manufacturing PMI</a:t>
            </a:r>
            <a:r>
              <a:rPr lang="en-US" baseline="0"/>
              <a:t> vs. GDP Growth q/q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669338417899556E-2"/>
          <c:y val="0.1070675802929214"/>
          <c:w val="0.91709143980320862"/>
          <c:h val="0.78119813267616389"/>
        </c:manualLayout>
      </c:layout>
      <c:areaChart>
        <c:grouping val="standard"/>
        <c:varyColors val="0"/>
        <c:ser>
          <c:idx val="0"/>
          <c:order val="0"/>
          <c:tx>
            <c:strRef>
              <c:f>PL!$B$71</c:f>
              <c:strCache>
                <c:ptCount val="1"/>
                <c:pt idx="0">
                  <c:v>Poland Manufacturing PMI</c:v>
                </c:pt>
              </c:strCache>
            </c:strRef>
          </c:tx>
          <c:spPr>
            <a:gradFill>
              <a:gsLst>
                <a:gs pos="0">
                  <a:srgbClr val="03D4A8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5400000" scaled="0"/>
            </a:gradFill>
            <a:ln w="19050">
              <a:noFill/>
            </a:ln>
          </c:spPr>
          <c:cat>
            <c:numRef>
              <c:f>PL!$A$72:$A$285</c:f>
              <c:numCache>
                <c:formatCode>mmm\-yy</c:formatCode>
                <c:ptCount val="214"/>
                <c:pt idx="0">
                  <c:v>40452</c:v>
                </c:pt>
                <c:pt idx="1">
                  <c:v>40483</c:v>
                </c:pt>
                <c:pt idx="2">
                  <c:v>40513</c:v>
                </c:pt>
                <c:pt idx="3">
                  <c:v>40544</c:v>
                </c:pt>
                <c:pt idx="4">
                  <c:v>40575</c:v>
                </c:pt>
                <c:pt idx="5">
                  <c:v>40603</c:v>
                </c:pt>
                <c:pt idx="6">
                  <c:v>40634</c:v>
                </c:pt>
                <c:pt idx="7">
                  <c:v>40664</c:v>
                </c:pt>
                <c:pt idx="8">
                  <c:v>40695</c:v>
                </c:pt>
                <c:pt idx="9">
                  <c:v>40725</c:v>
                </c:pt>
                <c:pt idx="10">
                  <c:v>40756</c:v>
                </c:pt>
                <c:pt idx="11">
                  <c:v>40787</c:v>
                </c:pt>
                <c:pt idx="12">
                  <c:v>40817</c:v>
                </c:pt>
                <c:pt idx="13">
                  <c:v>40848</c:v>
                </c:pt>
                <c:pt idx="14">
                  <c:v>40878</c:v>
                </c:pt>
                <c:pt idx="15">
                  <c:v>40909</c:v>
                </c:pt>
                <c:pt idx="16">
                  <c:v>40940</c:v>
                </c:pt>
                <c:pt idx="17">
                  <c:v>40969</c:v>
                </c:pt>
                <c:pt idx="18">
                  <c:v>41000</c:v>
                </c:pt>
                <c:pt idx="19">
                  <c:v>41030</c:v>
                </c:pt>
                <c:pt idx="20">
                  <c:v>41061</c:v>
                </c:pt>
                <c:pt idx="21">
                  <c:v>41091</c:v>
                </c:pt>
                <c:pt idx="22">
                  <c:v>41122</c:v>
                </c:pt>
                <c:pt idx="23">
                  <c:v>41153</c:v>
                </c:pt>
                <c:pt idx="24">
                  <c:v>41183</c:v>
                </c:pt>
                <c:pt idx="25">
                  <c:v>41214</c:v>
                </c:pt>
                <c:pt idx="26">
                  <c:v>41244</c:v>
                </c:pt>
                <c:pt idx="27">
                  <c:v>41275</c:v>
                </c:pt>
                <c:pt idx="28">
                  <c:v>41306</c:v>
                </c:pt>
                <c:pt idx="29">
                  <c:v>41334</c:v>
                </c:pt>
                <c:pt idx="30">
                  <c:v>41365</c:v>
                </c:pt>
                <c:pt idx="31">
                  <c:v>41395</c:v>
                </c:pt>
                <c:pt idx="32">
                  <c:v>41426</c:v>
                </c:pt>
                <c:pt idx="33">
                  <c:v>41456</c:v>
                </c:pt>
                <c:pt idx="34">
                  <c:v>41487</c:v>
                </c:pt>
                <c:pt idx="35">
                  <c:v>41518</c:v>
                </c:pt>
                <c:pt idx="36">
                  <c:v>41548</c:v>
                </c:pt>
                <c:pt idx="37">
                  <c:v>41579</c:v>
                </c:pt>
                <c:pt idx="38">
                  <c:v>41609</c:v>
                </c:pt>
                <c:pt idx="39">
                  <c:v>41640</c:v>
                </c:pt>
                <c:pt idx="40">
                  <c:v>41671</c:v>
                </c:pt>
                <c:pt idx="41">
                  <c:v>41699</c:v>
                </c:pt>
                <c:pt idx="42">
                  <c:v>41730</c:v>
                </c:pt>
                <c:pt idx="43">
                  <c:v>41760</c:v>
                </c:pt>
                <c:pt idx="44">
                  <c:v>41791</c:v>
                </c:pt>
                <c:pt idx="45">
                  <c:v>41821</c:v>
                </c:pt>
                <c:pt idx="46">
                  <c:v>41852</c:v>
                </c:pt>
                <c:pt idx="47">
                  <c:v>41883</c:v>
                </c:pt>
                <c:pt idx="48">
                  <c:v>41913</c:v>
                </c:pt>
                <c:pt idx="49">
                  <c:v>41944</c:v>
                </c:pt>
                <c:pt idx="50">
                  <c:v>41974</c:v>
                </c:pt>
                <c:pt idx="51">
                  <c:v>42005</c:v>
                </c:pt>
                <c:pt idx="52">
                  <c:v>42036</c:v>
                </c:pt>
                <c:pt idx="53">
                  <c:v>42064</c:v>
                </c:pt>
                <c:pt idx="54">
                  <c:v>42095</c:v>
                </c:pt>
                <c:pt idx="55">
                  <c:v>42125</c:v>
                </c:pt>
                <c:pt idx="56">
                  <c:v>42156</c:v>
                </c:pt>
                <c:pt idx="57">
                  <c:v>42186</c:v>
                </c:pt>
                <c:pt idx="58">
                  <c:v>42217</c:v>
                </c:pt>
                <c:pt idx="59">
                  <c:v>42248</c:v>
                </c:pt>
                <c:pt idx="60">
                  <c:v>42278</c:v>
                </c:pt>
                <c:pt idx="61">
                  <c:v>42309</c:v>
                </c:pt>
                <c:pt idx="62">
                  <c:v>42339</c:v>
                </c:pt>
                <c:pt idx="63">
                  <c:v>42370</c:v>
                </c:pt>
                <c:pt idx="64">
                  <c:v>42401</c:v>
                </c:pt>
                <c:pt idx="65">
                  <c:v>42430</c:v>
                </c:pt>
                <c:pt idx="66">
                  <c:v>42461</c:v>
                </c:pt>
                <c:pt idx="67">
                  <c:v>42491</c:v>
                </c:pt>
                <c:pt idx="68">
                  <c:v>42522</c:v>
                </c:pt>
                <c:pt idx="69">
                  <c:v>42552</c:v>
                </c:pt>
                <c:pt idx="70">
                  <c:v>42583</c:v>
                </c:pt>
                <c:pt idx="71">
                  <c:v>42614</c:v>
                </c:pt>
                <c:pt idx="72">
                  <c:v>42644</c:v>
                </c:pt>
                <c:pt idx="73">
                  <c:v>42675</c:v>
                </c:pt>
                <c:pt idx="74">
                  <c:v>42705</c:v>
                </c:pt>
                <c:pt idx="75">
                  <c:v>42736</c:v>
                </c:pt>
                <c:pt idx="76">
                  <c:v>42767</c:v>
                </c:pt>
                <c:pt idx="77">
                  <c:v>42795</c:v>
                </c:pt>
                <c:pt idx="78">
                  <c:v>42826</c:v>
                </c:pt>
                <c:pt idx="79">
                  <c:v>42856</c:v>
                </c:pt>
                <c:pt idx="80">
                  <c:v>42887</c:v>
                </c:pt>
                <c:pt idx="81">
                  <c:v>42917</c:v>
                </c:pt>
                <c:pt idx="82">
                  <c:v>42948</c:v>
                </c:pt>
                <c:pt idx="83" formatCode="yyyy/mm/dd">
                  <c:v>46143</c:v>
                </c:pt>
                <c:pt idx="84" formatCode="yyyy/mm/dd">
                  <c:v>46174</c:v>
                </c:pt>
              </c:numCache>
            </c:numRef>
          </c:cat>
          <c:val>
            <c:numRef>
              <c:f>PL!$B$72:$B$285</c:f>
              <c:numCache>
                <c:formatCode>0.0</c:formatCode>
                <c:ptCount val="214"/>
                <c:pt idx="0">
                  <c:v>55.6</c:v>
                </c:pt>
                <c:pt idx="1">
                  <c:v>55.9</c:v>
                </c:pt>
                <c:pt idx="2">
                  <c:v>56.3</c:v>
                </c:pt>
                <c:pt idx="3">
                  <c:v>55.6</c:v>
                </c:pt>
                <c:pt idx="4">
                  <c:v>53.8</c:v>
                </c:pt>
                <c:pt idx="5">
                  <c:v>54.8</c:v>
                </c:pt>
                <c:pt idx="6">
                  <c:v>54.4</c:v>
                </c:pt>
                <c:pt idx="7">
                  <c:v>52.6</c:v>
                </c:pt>
                <c:pt idx="8">
                  <c:v>51.2</c:v>
                </c:pt>
                <c:pt idx="9">
                  <c:v>52.9</c:v>
                </c:pt>
                <c:pt idx="10">
                  <c:v>51.8</c:v>
                </c:pt>
                <c:pt idx="11">
                  <c:v>50.2</c:v>
                </c:pt>
                <c:pt idx="12">
                  <c:v>51.7</c:v>
                </c:pt>
                <c:pt idx="13">
                  <c:v>49.5</c:v>
                </c:pt>
                <c:pt idx="14">
                  <c:v>48.8</c:v>
                </c:pt>
                <c:pt idx="15">
                  <c:v>52.2</c:v>
                </c:pt>
                <c:pt idx="16">
                  <c:v>50</c:v>
                </c:pt>
                <c:pt idx="17">
                  <c:v>50.1</c:v>
                </c:pt>
                <c:pt idx="18">
                  <c:v>49.2</c:v>
                </c:pt>
                <c:pt idx="19">
                  <c:v>48.9</c:v>
                </c:pt>
                <c:pt idx="20">
                  <c:v>48</c:v>
                </c:pt>
                <c:pt idx="21">
                  <c:v>49.7</c:v>
                </c:pt>
                <c:pt idx="22">
                  <c:v>48.3</c:v>
                </c:pt>
                <c:pt idx="23">
                  <c:v>47</c:v>
                </c:pt>
                <c:pt idx="24">
                  <c:v>47.3</c:v>
                </c:pt>
                <c:pt idx="25">
                  <c:v>48.2</c:v>
                </c:pt>
                <c:pt idx="26">
                  <c:v>48.3</c:v>
                </c:pt>
                <c:pt idx="27">
                  <c:v>48.6</c:v>
                </c:pt>
                <c:pt idx="28">
                  <c:v>48.9</c:v>
                </c:pt>
                <c:pt idx="29">
                  <c:v>48</c:v>
                </c:pt>
                <c:pt idx="30">
                  <c:v>48</c:v>
                </c:pt>
                <c:pt idx="31">
                  <c:v>46.9</c:v>
                </c:pt>
                <c:pt idx="32">
                  <c:v>48</c:v>
                </c:pt>
                <c:pt idx="33">
                  <c:v>49.3</c:v>
                </c:pt>
                <c:pt idx="34">
                  <c:v>51.1</c:v>
                </c:pt>
                <c:pt idx="35">
                  <c:v>52.6</c:v>
                </c:pt>
                <c:pt idx="36">
                  <c:v>53.4</c:v>
                </c:pt>
                <c:pt idx="37">
                  <c:v>54.4</c:v>
                </c:pt>
                <c:pt idx="38">
                  <c:v>53.2</c:v>
                </c:pt>
                <c:pt idx="39">
                  <c:v>55.4</c:v>
                </c:pt>
                <c:pt idx="40">
                  <c:v>55.9</c:v>
                </c:pt>
                <c:pt idx="41">
                  <c:v>54</c:v>
                </c:pt>
                <c:pt idx="42">
                  <c:v>51.1</c:v>
                </c:pt>
                <c:pt idx="43">
                  <c:v>50.8</c:v>
                </c:pt>
                <c:pt idx="44">
                  <c:v>50.3</c:v>
                </c:pt>
                <c:pt idx="45">
                  <c:v>49.4</c:v>
                </c:pt>
                <c:pt idx="46">
                  <c:v>49</c:v>
                </c:pt>
                <c:pt idx="47">
                  <c:v>49.5</c:v>
                </c:pt>
                <c:pt idx="48">
                  <c:v>51.2</c:v>
                </c:pt>
                <c:pt idx="49">
                  <c:v>53.2</c:v>
                </c:pt>
                <c:pt idx="83">
                  <c:v>49.4</c:v>
                </c:pt>
                <c:pt idx="84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4-484B-AECE-D5DA1065A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627328"/>
        <c:axId val="540628864"/>
      </c:areaChart>
      <c:barChart>
        <c:barDir val="col"/>
        <c:grouping val="clustered"/>
        <c:varyColors val="0"/>
        <c:ser>
          <c:idx val="2"/>
          <c:order val="2"/>
          <c:tx>
            <c:strRef>
              <c:f>PL!$D$71</c:f>
              <c:strCache>
                <c:ptCount val="1"/>
                <c:pt idx="0">
                  <c:v>Poland GDP Growth q/q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PL!$D$72:$D$270</c:f>
              <c:numCache>
                <c:formatCode>0.0%</c:formatCode>
                <c:ptCount val="199"/>
                <c:pt idx="2">
                  <c:v>8.0000000000000002E-3</c:v>
                </c:pt>
                <c:pt idx="5">
                  <c:v>1.2999999999999999E-2</c:v>
                </c:pt>
                <c:pt idx="8">
                  <c:v>1.4E-2</c:v>
                </c:pt>
                <c:pt idx="11">
                  <c:v>8.0000000000000002E-3</c:v>
                </c:pt>
                <c:pt idx="14">
                  <c:v>0.01</c:v>
                </c:pt>
                <c:pt idx="17">
                  <c:v>4.0000000000000001E-3</c:v>
                </c:pt>
                <c:pt idx="20">
                  <c:v>0</c:v>
                </c:pt>
                <c:pt idx="23">
                  <c:v>2E-3</c:v>
                </c:pt>
                <c:pt idx="26">
                  <c:v>2E-3</c:v>
                </c:pt>
                <c:pt idx="29">
                  <c:v>1E-3</c:v>
                </c:pt>
                <c:pt idx="32">
                  <c:v>8.0000000000000002E-3</c:v>
                </c:pt>
                <c:pt idx="35">
                  <c:v>8.0000000000000002E-3</c:v>
                </c:pt>
                <c:pt idx="38">
                  <c:v>7.0000000000000001E-3</c:v>
                </c:pt>
                <c:pt idx="41">
                  <c:v>1.0999999999999999E-2</c:v>
                </c:pt>
                <c:pt idx="44">
                  <c:v>6.0000000000000001E-3</c:v>
                </c:pt>
                <c:pt idx="47" formatCode="0.00%">
                  <c:v>9.0000000000000011E-3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4-484B-AECE-D5DA1065A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40632192"/>
        <c:axId val="540630400"/>
      </c:barChart>
      <c:lineChart>
        <c:grouping val="standard"/>
        <c:varyColors val="0"/>
        <c:ser>
          <c:idx val="1"/>
          <c:order val="1"/>
          <c:spPr>
            <a:ln w="15875">
              <a:solidFill>
                <a:schemeClr val="bg1"/>
              </a:solidFill>
            </a:ln>
          </c:spPr>
          <c:marker>
            <c:symbol val="none"/>
          </c:marker>
          <c:val>
            <c:numRef>
              <c:f>PL!$B$72:$B$285</c:f>
              <c:numCache>
                <c:formatCode>0.0</c:formatCode>
                <c:ptCount val="214"/>
                <c:pt idx="0">
                  <c:v>55.6</c:v>
                </c:pt>
                <c:pt idx="1">
                  <c:v>55.9</c:v>
                </c:pt>
                <c:pt idx="2">
                  <c:v>56.3</c:v>
                </c:pt>
                <c:pt idx="3">
                  <c:v>55.6</c:v>
                </c:pt>
                <c:pt idx="4">
                  <c:v>53.8</c:v>
                </c:pt>
                <c:pt idx="5">
                  <c:v>54.8</c:v>
                </c:pt>
                <c:pt idx="6">
                  <c:v>54.4</c:v>
                </c:pt>
                <c:pt idx="7">
                  <c:v>52.6</c:v>
                </c:pt>
                <c:pt idx="8">
                  <c:v>51.2</c:v>
                </c:pt>
                <c:pt idx="9">
                  <c:v>52.9</c:v>
                </c:pt>
                <c:pt idx="10">
                  <c:v>51.8</c:v>
                </c:pt>
                <c:pt idx="11">
                  <c:v>50.2</c:v>
                </c:pt>
                <c:pt idx="12">
                  <c:v>51.7</c:v>
                </c:pt>
                <c:pt idx="13">
                  <c:v>49.5</c:v>
                </c:pt>
                <c:pt idx="14">
                  <c:v>48.8</c:v>
                </c:pt>
                <c:pt idx="15">
                  <c:v>52.2</c:v>
                </c:pt>
                <c:pt idx="16">
                  <c:v>50</c:v>
                </c:pt>
                <c:pt idx="17">
                  <c:v>50.1</c:v>
                </c:pt>
                <c:pt idx="18">
                  <c:v>49.2</c:v>
                </c:pt>
                <c:pt idx="19">
                  <c:v>48.9</c:v>
                </c:pt>
                <c:pt idx="20">
                  <c:v>48</c:v>
                </c:pt>
                <c:pt idx="21">
                  <c:v>49.7</c:v>
                </c:pt>
                <c:pt idx="22">
                  <c:v>48.3</c:v>
                </c:pt>
                <c:pt idx="23">
                  <c:v>47</c:v>
                </c:pt>
                <c:pt idx="24">
                  <c:v>47.3</c:v>
                </c:pt>
                <c:pt idx="25">
                  <c:v>48.2</c:v>
                </c:pt>
                <c:pt idx="26">
                  <c:v>48.3</c:v>
                </c:pt>
                <c:pt idx="27">
                  <c:v>48.6</c:v>
                </c:pt>
                <c:pt idx="28">
                  <c:v>48.9</c:v>
                </c:pt>
                <c:pt idx="29">
                  <c:v>48</c:v>
                </c:pt>
                <c:pt idx="30">
                  <c:v>48</c:v>
                </c:pt>
                <c:pt idx="31">
                  <c:v>46.9</c:v>
                </c:pt>
                <c:pt idx="32">
                  <c:v>48</c:v>
                </c:pt>
                <c:pt idx="33">
                  <c:v>49.3</c:v>
                </c:pt>
                <c:pt idx="34">
                  <c:v>51.1</c:v>
                </c:pt>
                <c:pt idx="35">
                  <c:v>52.6</c:v>
                </c:pt>
                <c:pt idx="36">
                  <c:v>53.4</c:v>
                </c:pt>
                <c:pt idx="37">
                  <c:v>54.4</c:v>
                </c:pt>
                <c:pt idx="38">
                  <c:v>53.2</c:v>
                </c:pt>
                <c:pt idx="39">
                  <c:v>55.4</c:v>
                </c:pt>
                <c:pt idx="40">
                  <c:v>55.9</c:v>
                </c:pt>
                <c:pt idx="41">
                  <c:v>54</c:v>
                </c:pt>
                <c:pt idx="42">
                  <c:v>51.1</c:v>
                </c:pt>
                <c:pt idx="43">
                  <c:v>50.8</c:v>
                </c:pt>
                <c:pt idx="44">
                  <c:v>50.3</c:v>
                </c:pt>
                <c:pt idx="45">
                  <c:v>49.4</c:v>
                </c:pt>
                <c:pt idx="46">
                  <c:v>49</c:v>
                </c:pt>
                <c:pt idx="47">
                  <c:v>49.5</c:v>
                </c:pt>
                <c:pt idx="48">
                  <c:v>51.2</c:v>
                </c:pt>
                <c:pt idx="49">
                  <c:v>53.2</c:v>
                </c:pt>
                <c:pt idx="83">
                  <c:v>49.4</c:v>
                </c:pt>
                <c:pt idx="84">
                  <c:v>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54-484B-AECE-D5DA1065A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627328"/>
        <c:axId val="540628864"/>
      </c:lineChart>
      <c:dateAx>
        <c:axId val="54062732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txPr>
          <a:bodyPr rot="-300000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628864"/>
        <c:crossesAt val="50"/>
        <c:auto val="1"/>
        <c:lblOffset val="100"/>
        <c:baseTimeUnit val="months"/>
        <c:majorUnit val="1"/>
        <c:majorTimeUnit val="years"/>
      </c:dateAx>
      <c:valAx>
        <c:axId val="540628864"/>
        <c:scaling>
          <c:orientation val="minMax"/>
          <c:max val="59"/>
          <c:min val="44"/>
        </c:scaling>
        <c:delete val="0"/>
        <c:axPos val="l"/>
        <c:majorGridlines>
          <c:spPr>
            <a:ln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</c:spPr>
        </c:majorGridlines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C0C0C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0627328"/>
        <c:crosses val="autoZero"/>
        <c:crossBetween val="between"/>
        <c:majorUnit val="3"/>
      </c:valAx>
      <c:valAx>
        <c:axId val="540630400"/>
        <c:scaling>
          <c:orientation val="minMax"/>
          <c:max val="2.2000000000000006E-2"/>
          <c:min val="-1.5000000000000003E-2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 b="1" baseline="0">
                <a:solidFill>
                  <a:schemeClr val="bg1"/>
                </a:solidFill>
              </a:defRPr>
            </a:pPr>
            <a:endParaRPr lang="en-US"/>
          </a:p>
        </c:txPr>
        <c:crossAx val="540632192"/>
        <c:crosses val="max"/>
        <c:crossBetween val="between"/>
      </c:valAx>
      <c:catAx>
        <c:axId val="540632192"/>
        <c:scaling>
          <c:orientation val="minMax"/>
        </c:scaling>
        <c:delete val="1"/>
        <c:axPos val="b"/>
        <c:majorTickMark val="out"/>
        <c:minorTickMark val="none"/>
        <c:tickLblPos val="nextTo"/>
        <c:crossAx val="540630400"/>
        <c:crosses val="autoZero"/>
        <c:auto val="1"/>
        <c:lblAlgn val="ctr"/>
        <c:lblOffset val="100"/>
        <c:noMultiLvlLbl val="0"/>
      </c:catAx>
      <c:spPr>
        <a:solidFill>
          <a:sysClr val="windowText" lastClr="000000"/>
        </a:solidFill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8.335140339669303E-2"/>
          <c:y val="0.72120516185476813"/>
          <c:w val="0.20420084452667134"/>
          <c:h val="9.7897409562935064E-2"/>
        </c:manualLayout>
      </c:layout>
      <c:overlay val="0"/>
      <c:spPr>
        <a:solidFill>
          <a:sysClr val="windowText" lastClr="000000"/>
        </a:solidFill>
      </c:spPr>
      <c:txPr>
        <a:bodyPr/>
        <a:lstStyle/>
        <a:p>
          <a:pPr>
            <a:defRPr sz="845" b="0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0"/>
    <c:dispBlanksAs val="span"/>
    <c:showDLblsOverMax val="0"/>
  </c:chart>
  <c:spPr>
    <a:solidFill>
      <a:sysClr val="windowText" lastClr="000000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7.xml"/><Relationship Id="rId1" Type="http://schemas.openxmlformats.org/officeDocument/2006/relationships/chart" Target="../charts/chart56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93648</xdr:colOff>
      <xdr:row>94</xdr:row>
      <xdr:rowOff>175293</xdr:rowOff>
    </xdr:from>
    <xdr:to>
      <xdr:col>14</xdr:col>
      <xdr:colOff>33233</xdr:colOff>
      <xdr:row>117</xdr:row>
      <xdr:rowOff>33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231322</xdr:colOff>
      <xdr:row>89</xdr:row>
      <xdr:rowOff>168889</xdr:rowOff>
    </xdr:from>
    <xdr:to>
      <xdr:col>16</xdr:col>
      <xdr:colOff>170907</xdr:colOff>
      <xdr:row>111</xdr:row>
      <xdr:rowOff>184129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231322</xdr:colOff>
      <xdr:row>113</xdr:row>
      <xdr:rowOff>186498</xdr:rowOff>
    </xdr:from>
    <xdr:to>
      <xdr:col>16</xdr:col>
      <xdr:colOff>170907</xdr:colOff>
      <xdr:row>136</xdr:row>
      <xdr:rowOff>11238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381001</xdr:colOff>
      <xdr:row>89</xdr:row>
      <xdr:rowOff>122464</xdr:rowOff>
    </xdr:from>
    <xdr:to>
      <xdr:col>27</xdr:col>
      <xdr:colOff>313382</xdr:colOff>
      <xdr:row>111</xdr:row>
      <xdr:rowOff>137704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102454</xdr:colOff>
      <xdr:row>91</xdr:row>
      <xdr:rowOff>150480</xdr:rowOff>
    </xdr:from>
    <xdr:to>
      <xdr:col>16</xdr:col>
      <xdr:colOff>42039</xdr:colOff>
      <xdr:row>113</xdr:row>
      <xdr:rowOff>165720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102454</xdr:colOff>
      <xdr:row>115</xdr:row>
      <xdr:rowOff>163286</xdr:rowOff>
    </xdr:from>
    <xdr:to>
      <xdr:col>16</xdr:col>
      <xdr:colOff>42039</xdr:colOff>
      <xdr:row>137</xdr:row>
      <xdr:rowOff>178526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312964</xdr:colOff>
      <xdr:row>91</xdr:row>
      <xdr:rowOff>176892</xdr:rowOff>
    </xdr:from>
    <xdr:to>
      <xdr:col>27</xdr:col>
      <xdr:colOff>252549</xdr:colOff>
      <xdr:row>114</xdr:row>
      <xdr:rowOff>1632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32818</xdr:colOff>
      <xdr:row>90</xdr:row>
      <xdr:rowOff>34417</xdr:rowOff>
    </xdr:from>
    <xdr:to>
      <xdr:col>27</xdr:col>
      <xdr:colOff>584723</xdr:colOff>
      <xdr:row>112</xdr:row>
      <xdr:rowOff>49657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70036</xdr:colOff>
      <xdr:row>114</xdr:row>
      <xdr:rowOff>45624</xdr:rowOff>
    </xdr:from>
    <xdr:to>
      <xdr:col>16</xdr:col>
      <xdr:colOff>9620</xdr:colOff>
      <xdr:row>136</xdr:row>
      <xdr:rowOff>60864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70036</xdr:colOff>
      <xdr:row>90</xdr:row>
      <xdr:rowOff>33617</xdr:rowOff>
    </xdr:from>
    <xdr:to>
      <xdr:col>16</xdr:col>
      <xdr:colOff>9620</xdr:colOff>
      <xdr:row>112</xdr:row>
      <xdr:rowOff>48857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304959</xdr:colOff>
      <xdr:row>86</xdr:row>
      <xdr:rowOff>179295</xdr:rowOff>
    </xdr:from>
    <xdr:to>
      <xdr:col>15</xdr:col>
      <xdr:colOff>40436</xdr:colOff>
      <xdr:row>109</xdr:row>
      <xdr:rowOff>4035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568299</xdr:colOff>
      <xdr:row>87</xdr:row>
      <xdr:rowOff>32017</xdr:rowOff>
    </xdr:from>
    <xdr:to>
      <xdr:col>26</xdr:col>
      <xdr:colOff>507884</xdr:colOff>
      <xdr:row>109</xdr:row>
      <xdr:rowOff>47257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549889</xdr:colOff>
      <xdr:row>111</xdr:row>
      <xdr:rowOff>32016</xdr:rowOff>
    </xdr:from>
    <xdr:to>
      <xdr:col>26</xdr:col>
      <xdr:colOff>489474</xdr:colOff>
      <xdr:row>133</xdr:row>
      <xdr:rowOff>47256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304959</xdr:colOff>
      <xdr:row>111</xdr:row>
      <xdr:rowOff>53629</xdr:rowOff>
    </xdr:from>
    <xdr:to>
      <xdr:col>15</xdr:col>
      <xdr:colOff>40436</xdr:colOff>
      <xdr:row>133</xdr:row>
      <xdr:rowOff>68869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101652</xdr:colOff>
      <xdr:row>90</xdr:row>
      <xdr:rowOff>15208</xdr:rowOff>
    </xdr:from>
    <xdr:to>
      <xdr:col>15</xdr:col>
      <xdr:colOff>41237</xdr:colOff>
      <xdr:row>112</xdr:row>
      <xdr:rowOff>30448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101652</xdr:colOff>
      <xdr:row>114</xdr:row>
      <xdr:rowOff>40823</xdr:rowOff>
    </xdr:from>
    <xdr:to>
      <xdr:col>15</xdr:col>
      <xdr:colOff>41237</xdr:colOff>
      <xdr:row>136</xdr:row>
      <xdr:rowOff>56063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163286</xdr:colOff>
      <xdr:row>112</xdr:row>
      <xdr:rowOff>136071</xdr:rowOff>
    </xdr:from>
    <xdr:to>
      <xdr:col>28</xdr:col>
      <xdr:colOff>102870</xdr:colOff>
      <xdr:row>134</xdr:row>
      <xdr:rowOff>151311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60832</xdr:colOff>
      <xdr:row>86</xdr:row>
      <xdr:rowOff>78441</xdr:rowOff>
    </xdr:from>
    <xdr:to>
      <xdr:col>15</xdr:col>
      <xdr:colOff>571916</xdr:colOff>
      <xdr:row>108</xdr:row>
      <xdr:rowOff>93681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112057</xdr:colOff>
      <xdr:row>86</xdr:row>
      <xdr:rowOff>112059</xdr:rowOff>
    </xdr:from>
    <xdr:to>
      <xdr:col>27</xdr:col>
      <xdr:colOff>51641</xdr:colOff>
      <xdr:row>108</xdr:row>
      <xdr:rowOff>127299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60832</xdr:colOff>
      <xdr:row>110</xdr:row>
      <xdr:rowOff>125666</xdr:rowOff>
    </xdr:from>
    <xdr:to>
      <xdr:col>15</xdr:col>
      <xdr:colOff>571916</xdr:colOff>
      <xdr:row>132</xdr:row>
      <xdr:rowOff>140906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231322</xdr:colOff>
      <xdr:row>110</xdr:row>
      <xdr:rowOff>0</xdr:rowOff>
    </xdr:from>
    <xdr:to>
      <xdr:col>27</xdr:col>
      <xdr:colOff>170906</xdr:colOff>
      <xdr:row>132</xdr:row>
      <xdr:rowOff>15240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16808</xdr:colOff>
      <xdr:row>89</xdr:row>
      <xdr:rowOff>44824</xdr:rowOff>
    </xdr:from>
    <xdr:to>
      <xdr:col>15</xdr:col>
      <xdr:colOff>568714</xdr:colOff>
      <xdr:row>111</xdr:row>
      <xdr:rowOff>60064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418620</xdr:colOff>
      <xdr:row>89</xdr:row>
      <xdr:rowOff>69636</xdr:rowOff>
    </xdr:from>
    <xdr:to>
      <xdr:col>27</xdr:col>
      <xdr:colOff>358204</xdr:colOff>
      <xdr:row>111</xdr:row>
      <xdr:rowOff>84876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16808</xdr:colOff>
      <xdr:row>112</xdr:row>
      <xdr:rowOff>156882</xdr:rowOff>
    </xdr:from>
    <xdr:to>
      <xdr:col>15</xdr:col>
      <xdr:colOff>568714</xdr:colOff>
      <xdr:row>134</xdr:row>
      <xdr:rowOff>172122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67490</xdr:colOff>
      <xdr:row>91</xdr:row>
      <xdr:rowOff>122536</xdr:rowOff>
    </xdr:from>
    <xdr:to>
      <xdr:col>15</xdr:col>
      <xdr:colOff>7074</xdr:colOff>
      <xdr:row>113</xdr:row>
      <xdr:rowOff>137776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67490</xdr:colOff>
      <xdr:row>115</xdr:row>
      <xdr:rowOff>149679</xdr:rowOff>
    </xdr:from>
    <xdr:to>
      <xdr:col>15</xdr:col>
      <xdr:colOff>7074</xdr:colOff>
      <xdr:row>137</xdr:row>
      <xdr:rowOff>164919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204107</xdr:colOff>
      <xdr:row>91</xdr:row>
      <xdr:rowOff>108858</xdr:rowOff>
    </xdr:from>
    <xdr:to>
      <xdr:col>15</xdr:col>
      <xdr:colOff>143692</xdr:colOff>
      <xdr:row>113</xdr:row>
      <xdr:rowOff>124098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204107</xdr:colOff>
      <xdr:row>115</xdr:row>
      <xdr:rowOff>143276</xdr:rowOff>
    </xdr:from>
    <xdr:to>
      <xdr:col>15</xdr:col>
      <xdr:colOff>143692</xdr:colOff>
      <xdr:row>137</xdr:row>
      <xdr:rowOff>158516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68436</xdr:colOff>
      <xdr:row>91</xdr:row>
      <xdr:rowOff>132870</xdr:rowOff>
    </xdr:from>
    <xdr:to>
      <xdr:col>15</xdr:col>
      <xdr:colOff>8020</xdr:colOff>
      <xdr:row>113</xdr:row>
      <xdr:rowOff>148110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68436</xdr:colOff>
      <xdr:row>115</xdr:row>
      <xdr:rowOff>163285</xdr:rowOff>
    </xdr:from>
    <xdr:to>
      <xdr:col>15</xdr:col>
      <xdr:colOff>8020</xdr:colOff>
      <xdr:row>137</xdr:row>
      <xdr:rowOff>178525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81642</xdr:colOff>
      <xdr:row>91</xdr:row>
      <xdr:rowOff>149679</xdr:rowOff>
    </xdr:from>
    <xdr:to>
      <xdr:col>16</xdr:col>
      <xdr:colOff>21226</xdr:colOff>
      <xdr:row>113</xdr:row>
      <xdr:rowOff>164919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81642</xdr:colOff>
      <xdr:row>115</xdr:row>
      <xdr:rowOff>108857</xdr:rowOff>
    </xdr:from>
    <xdr:to>
      <xdr:col>16</xdr:col>
      <xdr:colOff>21226</xdr:colOff>
      <xdr:row>137</xdr:row>
      <xdr:rowOff>124097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293753</xdr:colOff>
      <xdr:row>92</xdr:row>
      <xdr:rowOff>179295</xdr:rowOff>
    </xdr:from>
    <xdr:to>
      <xdr:col>26</xdr:col>
      <xdr:colOff>233337</xdr:colOff>
      <xdr:row>115</xdr:row>
      <xdr:rowOff>4035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60231</xdr:colOff>
      <xdr:row>92</xdr:row>
      <xdr:rowOff>136071</xdr:rowOff>
    </xdr:from>
    <xdr:to>
      <xdr:col>14</xdr:col>
      <xdr:colOff>612137</xdr:colOff>
      <xdr:row>114</xdr:row>
      <xdr:rowOff>151311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60231</xdr:colOff>
      <xdr:row>116</xdr:row>
      <xdr:rowOff>117662</xdr:rowOff>
    </xdr:from>
    <xdr:to>
      <xdr:col>14</xdr:col>
      <xdr:colOff>612137</xdr:colOff>
      <xdr:row>138</xdr:row>
      <xdr:rowOff>132902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0.54727</cdr:x>
      <cdr:y>0.37564</cdr:y>
    </cdr:from>
    <cdr:to>
      <cdr:x>0.54727</cdr:x>
      <cdr:y>0.88981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F015861-FCE5-4A0C-90EE-1090212488D8}"/>
            </a:ext>
          </a:extLst>
        </cdr:cNvPr>
        <cdr:cNvCxnSpPr/>
      </cdr:nvCxnSpPr>
      <cdr:spPr>
        <a:xfrm xmlns:a="http://schemas.openxmlformats.org/drawingml/2006/main" flipH="1">
          <a:off x="3653117" y="1580029"/>
          <a:ext cx="0" cy="216273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FFFF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60632</xdr:colOff>
      <xdr:row>91</xdr:row>
      <xdr:rowOff>166486</xdr:rowOff>
    </xdr:from>
    <xdr:to>
      <xdr:col>15</xdr:col>
      <xdr:colOff>217</xdr:colOff>
      <xdr:row>113</xdr:row>
      <xdr:rowOff>181726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60632</xdr:colOff>
      <xdr:row>116</xdr:row>
      <xdr:rowOff>2401</xdr:rowOff>
    </xdr:from>
    <xdr:to>
      <xdr:col>15</xdr:col>
      <xdr:colOff>217</xdr:colOff>
      <xdr:row>138</xdr:row>
      <xdr:rowOff>17641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52428</xdr:colOff>
      <xdr:row>91</xdr:row>
      <xdr:rowOff>138473</xdr:rowOff>
    </xdr:from>
    <xdr:to>
      <xdr:col>14</xdr:col>
      <xdr:colOff>604334</xdr:colOff>
      <xdr:row>113</xdr:row>
      <xdr:rowOff>153713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52428</xdr:colOff>
      <xdr:row>115</xdr:row>
      <xdr:rowOff>188898</xdr:rowOff>
    </xdr:from>
    <xdr:to>
      <xdr:col>14</xdr:col>
      <xdr:colOff>604334</xdr:colOff>
      <xdr:row>138</xdr:row>
      <xdr:rowOff>13638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130869</xdr:colOff>
      <xdr:row>91</xdr:row>
      <xdr:rowOff>177692</xdr:rowOff>
    </xdr:from>
    <xdr:to>
      <xdr:col>15</xdr:col>
      <xdr:colOff>70454</xdr:colOff>
      <xdr:row>114</xdr:row>
      <xdr:rowOff>2432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130869</xdr:colOff>
      <xdr:row>116</xdr:row>
      <xdr:rowOff>16809</xdr:rowOff>
    </xdr:from>
    <xdr:to>
      <xdr:col>15</xdr:col>
      <xdr:colOff>70454</xdr:colOff>
      <xdr:row>138</xdr:row>
      <xdr:rowOff>32049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74440</xdr:colOff>
      <xdr:row>91</xdr:row>
      <xdr:rowOff>149678</xdr:rowOff>
    </xdr:from>
    <xdr:to>
      <xdr:col>15</xdr:col>
      <xdr:colOff>14025</xdr:colOff>
      <xdr:row>113</xdr:row>
      <xdr:rowOff>164918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74440</xdr:colOff>
      <xdr:row>116</xdr:row>
      <xdr:rowOff>11206</xdr:rowOff>
    </xdr:from>
    <xdr:to>
      <xdr:col>15</xdr:col>
      <xdr:colOff>14025</xdr:colOff>
      <xdr:row>138</xdr:row>
      <xdr:rowOff>26446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133270</xdr:colOff>
      <xdr:row>90</xdr:row>
      <xdr:rowOff>136070</xdr:rowOff>
    </xdr:from>
    <xdr:to>
      <xdr:col>15</xdr:col>
      <xdr:colOff>32033</xdr:colOff>
      <xdr:row>112</xdr:row>
      <xdr:rowOff>151310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464532</xdr:colOff>
      <xdr:row>90</xdr:row>
      <xdr:rowOff>143858</xdr:rowOff>
    </xdr:from>
    <xdr:to>
      <xdr:col>26</xdr:col>
      <xdr:colOff>404116</xdr:colOff>
      <xdr:row>112</xdr:row>
      <xdr:rowOff>159098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133270</xdr:colOff>
      <xdr:row>115</xdr:row>
      <xdr:rowOff>21611</xdr:rowOff>
    </xdr:from>
    <xdr:to>
      <xdr:col>15</xdr:col>
      <xdr:colOff>32033</xdr:colOff>
      <xdr:row>137</xdr:row>
      <xdr:rowOff>36851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78842</xdr:colOff>
      <xdr:row>90</xdr:row>
      <xdr:rowOff>38421</xdr:rowOff>
    </xdr:from>
    <xdr:to>
      <xdr:col>15</xdr:col>
      <xdr:colOff>18427</xdr:colOff>
      <xdr:row>112</xdr:row>
      <xdr:rowOff>53661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78842</xdr:colOff>
      <xdr:row>114</xdr:row>
      <xdr:rowOff>84844</xdr:rowOff>
    </xdr:from>
    <xdr:to>
      <xdr:col>15</xdr:col>
      <xdr:colOff>18427</xdr:colOff>
      <xdr:row>136</xdr:row>
      <xdr:rowOff>100084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148078</xdr:colOff>
      <xdr:row>92</xdr:row>
      <xdr:rowOff>165687</xdr:rowOff>
    </xdr:from>
    <xdr:to>
      <xdr:col>15</xdr:col>
      <xdr:colOff>87661</xdr:colOff>
      <xdr:row>114</xdr:row>
      <xdr:rowOff>180927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148078</xdr:colOff>
      <xdr:row>117</xdr:row>
      <xdr:rowOff>40822</xdr:rowOff>
    </xdr:from>
    <xdr:to>
      <xdr:col>15</xdr:col>
      <xdr:colOff>87661</xdr:colOff>
      <xdr:row>139</xdr:row>
      <xdr:rowOff>56062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76040</xdr:colOff>
      <xdr:row>91</xdr:row>
      <xdr:rowOff>151280</xdr:rowOff>
    </xdr:from>
    <xdr:to>
      <xdr:col>15</xdr:col>
      <xdr:colOff>15625</xdr:colOff>
      <xdr:row>113</xdr:row>
      <xdr:rowOff>166520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76040</xdr:colOff>
      <xdr:row>116</xdr:row>
      <xdr:rowOff>3201</xdr:rowOff>
    </xdr:from>
    <xdr:to>
      <xdr:col>15</xdr:col>
      <xdr:colOff>15625</xdr:colOff>
      <xdr:row>138</xdr:row>
      <xdr:rowOff>18441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89246</xdr:colOff>
      <xdr:row>91</xdr:row>
      <xdr:rowOff>187298</xdr:rowOff>
    </xdr:from>
    <xdr:to>
      <xdr:col>15</xdr:col>
      <xdr:colOff>28831</xdr:colOff>
      <xdr:row>114</xdr:row>
      <xdr:rowOff>12038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89246</xdr:colOff>
      <xdr:row>116</xdr:row>
      <xdr:rowOff>43222</xdr:rowOff>
    </xdr:from>
    <xdr:to>
      <xdr:col>15</xdr:col>
      <xdr:colOff>28831</xdr:colOff>
      <xdr:row>138</xdr:row>
      <xdr:rowOff>58462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68035</xdr:colOff>
      <xdr:row>92</xdr:row>
      <xdr:rowOff>13607</xdr:rowOff>
    </xdr:from>
    <xdr:to>
      <xdr:col>27</xdr:col>
      <xdr:colOff>7619</xdr:colOff>
      <xdr:row>114</xdr:row>
      <xdr:rowOff>28847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44824</xdr:colOff>
      <xdr:row>91</xdr:row>
      <xdr:rowOff>128068</xdr:rowOff>
    </xdr:from>
    <xdr:to>
      <xdr:col>14</xdr:col>
      <xdr:colOff>596730</xdr:colOff>
      <xdr:row>113</xdr:row>
      <xdr:rowOff>143308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44824</xdr:colOff>
      <xdr:row>115</xdr:row>
      <xdr:rowOff>184898</xdr:rowOff>
    </xdr:from>
    <xdr:to>
      <xdr:col>14</xdr:col>
      <xdr:colOff>596730</xdr:colOff>
      <xdr:row>138</xdr:row>
      <xdr:rowOff>9638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77240</xdr:colOff>
      <xdr:row>89</xdr:row>
      <xdr:rowOff>152880</xdr:rowOff>
    </xdr:from>
    <xdr:to>
      <xdr:col>15</xdr:col>
      <xdr:colOff>16825</xdr:colOff>
      <xdr:row>111</xdr:row>
      <xdr:rowOff>168120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77240</xdr:colOff>
      <xdr:row>114</xdr:row>
      <xdr:rowOff>46426</xdr:rowOff>
    </xdr:from>
    <xdr:to>
      <xdr:col>15</xdr:col>
      <xdr:colOff>16825</xdr:colOff>
      <xdr:row>136</xdr:row>
      <xdr:rowOff>61666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1:C156" totalsRowShown="0" tableBorderDxfId="89">
  <autoFilter ref="A71:C156" xr:uid="{00000000-0009-0000-0100-000001000000}"/>
  <tableColumns count="3">
    <tableColumn id="1" xr3:uid="{00000000-0010-0000-0000-000001000000}" name="Date" dataDxfId="88"/>
    <tableColumn id="2" xr3:uid="{00000000-0010-0000-0000-000002000000}" name="Global Manufacturing PMI" dataDxfId="87"/>
    <tableColumn id="3" xr3:uid="{00000000-0010-0000-0000-000003000000}" name="Change" dataDxfId="86">
      <calculatedColumnFormula>B72-B71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1:E156" totalsRowShown="0">
  <autoFilter ref="A71:E156" xr:uid="{00000000-0009-0000-0100-000002000000}"/>
  <tableColumns count="5">
    <tableColumn id="1" xr3:uid="{00000000-0010-0000-0100-000001000000}" name="Date" dataDxfId="85"/>
    <tableColumn id="2" xr3:uid="{00000000-0010-0000-0100-000002000000}" name="US Manufactung  PMI" dataDxfId="84"/>
    <tableColumn id="3" xr3:uid="{00000000-0010-0000-0100-000003000000}" name="Change" dataDxfId="83"/>
    <tableColumn id="4" xr3:uid="{00000000-0010-0000-0100-000004000000}" name="US GDP Growth q/q"/>
    <tableColumn id="5" xr3:uid="{00000000-0010-0000-0100-000005000000}" name="SPY ET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77:E156" totalsRowShown="0">
  <autoFilter ref="A77:E156" xr:uid="{00000000-0009-0000-0100-000003000000}"/>
  <tableColumns count="5">
    <tableColumn id="1" xr3:uid="{00000000-0010-0000-0200-000001000000}" name="Date" dataDxfId="92"/>
    <tableColumn id="2" xr3:uid="{00000000-0010-0000-0200-000002000000}" name="Canada PMI" dataDxfId="91"/>
    <tableColumn id="3" xr3:uid="{00000000-0010-0000-0200-000003000000}" name="Change" dataDxfId="90"/>
    <tableColumn id="4" xr3:uid="{00000000-0010-0000-0200-000004000000}" name="Canada GDP Growth q/q"/>
    <tableColumn id="5" xr3:uid="{00000000-0010-0000-0200-000005000000}" name="EWC ET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E156" totalsRowShown="0">
  <autoFilter ref="A1:E156" xr:uid="{00000000-0009-0000-0100-000004000000}"/>
  <tableColumns count="5">
    <tableColumn id="1" xr3:uid="{00000000-0010-0000-0300-000001000000}" name="Date" dataDxfId="82"/>
    <tableColumn id="2" xr3:uid="{00000000-0010-0000-0300-000002000000}" name="UK PMI" dataDxfId="81"/>
    <tableColumn id="3" xr3:uid="{00000000-0010-0000-0300-000003000000}" name="Change" dataDxfId="80"/>
    <tableColumn id="4" xr3:uid="{00000000-0010-0000-0300-000004000000}" name="UK GDP Growth q/q"/>
    <tableColumn id="5" xr3:uid="{00000000-0010-0000-0300-000005000000}" name="UK ES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2:E156" totalsRowShown="0">
  <autoFilter ref="A32:E156" xr:uid="{00000000-0009-0000-0100-000005000000}"/>
  <tableColumns count="5">
    <tableColumn id="1" xr3:uid="{00000000-0010-0000-0400-000001000000}" name="Date" dataDxfId="79"/>
    <tableColumn id="2" xr3:uid="{00000000-0010-0000-0400-000002000000}" name="Euro Area PMI" dataDxfId="78"/>
    <tableColumn id="3" xr3:uid="{00000000-0010-0000-0400-000003000000}" name="Change" dataDxfId="77"/>
    <tableColumn id="4" xr3:uid="{00000000-0010-0000-0400-000004000000}" name="Euro Area GDP q/q %" dataDxfId="76"/>
    <tableColumn id="5" xr3:uid="{01325A1D-7AF0-4338-9111-72CB19FFA4FE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38:E156" totalsRowShown="0">
  <autoFilter ref="A38:E156" xr:uid="{00000000-0009-0000-0100-000006000000}"/>
  <tableColumns count="5">
    <tableColumn id="1" xr3:uid="{00000000-0010-0000-0500-000001000000}" name="Date" dataDxfId="75"/>
    <tableColumn id="2" xr3:uid="{00000000-0010-0000-0500-000002000000}" name="Germany PMI" dataDxfId="74"/>
    <tableColumn id="3" xr3:uid="{00000000-0010-0000-0500-000003000000}" name="Change" dataDxfId="73"/>
    <tableColumn id="4" xr3:uid="{00000000-0010-0000-0500-000004000000}" name="Germany GDP q/q" dataDxfId="72"/>
    <tableColumn id="5" xr3:uid="{D1FCE926-B892-4C88-A0A8-8249A45A5D97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45:E156" totalsRowShown="0">
  <autoFilter ref="A45:E156" xr:uid="{00000000-0009-0000-0100-000007000000}"/>
  <tableColumns count="5">
    <tableColumn id="1" xr3:uid="{00000000-0010-0000-0600-000001000000}" name="Date" dataDxfId="71"/>
    <tableColumn id="2" xr3:uid="{00000000-0010-0000-0600-000002000000}" name="France PMI" dataDxfId="70"/>
    <tableColumn id="3" xr3:uid="{00000000-0010-0000-0600-000003000000}" name="Change" dataDxfId="69"/>
    <tableColumn id="4" xr3:uid="{00000000-0010-0000-0600-000004000000}" name="French GDP q/q" dataDxfId="68"/>
    <tableColumn id="5" xr3:uid="{00000000-0010-0000-0600-000005000000}" name="ES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25:E156" totalsRowShown="0">
  <autoFilter ref="A25:E156" xr:uid="{00000000-0009-0000-0100-000008000000}"/>
  <tableColumns count="5">
    <tableColumn id="1" xr3:uid="{00000000-0010-0000-0700-000001000000}" name="Date" dataDxfId="67"/>
    <tableColumn id="2" xr3:uid="{00000000-0010-0000-0700-000002000000}" name="Italy PMI" dataDxfId="66"/>
    <tableColumn id="3" xr3:uid="{00000000-0010-0000-0700-000003000000}" name="Change" dataDxfId="65"/>
    <tableColumn id="4" xr3:uid="{00000000-0010-0000-0700-000004000000}" name="Italy GDP q/q" dataDxfId="64"/>
    <tableColumn id="5" xr3:uid="{A22CF7AA-96F0-427F-A516-F0F98939FFAC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10" displayName="Table10" ref="A25:E156" totalsRowShown="0">
  <autoFilter ref="A25:E156" xr:uid="{00000000-0009-0000-0100-00000A000000}"/>
  <tableColumns count="5">
    <tableColumn id="1" xr3:uid="{00000000-0010-0000-0800-000001000000}" name="Date" dataDxfId="63"/>
    <tableColumn id="2" xr3:uid="{00000000-0010-0000-0800-000002000000}" name="Spanish PMI" dataDxfId="62"/>
    <tableColumn id="3" xr3:uid="{00000000-0010-0000-0800-000003000000}" name="Change" dataDxfId="61"/>
    <tableColumn id="4" xr3:uid="{00000000-0010-0000-0800-000004000000}" name="Spanish GDP q/q" dataDxfId="60"/>
    <tableColumn id="5" xr3:uid="{198C03A8-170C-446F-B0F1-A47EB9F9FC16}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e11" displayName="Table11" ref="A71:E156" totalsRowShown="0">
  <autoFilter ref="A71:E156" xr:uid="{00000000-0009-0000-0100-00000B000000}"/>
  <tableColumns count="5">
    <tableColumn id="1" xr3:uid="{00000000-0010-0000-0900-000001000000}" name="Date" dataDxfId="59"/>
    <tableColumn id="2" xr3:uid="{00000000-0010-0000-0900-000002000000}" name="Greece PMI" dataDxfId="58"/>
    <tableColumn id="3" xr3:uid="{00000000-0010-0000-0900-000003000000}" name="Change" dataDxfId="57"/>
    <tableColumn id="4" xr3:uid="{00000000-0010-0000-0900-000004000000}" name="Greece GDP Growth q/q"/>
    <tableColumn id="5" xr3:uid="{A8293646-450D-49BE-9F8E-493961EB0655}" name="Column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12" displayName="Table12" ref="A71:E156" totalsRowShown="0">
  <autoFilter ref="A71:E156" xr:uid="{00000000-0009-0000-0100-00000C000000}"/>
  <tableColumns count="5">
    <tableColumn id="1" xr3:uid="{00000000-0010-0000-0A00-000001000000}" name="Date" dataDxfId="56"/>
    <tableColumn id="2" xr3:uid="{00000000-0010-0000-0A00-000002000000}" name="Ireland PMI" dataDxfId="55"/>
    <tableColumn id="3" xr3:uid="{00000000-0010-0000-0A00-000003000000}" name="Change" dataDxfId="54"/>
    <tableColumn id="4" xr3:uid="{00000000-0010-0000-0A00-000004000000}" name="Ireland GDP Growth q/q" dataDxfId="53"/>
    <tableColumn id="5" xr3:uid="{76D040C5-B926-4706-89E8-79315957D6B5}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e13" displayName="Table13" ref="A2:E123" totalsRowShown="0" tableBorderDxfId="52">
  <autoFilter ref="A2:E123" xr:uid="{00000000-0009-0000-0100-00000D000000}"/>
  <tableColumns count="5">
    <tableColumn id="1" xr3:uid="{00000000-0010-0000-0B00-000001000000}" name="Date" dataDxfId="51"/>
    <tableColumn id="2" xr3:uid="{00000000-0010-0000-0B00-000002000000}" name="HSBC China PMI" dataDxfId="50"/>
    <tableColumn id="3" xr3:uid="{00000000-0010-0000-0B00-000003000000}" name="Change" dataDxfId="49"/>
    <tableColumn id="4" xr3:uid="{00000000-0010-0000-0B00-000004000000}" name="China GDP y/y %" dataDxfId="48"/>
    <tableColumn id="5" xr3:uid="{00000000-0010-0000-0B00-000005000000}" name="China GDP q/q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le14" displayName="Table14" ref="A62:E156" totalsRowShown="0">
  <autoFilter ref="A62:E156" xr:uid="{00000000-0009-0000-0100-00000E000000}"/>
  <tableColumns count="5">
    <tableColumn id="1" xr3:uid="{00000000-0010-0000-0C00-000001000000}" name="Date" dataDxfId="47"/>
    <tableColumn id="2" xr3:uid="{00000000-0010-0000-0C00-000002000000}" name="Japan PMI" dataDxfId="46"/>
    <tableColumn id="3" xr3:uid="{00000000-0010-0000-0C00-000003000000}" name="Change" dataDxfId="45"/>
    <tableColumn id="4" xr3:uid="{00000000-0010-0000-0C00-000004000000}" name="Japan GDP Growth q/q"/>
    <tableColumn id="5" xr3:uid="{0C74C7DE-1750-4BD9-9347-1586F330A3D8}" name="Column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able15" displayName="Table15" ref="A71:E156" totalsRowShown="0">
  <autoFilter ref="A71:E156" xr:uid="{00000000-0009-0000-0100-00000F000000}"/>
  <tableColumns count="5">
    <tableColumn id="1" xr3:uid="{00000000-0010-0000-0D00-000001000000}" name="Date" dataDxfId="44"/>
    <tableColumn id="2" xr3:uid="{00000000-0010-0000-0D00-000002000000}" name="Brasil PMI" dataDxfId="43"/>
    <tableColumn id="3" xr3:uid="{00000000-0010-0000-0D00-000003000000}" name="Change" dataDxfId="42"/>
    <tableColumn id="4" xr3:uid="{00000000-0010-0000-0D00-000004000000}" name="Brazil GDP Growth q/q" dataDxfId="41"/>
    <tableColumn id="5" xr3:uid="{22BBD123-2EF1-4A92-8D83-81ECE38FAEE9}" name="Column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e16" displayName="Table16" ref="A71:E156" totalsRowShown="0">
  <autoFilter ref="A71:E156" xr:uid="{00000000-0009-0000-0100-000010000000}"/>
  <tableColumns count="5">
    <tableColumn id="1" xr3:uid="{00000000-0010-0000-0E00-000001000000}" name="Date" dataDxfId="40"/>
    <tableColumn id="2" xr3:uid="{00000000-0010-0000-0E00-000002000000}" name="India PMI" dataDxfId="39"/>
    <tableColumn id="3" xr3:uid="{00000000-0010-0000-0E00-000003000000}" name="Change" dataDxfId="38"/>
    <tableColumn id="4" xr3:uid="{00000000-0010-0000-0E00-000004000000}" name="India GDP Growth q/q"/>
    <tableColumn id="5" xr3:uid="{5BFCF13D-F6C7-4842-ADE4-89552781533E}" name="Column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e17" displayName="Table17" ref="A71:E156" totalsRowShown="0">
  <autoFilter ref="A71:E156" xr:uid="{00000000-0009-0000-0100-000011000000}"/>
  <tableColumns count="5">
    <tableColumn id="1" xr3:uid="{00000000-0010-0000-0F00-000001000000}" name="Date" dataDxfId="37"/>
    <tableColumn id="2" xr3:uid="{00000000-0010-0000-0F00-000002000000}" name="Russia PMI" dataDxfId="36"/>
    <tableColumn id="3" xr3:uid="{00000000-0010-0000-0F00-000003000000}" name="Change" dataDxfId="35"/>
    <tableColumn id="4" xr3:uid="{00000000-0010-0000-0F00-000004000000}" name="Russian GDP Growth q/q" dataDxfId="34"/>
    <tableColumn id="5" xr3:uid="{70D8EF45-FE7F-43F1-BCF4-8AEBE62697EB}" name="Column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le18" displayName="Table18" ref="A77:E156" totalsRowShown="0">
  <autoFilter ref="A77:E156" xr:uid="{00000000-0009-0000-0100-000012000000}"/>
  <tableColumns count="5">
    <tableColumn id="1" xr3:uid="{00000000-0010-0000-1000-000001000000}" name="Date" dataDxfId="33"/>
    <tableColumn id="2" xr3:uid="{00000000-0010-0000-1000-000002000000}" name="Mexico PMI" dataDxfId="32"/>
    <tableColumn id="3" xr3:uid="{00000000-0010-0000-1000-000003000000}" name="Change" dataDxfId="31"/>
    <tableColumn id="4" xr3:uid="{00000000-0010-0000-1000-000004000000}" name="Mexico GDP Growth q/q" dataDxfId="30"/>
    <tableColumn id="5" xr3:uid="{0A3276F5-4284-4210-8252-20BECFC51BE6}" name="Column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Table19" displayName="Table19" ref="A42:E156" totalsRowShown="0">
  <autoFilter ref="A42:E156" xr:uid="{00000000-0009-0000-0100-000013000000}"/>
  <tableColumns count="5">
    <tableColumn id="1" xr3:uid="{00000000-0010-0000-1100-000001000000}" name="Date" dataDxfId="29"/>
    <tableColumn id="2" xr3:uid="{00000000-0010-0000-1100-000002000000}" name="Australia PMI" dataDxfId="28"/>
    <tableColumn id="3" xr3:uid="{00000000-0010-0000-1100-000003000000}" name="Change" dataDxfId="27"/>
    <tableColumn id="4" xr3:uid="{00000000-0010-0000-1100-000004000000}" name="GDP Change y/y " dataDxfId="26"/>
    <tableColumn id="5" xr3:uid="{D8F3748F-319E-4DF2-9AAF-656E499D048F}" name="Column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able20" displayName="Table20" ref="A73:E156" totalsRowShown="0">
  <autoFilter ref="A73:E156" xr:uid="{00000000-0009-0000-0100-000014000000}"/>
  <tableColumns count="5">
    <tableColumn id="1" xr3:uid="{00000000-0010-0000-1200-000001000000}" name="Date" dataDxfId="25"/>
    <tableColumn id="2" xr3:uid="{00000000-0010-0000-1200-000002000000}" name="S Korea PMI" dataDxfId="24"/>
    <tableColumn id="3" xr3:uid="{00000000-0010-0000-1200-000003000000}" name="Change" dataDxfId="23"/>
    <tableColumn id="4" xr3:uid="{00000000-0010-0000-1200-000004000000}" name="S Korea GDP Growth q/q" dataDxfId="22"/>
    <tableColumn id="5" xr3:uid="{0867EEC0-33DE-48DA-B337-C8588C3AA424}" name="Column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3000000}" name="Table21" displayName="Table21" ref="A73:E156" totalsRowShown="0">
  <autoFilter ref="A73:E156" xr:uid="{00000000-0009-0000-0100-000015000000}"/>
  <tableColumns count="5">
    <tableColumn id="1" xr3:uid="{00000000-0010-0000-1300-000001000000}" name="Date" dataDxfId="21"/>
    <tableColumn id="2" xr3:uid="{00000000-0010-0000-1300-000002000000}" name="Indonesia PMI" dataDxfId="20"/>
    <tableColumn id="3" xr3:uid="{00000000-0010-0000-1300-000003000000}" name="Change" dataDxfId="19"/>
    <tableColumn id="4" xr3:uid="{00000000-0010-0000-1300-000004000000}" name="GDP Growth q/q"/>
    <tableColumn id="5" xr3:uid="{0CCEB609-0AFF-4F48-806D-BAB083FFFBBD}" name="Column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able23" displayName="Table23" ref="A71:E156" totalsRowShown="0">
  <autoFilter ref="A71:E156" xr:uid="{00000000-0009-0000-0100-000017000000}"/>
  <tableColumns count="5">
    <tableColumn id="1" xr3:uid="{00000000-0010-0000-1400-000001000000}" name="Date" dataDxfId="18"/>
    <tableColumn id="2" xr3:uid="{00000000-0010-0000-1400-000002000000}" name="Taiwan PMI" dataDxfId="17"/>
    <tableColumn id="3" xr3:uid="{00000000-0010-0000-1400-000003000000}" name="Change" dataDxfId="16"/>
    <tableColumn id="4" xr3:uid="{00000000-0010-0000-1400-000004000000}" name="GDP Growth q/q" dataDxfId="15"/>
    <tableColumn id="5" xr3:uid="{0B4CE72B-46C1-4590-84E6-1E0C1F6D2180}" name="Column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able24" displayName="Table24" ref="A71:E156" totalsRowShown="0">
  <autoFilter ref="A71:E156" xr:uid="{00000000-0009-0000-0100-000018000000}"/>
  <tableColumns count="5">
    <tableColumn id="1" xr3:uid="{00000000-0010-0000-1500-000001000000}" name="Date" dataDxfId="14"/>
    <tableColumn id="2" xr3:uid="{00000000-0010-0000-1500-000002000000}" name="Turkey PMI" dataDxfId="13"/>
    <tableColumn id="3" xr3:uid="{00000000-0010-0000-1500-000003000000}" name="Change" dataDxfId="12"/>
    <tableColumn id="4" xr3:uid="{00000000-0010-0000-1500-000004000000}" name="Turkey GDP Growth q/q" dataDxfId="11"/>
    <tableColumn id="5" xr3:uid="{F069E2AB-ADCB-4278-A89E-C55C04919D06}" name="Column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able25" displayName="Table25" ref="A71:E156" totalsRowShown="0">
  <autoFilter ref="A71:E156" xr:uid="{00000000-0009-0000-0100-000019000000}"/>
  <tableColumns count="5">
    <tableColumn id="1" xr3:uid="{00000000-0010-0000-1600-000001000000}" name="Date" dataDxfId="10"/>
    <tableColumn id="2" xr3:uid="{00000000-0010-0000-1600-000002000000}" name="Czech Manufacturing PMI" dataDxfId="9"/>
    <tableColumn id="3" xr3:uid="{00000000-0010-0000-1600-000003000000}" name="Change" dataDxfId="8"/>
    <tableColumn id="4" xr3:uid="{00000000-0010-0000-1600-000004000000}" name="Czech GDP Growth q/q" dataDxfId="7"/>
    <tableColumn id="5" xr3:uid="{EC0CF282-C43A-438C-A4B4-EB143B16FC38}" name="Column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able26" displayName="Table26" ref="A71:E156" totalsRowShown="0">
  <autoFilter ref="A71:E156" xr:uid="{00000000-0009-0000-0100-00001A000000}"/>
  <tableColumns count="5">
    <tableColumn id="1" xr3:uid="{00000000-0010-0000-1700-000001000000}" name="Date" dataDxfId="6"/>
    <tableColumn id="2" xr3:uid="{00000000-0010-0000-1700-000002000000}" name="Poland Manufacturing PMI" dataDxfId="5"/>
    <tableColumn id="3" xr3:uid="{00000000-0010-0000-1700-000003000000}" name="Change" dataDxfId="4"/>
    <tableColumn id="4" xr3:uid="{00000000-0010-0000-1700-000004000000}" name="Poland GDP Growth q/q" dataDxfId="3"/>
    <tableColumn id="5" xr3:uid="{2336E738-CED1-491F-832E-7997FDACAF0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EADFAF-A5F5-4ABD-968E-F442F5347D0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e6d5a16-96c6-4c4e-9d92-73b2202773d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5:Q28"/>
  <sheetViews>
    <sheetView zoomScale="85" zoomScaleNormal="85" workbookViewId="0">
      <selection activeCell="H8" sqref="H8"/>
    </sheetView>
  </sheetViews>
  <sheetFormatPr defaultRowHeight="14.5" x14ac:dyDescent="0.35"/>
  <cols>
    <col min="1" max="1" width="16.6328125" bestFit="1" customWidth="1"/>
    <col min="2" max="2" width="13.6328125" bestFit="1" customWidth="1"/>
    <col min="3" max="3" width="11" bestFit="1" customWidth="1"/>
    <col min="4" max="4" width="8.54296875" bestFit="1" customWidth="1"/>
    <col min="5" max="5" width="9.90625" bestFit="1" customWidth="1"/>
    <col min="6" max="6" width="8.08984375" bestFit="1" customWidth="1"/>
    <col min="7" max="7" width="7.90625" customWidth="1"/>
    <col min="8" max="8" width="26.6328125" customWidth="1"/>
    <col min="9" max="9" width="9.08984375" customWidth="1"/>
    <col min="11" max="11" width="21" customWidth="1"/>
    <col min="12" max="12" width="12.54296875" bestFit="1" customWidth="1"/>
    <col min="13" max="14" width="8.453125" bestFit="1" customWidth="1"/>
    <col min="15" max="16" width="8.453125" customWidth="1"/>
    <col min="17" max="17" width="28.08984375" customWidth="1"/>
    <col min="18" max="18" width="9.08984375" customWidth="1"/>
  </cols>
  <sheetData>
    <row r="5" spans="1:17" x14ac:dyDescent="0.35">
      <c r="A5" s="52" t="s">
        <v>88</v>
      </c>
      <c r="B5" s="51" t="s">
        <v>89</v>
      </c>
      <c r="C5" s="51" t="s">
        <v>92</v>
      </c>
      <c r="D5" s="51" t="s">
        <v>93</v>
      </c>
      <c r="E5" s="51" t="s">
        <v>90</v>
      </c>
      <c r="F5" s="51" t="s">
        <v>91</v>
      </c>
      <c r="G5" s="53" t="s">
        <v>36</v>
      </c>
      <c r="H5" s="54" t="s">
        <v>77</v>
      </c>
      <c r="K5" s="55" t="s">
        <v>88</v>
      </c>
      <c r="L5" s="41" t="s">
        <v>89</v>
      </c>
      <c r="M5" s="118" t="s">
        <v>321</v>
      </c>
      <c r="N5" s="118" t="s">
        <v>322</v>
      </c>
      <c r="O5" s="56" t="s">
        <v>5</v>
      </c>
      <c r="P5" s="56" t="s">
        <v>100</v>
      </c>
      <c r="Q5" s="56" t="s">
        <v>77</v>
      </c>
    </row>
    <row r="6" spans="1:17" ht="13.25" customHeight="1" x14ac:dyDescent="0.35">
      <c r="A6" s="75" t="s">
        <v>87</v>
      </c>
      <c r="B6" s="81">
        <f>VLOOKUP(A6,Data!$A$51:$L$275,2,FALSE)/SUM(Data!$B$53:$B$275)</f>
        <v>0.19182680779638955</v>
      </c>
      <c r="C6" s="77">
        <f>VLOOKUP($A6,Data!$A$51:$L$275,COLUMN(C5),FALSE)</f>
        <v>2.1999999999999999E-2</v>
      </c>
      <c r="D6" s="77">
        <f>VLOOKUP($A6,Data!$A$51:$L$275,COLUMN(D5),FALSE)</f>
        <v>0</v>
      </c>
      <c r="E6" s="77">
        <f>VLOOKUP($A6,Data!$A$51:$L$275,COLUMN(E5),FALSE)</f>
        <v>3.6299999999999999E-2</v>
      </c>
      <c r="F6" s="77">
        <f>VLOOKUP($A6,Data!$A$51:$L$275,COLUMN(F5),FALSE)</f>
        <v>4.2999999999999997E-2</v>
      </c>
      <c r="G6" s="78">
        <f>Tabs!F27</f>
        <v>53.9</v>
      </c>
      <c r="H6" s="79" t="str">
        <f t="shared" ref="H6:H28" si="0">VLOOKUP(A6,$K$6:$Q$28,7,FALSE)</f>
        <v>Growing, slower</v>
      </c>
      <c r="K6" s="75" t="s">
        <v>31</v>
      </c>
      <c r="L6" s="81">
        <f t="shared" ref="L6:L28" si="1">VLOOKUP(K6,$A$6:$B$28,2,FALSE)</f>
        <v>2.4891811964055312E-3</v>
      </c>
      <c r="M6" s="78">
        <f>Tabs!AP27</f>
        <v>54.9</v>
      </c>
      <c r="N6" s="78">
        <f>Tabs!AP26</f>
        <v>55.9</v>
      </c>
      <c r="O6" s="78">
        <f t="shared" ref="O6:O28" si="2">M6-N6</f>
        <v>-1</v>
      </c>
      <c r="P6" s="82">
        <v>18</v>
      </c>
      <c r="Q6" s="84" t="s">
        <v>97</v>
      </c>
    </row>
    <row r="7" spans="1:17" ht="13.25" customHeight="1" x14ac:dyDescent="0.35">
      <c r="A7" s="75" t="s">
        <v>130</v>
      </c>
      <c r="B7" s="81">
        <f>VLOOKUP(A7,Data!$A$51:$L$275,2,FALSE)/SUM(Data!$B$53:$B$275)</f>
        <v>0.14558284520261708</v>
      </c>
      <c r="C7" s="77">
        <f>VLOOKUP($A7,Data!$A$51:$L$275,COLUMN(C6),FALSE)</f>
        <v>3.0000000000000001E-3</v>
      </c>
      <c r="D7" s="77">
        <f>VLOOKUP($A7,Data!$A$51:$L$275,COLUMN(D6),FALSE)</f>
        <v>0</v>
      </c>
      <c r="E7" s="77">
        <f>VLOOKUP($A7,Data!$A$51:$L$275,COLUMN(E6),FALSE)</f>
        <v>1.9299999999999998E-2</v>
      </c>
      <c r="F7" s="77">
        <f>VLOOKUP($A7,Data!$A$51:$L$275,COLUMN(F6),FALSE)</f>
        <v>3.1400000000000004E-2</v>
      </c>
      <c r="G7" s="78">
        <f>Tabs!N27</f>
        <v>51.4</v>
      </c>
      <c r="H7" s="79" t="str">
        <f t="shared" si="0"/>
        <v>Growing, slower</v>
      </c>
      <c r="K7" s="75" t="s">
        <v>128</v>
      </c>
      <c r="L7" s="81">
        <f t="shared" si="1"/>
        <v>2.260815949028877E-3</v>
      </c>
      <c r="M7" s="78">
        <f>Tabs!CL27</f>
        <v>53.9</v>
      </c>
      <c r="N7" s="78">
        <f>Tabs!CL26</f>
        <v>52.2</v>
      </c>
      <c r="O7" s="78">
        <f t="shared" si="2"/>
        <v>1.6999999999999957</v>
      </c>
      <c r="P7" s="82">
        <v>19</v>
      </c>
      <c r="Q7" s="84" t="s">
        <v>98</v>
      </c>
    </row>
    <row r="8" spans="1:17" ht="13.25" customHeight="1" x14ac:dyDescent="0.35">
      <c r="A8" s="75" t="s">
        <v>85</v>
      </c>
      <c r="B8" s="81">
        <f>VLOOKUP(A8,Data!$A$51:$L$275,2,FALSE)/SUM(Data!$B$53:$B$275)</f>
        <v>0.10550474428801425</v>
      </c>
      <c r="C8" s="77">
        <f>VLOOKUP($A8,Data!$A$51:$L$275,COLUMN(C7),FALSE)</f>
        <v>4.4600000000000001E-2</v>
      </c>
      <c r="D8" s="77">
        <f>VLOOKUP($A8,Data!$A$51:$L$275,COLUMN(D7),FALSE)</f>
        <v>0</v>
      </c>
      <c r="E8" s="77">
        <f>VLOOKUP($A8,Data!$A$51:$L$275,COLUMN(E7),FALSE)</f>
        <v>0.03</v>
      </c>
      <c r="F8" s="77">
        <f>VLOOKUP($A8,Data!$A$51:$L$275,COLUMN(F7),FALSE)</f>
        <v>-1E-3</v>
      </c>
      <c r="G8" s="78">
        <f>Tabs!AT27</f>
        <v>51.7</v>
      </c>
      <c r="H8" s="79" t="str">
        <f t="shared" si="0"/>
        <v>Growing, slower</v>
      </c>
      <c r="K8" s="75" t="s">
        <v>35</v>
      </c>
      <c r="L8" s="81">
        <f t="shared" si="1"/>
        <v>2.0838328823119697E-2</v>
      </c>
      <c r="M8" s="78">
        <f>Tabs!J27</f>
        <v>53</v>
      </c>
      <c r="N8" s="78">
        <f>Tabs!J26</f>
        <v>52.9</v>
      </c>
      <c r="O8" s="78">
        <f t="shared" si="2"/>
        <v>0.10000000000000142</v>
      </c>
      <c r="P8" s="82">
        <v>19</v>
      </c>
      <c r="Q8" s="84" t="s">
        <v>147</v>
      </c>
    </row>
    <row r="9" spans="1:17" ht="13.25" customHeight="1" x14ac:dyDescent="0.35">
      <c r="A9" s="75" t="s">
        <v>86</v>
      </c>
      <c r="B9" s="81">
        <f>VLOOKUP(A9,Data!$A$51:$L$275,2,FALSE)/SUM(Data!$B$53:$B$275)</f>
        <v>5.5960903869649116E-2</v>
      </c>
      <c r="C9" s="77">
        <f>VLOOKUP($A9,Data!$A$51:$L$275,COLUMN(C8),FALSE)</f>
        <v>1.43E-2</v>
      </c>
      <c r="D9" s="77">
        <f>VLOOKUP($A9,Data!$A$51:$L$275,COLUMN(D8),FALSE)</f>
        <v>0</v>
      </c>
      <c r="E9" s="77">
        <f>VLOOKUP($A9,Data!$A$51:$L$275,COLUMN(E8),FALSE)</f>
        <v>7.4999999999999997E-3</v>
      </c>
      <c r="F9" s="77">
        <f>VLOOKUP($A9,Data!$A$51:$L$275,COLUMN(F8),FALSE)</f>
        <v>1.9199999999999998E-2</v>
      </c>
      <c r="G9" s="78">
        <f>Tabs!AX27</f>
        <v>54.8</v>
      </c>
      <c r="H9" s="79" t="str">
        <f t="shared" si="0"/>
        <v>Growing, slower</v>
      </c>
      <c r="K9" s="75" t="s">
        <v>87</v>
      </c>
      <c r="L9" s="81">
        <f t="shared" si="1"/>
        <v>0.19182680779638955</v>
      </c>
      <c r="M9" s="78">
        <f>Tabs!F27</f>
        <v>53.9</v>
      </c>
      <c r="N9" s="78">
        <f>Tabs!F26</f>
        <v>55.1</v>
      </c>
      <c r="O9" s="78">
        <f t="shared" si="2"/>
        <v>-1.2000000000000028</v>
      </c>
      <c r="P9" s="82">
        <v>49</v>
      </c>
      <c r="Q9" s="84" t="s">
        <v>97</v>
      </c>
    </row>
    <row r="10" spans="1:17" ht="13.25" customHeight="1" x14ac:dyDescent="0.35">
      <c r="A10" s="75" t="s">
        <v>22</v>
      </c>
      <c r="B10" s="81">
        <f>VLOOKUP(A10,Data!$A$51:$L$275,2,FALSE)/SUM(Data!$B$53:$B$275)</f>
        <v>4.1505383710706903E-2</v>
      </c>
      <c r="C10" s="77">
        <f>VLOOKUP($A10,Data!$A$51:$L$275,COLUMN(C9),FALSE)</f>
        <v>7.1999999999999998E-3</v>
      </c>
      <c r="D10" s="77">
        <f>VLOOKUP($A10,Data!$A$51:$L$275,COLUMN(D9),FALSE)</f>
        <v>0</v>
      </c>
      <c r="E10" s="77">
        <f>VLOOKUP($A10,Data!$A$51:$L$275,COLUMN(E9),FALSE)</f>
        <v>2.3799999999999998E-2</v>
      </c>
      <c r="F10" s="77">
        <f>VLOOKUP($A10,Data!$A$51:$L$275,COLUMN(F9),FALSE)</f>
        <v>2.0199999999999999E-2</v>
      </c>
      <c r="G10" s="78">
        <f>Tabs!V27</f>
        <v>50.3</v>
      </c>
      <c r="H10" s="79" t="str">
        <f t="shared" si="0"/>
        <v>Contracting, from Growing</v>
      </c>
      <c r="K10" s="75" t="s">
        <v>26</v>
      </c>
      <c r="L10" s="81">
        <f t="shared" si="1"/>
        <v>1.5506000296874822E-2</v>
      </c>
      <c r="M10" s="78">
        <f>Tabs!AH27</f>
        <v>49.7</v>
      </c>
      <c r="N10" s="78">
        <f>Tabs!AH26</f>
        <v>51.2</v>
      </c>
      <c r="O10" s="78">
        <f t="shared" si="2"/>
        <v>-1.5</v>
      </c>
      <c r="P10" s="82">
        <v>12</v>
      </c>
      <c r="Q10" s="84" t="s">
        <v>98</v>
      </c>
    </row>
    <row r="11" spans="1:17" ht="13.25" customHeight="1" x14ac:dyDescent="0.35">
      <c r="A11" s="75" t="s">
        <v>23</v>
      </c>
      <c r="B11" s="81">
        <f>VLOOKUP(A11,Data!$A$51:$L$275,2,FALSE)/SUM(Data!$B$53:$B$275)</f>
        <v>3.1228947578757466E-2</v>
      </c>
      <c r="C11" s="77">
        <f>VLOOKUP($A11,Data!$A$51:$L$275,COLUMN(C10),FALSE)</f>
        <v>8.9999999999999993E-3</v>
      </c>
      <c r="D11" s="77">
        <f>VLOOKUP($A11,Data!$A$51:$L$275,COLUMN(D10),FALSE)</f>
        <v>0</v>
      </c>
      <c r="E11" s="77">
        <f>VLOOKUP($A11,Data!$A$51:$L$275,COLUMN(E10),FALSE)</f>
        <v>2.3799999999999998E-2</v>
      </c>
      <c r="F11" s="77">
        <f>VLOOKUP($A11,Data!$A$51:$L$275,COLUMN(F10),FALSE)</f>
        <v>1.6E-2</v>
      </c>
      <c r="G11" s="78">
        <f>Tabs!Z27</f>
        <v>51.2</v>
      </c>
      <c r="H11" s="80" t="str">
        <f t="shared" si="0"/>
        <v>Contracting, faster</v>
      </c>
      <c r="K11" s="75" t="s">
        <v>29</v>
      </c>
      <c r="L11" s="81">
        <f t="shared" si="1"/>
        <v>1.4398428847098049E-2</v>
      </c>
      <c r="M11" s="78">
        <f>Tabs!BN27</f>
        <v>51.3</v>
      </c>
      <c r="N11" s="78">
        <f>Tabs!BN26</f>
        <v>49.6</v>
      </c>
      <c r="O11" s="78">
        <f t="shared" si="2"/>
        <v>1.6999999999999957</v>
      </c>
      <c r="P11" s="82">
        <v>15</v>
      </c>
      <c r="Q11" s="84" t="s">
        <v>98</v>
      </c>
    </row>
    <row r="12" spans="1:17" ht="13.25" customHeight="1" x14ac:dyDescent="0.35">
      <c r="A12" s="75" t="s">
        <v>83</v>
      </c>
      <c r="B12" s="81">
        <f>VLOOKUP(A12,Data!$A$51:$L$275,2,FALSE)/SUM(Data!$B$53:$B$275)</f>
        <v>2.8796857694196099E-2</v>
      </c>
      <c r="C12" s="77">
        <f>VLOOKUP($A12,Data!$A$51:$L$275,COLUMN(C11),FALSE)</f>
        <v>1.6899999999999998E-2</v>
      </c>
      <c r="D12" s="77">
        <f>VLOOKUP($A12,Data!$A$51:$L$275,COLUMN(D11),FALSE)</f>
        <v>0</v>
      </c>
      <c r="E12" s="77">
        <f>VLOOKUP($A12,Data!$A$51:$L$275,COLUMN(E11),FALSE)</f>
        <v>3.73E-2</v>
      </c>
      <c r="F12" s="77">
        <f>VLOOKUP($A12,Data!$A$51:$L$275,COLUMN(F11),FALSE)</f>
        <v>2.7999999999999997E-2</v>
      </c>
      <c r="G12" s="78">
        <f>Tabs!R27</f>
        <v>52.5</v>
      </c>
      <c r="H12" s="79" t="str">
        <f t="shared" si="0"/>
        <v>Growing, faster</v>
      </c>
      <c r="K12" s="75" t="s">
        <v>83</v>
      </c>
      <c r="L12" s="81">
        <f t="shared" si="1"/>
        <v>2.8796857694196099E-2</v>
      </c>
      <c r="M12" s="78">
        <f>Tabs!R27</f>
        <v>52.5</v>
      </c>
      <c r="N12" s="78">
        <f>Tabs!R26</f>
        <v>53.9</v>
      </c>
      <c r="O12" s="78">
        <f t="shared" si="2"/>
        <v>-1.3999999999999986</v>
      </c>
      <c r="P12" s="82">
        <v>20</v>
      </c>
      <c r="Q12" s="84" t="s">
        <v>98</v>
      </c>
    </row>
    <row r="13" spans="1:17" ht="13.25" customHeight="1" x14ac:dyDescent="0.35">
      <c r="A13" s="75" t="s">
        <v>24</v>
      </c>
      <c r="B13" s="81">
        <f>VLOOKUP(A13,Data!$A$51:$L$275,2,FALSE)/SUM(Data!$B$53:$B$275)</f>
        <v>2.5645417280398267E-2</v>
      </c>
      <c r="C13" s="77">
        <f>VLOOKUP($A13,Data!$A$51:$L$275,COLUMN(C12),FALSE)</f>
        <v>2.3300000000000001E-2</v>
      </c>
      <c r="D13" s="77">
        <f>VLOOKUP($A13,Data!$A$51:$L$275,COLUMN(D12),FALSE)</f>
        <v>0</v>
      </c>
      <c r="E13" s="77">
        <f>VLOOKUP($A13,Data!$A$51:$L$275,COLUMN(E12),FALSE)</f>
        <v>0.15</v>
      </c>
      <c r="F13" s="77">
        <f>VLOOKUP($A13,Data!$A$51:$L$275,COLUMN(F12),FALSE)</f>
        <v>4.24E-2</v>
      </c>
      <c r="G13" s="78">
        <f>Tabs!BB27</f>
        <v>50.8</v>
      </c>
      <c r="H13" s="79" t="str">
        <f t="shared" si="0"/>
        <v>Contracting, faster</v>
      </c>
      <c r="K13" s="75" t="s">
        <v>44</v>
      </c>
      <c r="L13" s="81">
        <f t="shared" si="1"/>
        <v>2.1432078466299E-2</v>
      </c>
      <c r="M13" s="78">
        <f>Tabs!BF27</f>
        <v>54.2</v>
      </c>
      <c r="N13" s="78">
        <f>Tabs!BF26</f>
        <v>55</v>
      </c>
      <c r="O13" s="78">
        <f t="shared" si="2"/>
        <v>-0.79999999999999716</v>
      </c>
      <c r="P13" s="82">
        <v>13</v>
      </c>
      <c r="Q13" s="84" t="s">
        <v>98</v>
      </c>
    </row>
    <row r="14" spans="1:17" ht="13.25" customHeight="1" x14ac:dyDescent="0.35">
      <c r="A14" s="75" t="s">
        <v>27</v>
      </c>
      <c r="B14" s="81">
        <f>VLOOKUP(A14,Data!$A$51:$L$275,2,FALSE)/SUM(Data!$B$53:$B$275)</f>
        <v>2.3944096187442195E-2</v>
      </c>
      <c r="C14" s="77">
        <f>VLOOKUP($A14,Data!$A$51:$L$275,COLUMN(C13),FALSE)</f>
        <v>1.1299999999999999E-2</v>
      </c>
      <c r="D14" s="77">
        <f>VLOOKUP($A14,Data!$A$51:$L$275,COLUMN(D13),FALSE)</f>
        <v>0</v>
      </c>
      <c r="E14" s="77">
        <f>VLOOKUP($A14,Data!$A$51:$L$275,COLUMN(E13),FALSE)</f>
        <v>0.16</v>
      </c>
      <c r="F14" s="77">
        <f>VLOOKUP($A14,Data!$A$51:$L$275,COLUMN(F13),FALSE)</f>
        <v>7.0400000000000004E-2</v>
      </c>
      <c r="G14" s="78">
        <f>Tabs!BJ27</f>
        <v>50.3</v>
      </c>
      <c r="H14" s="79" t="str">
        <f t="shared" si="0"/>
        <v>Growing, faster</v>
      </c>
      <c r="K14" s="75" t="s">
        <v>42</v>
      </c>
      <c r="L14" s="81">
        <f t="shared" si="1"/>
        <v>5.9146599070553441E-3</v>
      </c>
      <c r="M14" s="78">
        <f>Tabs!CP27</f>
        <v>46.1</v>
      </c>
      <c r="N14" s="78">
        <f>Tabs!CP26</f>
        <v>49.4</v>
      </c>
      <c r="O14" s="78">
        <f t="shared" si="2"/>
        <v>-3.2999999999999972</v>
      </c>
      <c r="P14" s="82">
        <v>2</v>
      </c>
      <c r="Q14" s="84" t="s">
        <v>98</v>
      </c>
    </row>
    <row r="15" spans="1:17" ht="13.25" customHeight="1" x14ac:dyDescent="0.35">
      <c r="A15" s="75" t="s">
        <v>84</v>
      </c>
      <c r="B15" s="81">
        <f>VLOOKUP(A15,Data!$A$51:$L$275,2,FALSE)/SUM(Data!$B$53:$B$275)</f>
        <v>2.3647221365852546E-2</v>
      </c>
      <c r="C15" s="77">
        <f>VLOOKUP($A15,Data!$A$51:$L$275,COLUMN(C14),FALSE)</f>
        <v>8.9999999999999993E-3</v>
      </c>
      <c r="D15" s="77">
        <f>VLOOKUP($A15,Data!$A$51:$L$275,COLUMN(D14),FALSE)</f>
        <v>0</v>
      </c>
      <c r="E15" s="77">
        <f>VLOOKUP($A15,Data!$A$51:$L$275,COLUMN(E14),FALSE)</f>
        <v>2.3799999999999998E-2</v>
      </c>
      <c r="F15" s="77">
        <f>VLOOKUP($A15,Data!$A$51:$L$275,COLUMN(F14),FALSE)</f>
        <v>2.06E-2</v>
      </c>
      <c r="G15" s="78">
        <f>Tabs!AD27</f>
        <v>52.2</v>
      </c>
      <c r="H15" s="80" t="str">
        <f t="shared" si="0"/>
        <v>Contracting, at same rate</v>
      </c>
      <c r="K15" s="75" t="s">
        <v>41</v>
      </c>
      <c r="L15" s="81">
        <f t="shared" si="1"/>
        <v>9.3629751424428222E-3</v>
      </c>
      <c r="M15" s="78">
        <f>Tabs!CH27</f>
        <v>47.1</v>
      </c>
      <c r="N15" s="78">
        <f>Tabs!CH26</f>
        <v>49.8</v>
      </c>
      <c r="O15" s="78">
        <f t="shared" si="2"/>
        <v>-2.6999999999999957</v>
      </c>
      <c r="P15" s="82">
        <v>4</v>
      </c>
      <c r="Q15" s="84" t="s">
        <v>98</v>
      </c>
    </row>
    <row r="16" spans="1:17" ht="13.25" customHeight="1" x14ac:dyDescent="0.35">
      <c r="A16" s="75" t="s">
        <v>44</v>
      </c>
      <c r="B16" s="81">
        <f>VLOOKUP(A16,Data!$A$51:$L$275,2,FALSE)/SUM(Data!$B$53:$B$275)</f>
        <v>2.1432078466299E-2</v>
      </c>
      <c r="C16" s="77">
        <f>VLOOKUP($A16,Data!$A$51:$L$275,COLUMN(C15),FALSE)</f>
        <v>6.6699999999999995E-2</v>
      </c>
      <c r="D16" s="77">
        <f>VLOOKUP($A16,Data!$A$51:$L$275,COLUMN(D15),FALSE)</f>
        <v>0</v>
      </c>
      <c r="E16" s="77">
        <f>VLOOKUP($A16,Data!$A$51:$L$275,COLUMN(E15),FALSE)</f>
        <v>5.2499999999999998E-2</v>
      </c>
      <c r="F16" s="77">
        <f>VLOOKUP($A16,Data!$A$51:$L$275,COLUMN(F15),FALSE)</f>
        <v>4.2000000000000003E-2</v>
      </c>
      <c r="G16" s="78">
        <f>Tabs!BF27</f>
        <v>54.2</v>
      </c>
      <c r="H16" s="79" t="str">
        <f t="shared" si="0"/>
        <v>Growing, faster</v>
      </c>
      <c r="K16" s="75" t="s">
        <v>86</v>
      </c>
      <c r="L16" s="81">
        <f t="shared" si="1"/>
        <v>5.5960903869649116E-2</v>
      </c>
      <c r="M16" s="78">
        <f>Tabs!AX27</f>
        <v>54.8</v>
      </c>
      <c r="N16" s="78">
        <f>Tabs!AX26</f>
        <v>54.5</v>
      </c>
      <c r="O16" s="78">
        <f t="shared" si="2"/>
        <v>0.29999999999999716</v>
      </c>
      <c r="P16" s="82">
        <v>6</v>
      </c>
      <c r="Q16" s="84" t="s">
        <v>97</v>
      </c>
    </row>
    <row r="17" spans="1:17" ht="13.25" customHeight="1" x14ac:dyDescent="0.35">
      <c r="A17" s="75" t="s">
        <v>35</v>
      </c>
      <c r="B17" s="81">
        <f>VLOOKUP(A17,Data!$A$51:$L$275,2,FALSE)/SUM(Data!$B$53:$B$275)</f>
        <v>2.0838328823119697E-2</v>
      </c>
      <c r="C17" s="77">
        <f>VLOOKUP($A17,Data!$A$51:$L$275,COLUMN(C16),FALSE)</f>
        <v>1.95E-2</v>
      </c>
      <c r="D17" s="77">
        <f>VLOOKUP($A17,Data!$A$51:$L$275,COLUMN(D16),FALSE)</f>
        <v>0</v>
      </c>
      <c r="E17" s="77">
        <f>VLOOKUP($A17,Data!$A$51:$L$275,COLUMN(E16),FALSE)</f>
        <v>2.2499999999999999E-2</v>
      </c>
      <c r="F17" s="77">
        <f>VLOOKUP($A17,Data!$A$51:$L$275,COLUMN(F16),FALSE)</f>
        <v>1.9900000000000001E-2</v>
      </c>
      <c r="G17" s="78">
        <f>Tabs!J27</f>
        <v>53</v>
      </c>
      <c r="H17" s="79" t="str">
        <f t="shared" si="0"/>
        <v>Growing, at same rate</v>
      </c>
      <c r="K17" s="75" t="s">
        <v>27</v>
      </c>
      <c r="L17" s="81">
        <f t="shared" si="1"/>
        <v>2.3944096187442195E-2</v>
      </c>
      <c r="M17" s="78">
        <f>Tabs!BJ27</f>
        <v>50.3</v>
      </c>
      <c r="N17" s="78">
        <f>Tabs!BJ26</f>
        <v>48.8</v>
      </c>
      <c r="O17" s="78">
        <f t="shared" si="2"/>
        <v>1.5</v>
      </c>
      <c r="P17" s="82">
        <v>5</v>
      </c>
      <c r="Q17" s="84" t="s">
        <v>98</v>
      </c>
    </row>
    <row r="18" spans="1:17" ht="13.25" customHeight="1" x14ac:dyDescent="0.35">
      <c r="A18" s="75" t="s">
        <v>28</v>
      </c>
      <c r="B18" s="81">
        <f>VLOOKUP(A18,Data!$A$51:$L$275,2,FALSE)/SUM(Data!$B$53:$B$275)</f>
        <v>1.7823907557747862E-2</v>
      </c>
      <c r="C18" s="77">
        <f>VLOOKUP($A18,Data!$A$51:$L$275,COLUMN(C17),FALSE)</f>
        <v>1.89E-2</v>
      </c>
      <c r="D18" s="77">
        <f>VLOOKUP($A18,Data!$A$51:$L$275,COLUMN(D17),FALSE)</f>
        <v>0</v>
      </c>
      <c r="E18" s="77">
        <f>VLOOKUP($A18,Data!$A$51:$L$275,COLUMN(E17),FALSE)</f>
        <v>4.3099999999999999E-2</v>
      </c>
      <c r="F18" s="77">
        <f>VLOOKUP($A18,Data!$A$51:$L$275,COLUMN(F17),FALSE)</f>
        <v>2.4E-2</v>
      </c>
      <c r="G18" s="78">
        <f>Tabs!BR27</f>
        <v>51.5</v>
      </c>
      <c r="H18" s="80" t="str">
        <f t="shared" si="0"/>
        <v>Growing, from Contracting</v>
      </c>
      <c r="K18" s="75" t="s">
        <v>34</v>
      </c>
      <c r="L18" s="81">
        <f t="shared" si="1"/>
        <v>5.5835302983591956E-3</v>
      </c>
      <c r="M18" s="78">
        <f>Tabs!CD27</f>
        <v>55.2</v>
      </c>
      <c r="N18" s="78">
        <f>Tabs!CD26</f>
        <v>56.1</v>
      </c>
      <c r="O18" s="78">
        <f t="shared" si="2"/>
        <v>-0.89999999999999858</v>
      </c>
      <c r="P18" s="82">
        <v>15</v>
      </c>
      <c r="Q18" s="84" t="s">
        <v>97</v>
      </c>
    </row>
    <row r="19" spans="1:17" ht="13.25" customHeight="1" x14ac:dyDescent="0.35">
      <c r="A19" s="75" t="s">
        <v>26</v>
      </c>
      <c r="B19" s="81">
        <f>VLOOKUP(A19,Data!$A$51:$L$275,2,FALSE)/SUM(Data!$B$53:$B$275)</f>
        <v>1.5506000296874822E-2</v>
      </c>
      <c r="C19" s="77">
        <f>VLOOKUP($A19,Data!$A$51:$L$275,COLUMN(C18),FALSE)</f>
        <v>2.2800000000000001E-2</v>
      </c>
      <c r="D19" s="77">
        <f>VLOOKUP($A19,Data!$A$51:$L$275,COLUMN(D18),FALSE)</f>
        <v>0</v>
      </c>
      <c r="E19" s="77">
        <f>VLOOKUP($A19,Data!$A$51:$L$275,COLUMN(E18),FALSE)</f>
        <v>2.3799999999999998E-2</v>
      </c>
      <c r="F19" s="77">
        <f>VLOOKUP($A19,Data!$A$51:$L$275,COLUMN(F18),FALSE)</f>
        <v>2.06E-2</v>
      </c>
      <c r="G19" s="78">
        <f>Tabs!AH27</f>
        <v>49.7</v>
      </c>
      <c r="H19" s="79" t="str">
        <f t="shared" si="0"/>
        <v>Growing, faster</v>
      </c>
      <c r="K19" s="75" t="s">
        <v>85</v>
      </c>
      <c r="L19" s="81">
        <f t="shared" si="1"/>
        <v>0.10550474428801425</v>
      </c>
      <c r="M19" s="78">
        <f>Tabs!AT27</f>
        <v>51.7</v>
      </c>
      <c r="N19" s="78">
        <f>Tabs!AT26</f>
        <v>51.8</v>
      </c>
      <c r="O19" s="78">
        <f t="shared" si="2"/>
        <v>-9.9999999999994316E-2</v>
      </c>
      <c r="P19" s="82">
        <v>6</v>
      </c>
      <c r="Q19" s="84" t="s">
        <v>97</v>
      </c>
    </row>
    <row r="20" spans="1:17" ht="13.25" customHeight="1" x14ac:dyDescent="0.35">
      <c r="A20" s="75" t="s">
        <v>135</v>
      </c>
      <c r="B20" s="81">
        <f>VLOOKUP(A20,Data!$A$51:$L$275,2,FALSE)/SUM(Data!$B$53:$B$275)</f>
        <v>1.4900832391326687E-2</v>
      </c>
      <c r="C20" s="77">
        <f>VLOOKUP($A20,Data!$A$51:$L$275,COLUMN(C19),FALSE)</f>
        <v>2.3E-2</v>
      </c>
      <c r="D20" s="77">
        <f>VLOOKUP($A20,Data!$A$51:$L$275,COLUMN(D19),FALSE)</f>
        <v>0</v>
      </c>
      <c r="E20" s="77">
        <f>VLOOKUP($A20,Data!$A$51:$L$275,COLUMN(E19),FALSE)</f>
        <v>2.5000000000000001E-2</v>
      </c>
      <c r="F20" s="77">
        <f>VLOOKUP($A20,Data!$A$51:$L$275,COLUMN(F19),FALSE)</f>
        <v>1.84E-2</v>
      </c>
      <c r="G20" s="78">
        <f>Tabs!BV27</f>
        <v>52.1</v>
      </c>
      <c r="H20" s="79" t="str">
        <f t="shared" si="0"/>
        <v>Contracting, slower</v>
      </c>
      <c r="K20" s="75" t="s">
        <v>28</v>
      </c>
      <c r="L20" s="81">
        <f t="shared" si="1"/>
        <v>1.7823907557747862E-2</v>
      </c>
      <c r="M20" s="78">
        <f>Tabs!BR27</f>
        <v>51.5</v>
      </c>
      <c r="N20" s="78">
        <f>Tabs!BR26</f>
        <v>50.7</v>
      </c>
      <c r="O20" s="78">
        <f t="shared" si="2"/>
        <v>0.79999999999999716</v>
      </c>
      <c r="P20" s="82">
        <v>1</v>
      </c>
      <c r="Q20" s="84" t="s">
        <v>144</v>
      </c>
    </row>
    <row r="21" spans="1:17" ht="13.25" customHeight="1" x14ac:dyDescent="0.35">
      <c r="A21" s="75" t="s">
        <v>29</v>
      </c>
      <c r="B21" s="81">
        <f>VLOOKUP(A21,Data!$A$51:$L$275,2,FALSE)/SUM(Data!$B$53:$B$275)</f>
        <v>1.4398428847098049E-2</v>
      </c>
      <c r="C21" s="77">
        <f>VLOOKUP($A21,Data!$A$51:$L$275,COLUMN(C20),FALSE)</f>
        <v>1.41E-2</v>
      </c>
      <c r="D21" s="77">
        <f>VLOOKUP($A21,Data!$A$51:$L$275,COLUMN(D20),FALSE)</f>
        <v>0</v>
      </c>
      <c r="E21" s="77">
        <f>VLOOKUP($A21,Data!$A$51:$L$275,COLUMN(E20),FALSE)</f>
        <v>7.0000000000000007E-2</v>
      </c>
      <c r="F21" s="77">
        <f>VLOOKUP($A21,Data!$A$51:$L$275,COLUMN(F20),FALSE)</f>
        <v>3.3399999999999999E-2</v>
      </c>
      <c r="G21" s="78">
        <f>Tabs!BN27</f>
        <v>51.3</v>
      </c>
      <c r="H21" s="79" t="str">
        <f t="shared" si="0"/>
        <v>Growing, faster</v>
      </c>
      <c r="K21" s="75" t="s">
        <v>130</v>
      </c>
      <c r="L21" s="81">
        <f t="shared" si="1"/>
        <v>0.14558284520261708</v>
      </c>
      <c r="M21" s="78">
        <f>Tabs!N27</f>
        <v>51.4</v>
      </c>
      <c r="N21" s="78">
        <f>Tabs!N26</f>
        <v>51.6</v>
      </c>
      <c r="O21" s="78">
        <f t="shared" si="2"/>
        <v>-0.20000000000000284</v>
      </c>
      <c r="P21" s="82">
        <v>17</v>
      </c>
      <c r="Q21" s="84" t="s">
        <v>97</v>
      </c>
    </row>
    <row r="22" spans="1:17" ht="13.25" customHeight="1" x14ac:dyDescent="0.35">
      <c r="A22" s="75" t="s">
        <v>32</v>
      </c>
      <c r="B22" s="81">
        <f>VLOOKUP(A22,Data!$A$51:$L$275,2,FALSE)/SUM(Data!$B$53:$B$275)</f>
        <v>9.9110517361467934E-3</v>
      </c>
      <c r="C22" s="77">
        <f>VLOOKUP($A22,Data!$A$51:$L$275,COLUMN(C21),FALSE)</f>
        <v>4.82E-2</v>
      </c>
      <c r="D22" s="77">
        <f>VLOOKUP($A22,Data!$A$51:$L$275,COLUMN(D21),FALSE)</f>
        <v>0</v>
      </c>
      <c r="E22" s="77">
        <f>VLOOKUP($A22,Data!$A$51:$L$275,COLUMN(E21),FALSE)</f>
        <v>4.7500000000000001E-2</v>
      </c>
      <c r="F22" s="77">
        <f>VLOOKUP($A22,Data!$A$51:$L$275,COLUMN(F21),FALSE)</f>
        <v>2.2400000000000003E-2</v>
      </c>
      <c r="G22" s="78">
        <f>Tabs!BZ27</f>
        <v>46.9</v>
      </c>
      <c r="H22" s="80" t="str">
        <f t="shared" si="0"/>
        <v>Contracting, faster</v>
      </c>
      <c r="K22" s="75" t="s">
        <v>22</v>
      </c>
      <c r="L22" s="81">
        <f t="shared" si="1"/>
        <v>4.1505383710706903E-2</v>
      </c>
      <c r="M22" s="78">
        <f>Tabs!V27</f>
        <v>50.3</v>
      </c>
      <c r="N22" s="78">
        <f>Tabs!V26</f>
        <v>50.1</v>
      </c>
      <c r="O22" s="78">
        <f t="shared" si="2"/>
        <v>0.19999999999999574</v>
      </c>
      <c r="P22" s="82">
        <v>1</v>
      </c>
      <c r="Q22" s="83" t="s">
        <v>123</v>
      </c>
    </row>
    <row r="23" spans="1:17" ht="13.25" customHeight="1" x14ac:dyDescent="0.35">
      <c r="A23" s="75" t="s">
        <v>41</v>
      </c>
      <c r="B23" s="81">
        <f>VLOOKUP(A23,Data!$A$51:$L$275,2,FALSE)/SUM(Data!$B$53:$B$275)</f>
        <v>9.3629751424428222E-3</v>
      </c>
      <c r="C23" s="77">
        <f>VLOOKUP($A23,Data!$A$51:$L$275,COLUMN(C22),FALSE)</f>
        <v>2.5899999999999999E-2</v>
      </c>
      <c r="D23" s="77">
        <f>VLOOKUP($A23,Data!$A$51:$L$275,COLUMN(D22),FALSE)</f>
        <v>0</v>
      </c>
      <c r="E23" s="77">
        <f>VLOOKUP($A23,Data!$A$51:$L$275,COLUMN(E22),FALSE)</f>
        <v>0.38</v>
      </c>
      <c r="F23" s="77">
        <f>VLOOKUP($A23,Data!$A$51:$L$275,COLUMN(F22),FALSE)</f>
        <v>0.30670000000000003</v>
      </c>
      <c r="G23" s="78">
        <f>Tabs!CH27</f>
        <v>47.1</v>
      </c>
      <c r="H23" s="79" t="str">
        <f t="shared" si="0"/>
        <v>Growing, faster</v>
      </c>
      <c r="K23" s="75" t="s">
        <v>30</v>
      </c>
      <c r="L23" s="81">
        <f t="shared" si="1"/>
        <v>2.7632194932575159E-3</v>
      </c>
      <c r="M23" s="78">
        <f>Tabs!AL27</f>
        <v>53.8</v>
      </c>
      <c r="N23" s="78">
        <f>Tabs!AL26</f>
        <v>53.3</v>
      </c>
      <c r="O23" s="78">
        <f t="shared" si="2"/>
        <v>0.5</v>
      </c>
      <c r="P23" s="82">
        <v>3</v>
      </c>
      <c r="Q23" s="83" t="s">
        <v>99</v>
      </c>
    </row>
    <row r="24" spans="1:17" ht="13.25" customHeight="1" x14ac:dyDescent="0.35">
      <c r="A24" s="75" t="s">
        <v>42</v>
      </c>
      <c r="B24" s="81">
        <f>VLOOKUP(A24,Data!$A$51:$L$275,2,FALSE)/SUM(Data!$B$53:$B$275)</f>
        <v>5.9146599070553441E-3</v>
      </c>
      <c r="C24" s="77">
        <f>VLOOKUP($A24,Data!$A$51:$L$275,COLUMN(C23),FALSE)</f>
        <v>3.3599999999999998E-2</v>
      </c>
      <c r="D24" s="77">
        <f>VLOOKUP($A24,Data!$A$51:$L$275,COLUMN(D23),FALSE)</f>
        <v>0</v>
      </c>
      <c r="E24" s="77">
        <f>VLOOKUP($A24,Data!$A$51:$L$275,COLUMN(E23),FALSE)</f>
        <v>0.04</v>
      </c>
      <c r="F24" s="77">
        <f>VLOOKUP($A24,Data!$A$51:$L$275,COLUMN(F23),FALSE)</f>
        <v>5.0300000000000004E-2</v>
      </c>
      <c r="G24" s="78">
        <f>Tabs!CP27</f>
        <v>46.1</v>
      </c>
      <c r="H24" s="80" t="str">
        <f t="shared" si="0"/>
        <v>Growing, faster</v>
      </c>
      <c r="K24" s="75" t="s">
        <v>135</v>
      </c>
      <c r="L24" s="81">
        <f t="shared" si="1"/>
        <v>1.4900832391326687E-2</v>
      </c>
      <c r="M24" s="78">
        <f>Tabs!BV27</f>
        <v>52.1</v>
      </c>
      <c r="N24" s="78">
        <f>Tabs!BV26</f>
        <v>54.8</v>
      </c>
      <c r="O24" s="78">
        <f t="shared" si="2"/>
        <v>-2.6999999999999957</v>
      </c>
      <c r="P24" s="82">
        <v>3</v>
      </c>
      <c r="Q24" s="83" t="s">
        <v>99</v>
      </c>
    </row>
    <row r="25" spans="1:17" ht="13.25" customHeight="1" x14ac:dyDescent="0.35">
      <c r="A25" s="75" t="s">
        <v>34</v>
      </c>
      <c r="B25" s="81">
        <f>VLOOKUP(A25,Data!$A$51:$L$275,2,FALSE)/SUM(Data!$B$53:$B$275)</f>
        <v>5.5835302983591956E-3</v>
      </c>
      <c r="C25" s="77">
        <f>VLOOKUP($A25,Data!$A$51:$L$275,COLUMN(C24),FALSE)</f>
        <v>8.6999999999999994E-2</v>
      </c>
      <c r="D25" s="77">
        <f>VLOOKUP($A25,Data!$A$51:$L$275,COLUMN(D24),FALSE)</f>
        <v>0</v>
      </c>
      <c r="E25" s="77">
        <f>VLOOKUP($A25,Data!$A$51:$L$275,COLUMN(E24),FALSE)</f>
        <v>1.11E-2</v>
      </c>
      <c r="F25" s="77">
        <f>VLOOKUP($A25,Data!$A$51:$L$275,COLUMN(F24),FALSE)</f>
        <v>1.66E-2</v>
      </c>
      <c r="G25" s="78">
        <f>Tabs!CD27</f>
        <v>55.2</v>
      </c>
      <c r="H25" s="79" t="str">
        <f t="shared" si="0"/>
        <v>Growing, slower</v>
      </c>
      <c r="K25" s="75" t="s">
        <v>84</v>
      </c>
      <c r="L25" s="81">
        <f t="shared" si="1"/>
        <v>2.3647221365852546E-2</v>
      </c>
      <c r="M25" s="78">
        <f>Tabs!AD27</f>
        <v>52.2</v>
      </c>
      <c r="N25" s="78">
        <f>Tabs!AD26</f>
        <v>52.9</v>
      </c>
      <c r="O25" s="78">
        <f t="shared" si="2"/>
        <v>-0.69999999999999574</v>
      </c>
      <c r="P25" s="82">
        <v>2</v>
      </c>
      <c r="Q25" s="83" t="s">
        <v>310</v>
      </c>
    </row>
    <row r="26" spans="1:17" ht="13.25" customHeight="1" x14ac:dyDescent="0.35">
      <c r="A26" s="75" t="s">
        <v>30</v>
      </c>
      <c r="B26" s="81">
        <f>VLOOKUP(A26,Data!$A$51:$L$275,2,FALSE)/SUM(Data!$B$53:$B$275)</f>
        <v>2.7632194932575159E-3</v>
      </c>
      <c r="C26" s="77">
        <f>VLOOKUP($A26,Data!$A$51:$L$275,COLUMN(C25),FALSE)</f>
        <v>2.1700000000000001E-2</v>
      </c>
      <c r="D26" s="77">
        <f>VLOOKUP($A26,Data!$A$51:$L$275,COLUMN(D25),FALSE)</f>
        <v>0</v>
      </c>
      <c r="E26" s="77">
        <f>VLOOKUP($A26,Data!$A$51:$L$275,COLUMN(E25),FALSE)</f>
        <v>2.3799999999999998E-2</v>
      </c>
      <c r="F26" s="77">
        <f>VLOOKUP($A26,Data!$A$51:$L$275,COLUMN(F25),FALSE)</f>
        <v>2.7400000000000001E-2</v>
      </c>
      <c r="G26" s="78">
        <f>Tabs!AL27</f>
        <v>53.8</v>
      </c>
      <c r="H26" s="79" t="str">
        <f t="shared" si="0"/>
        <v>Contracting, slower</v>
      </c>
      <c r="K26" s="75" t="s">
        <v>24</v>
      </c>
      <c r="L26" s="81">
        <f t="shared" si="1"/>
        <v>2.5645417280398267E-2</v>
      </c>
      <c r="M26" s="78">
        <f>Tabs!BB27</f>
        <v>50.8</v>
      </c>
      <c r="N26" s="78">
        <f>Tabs!BB26</f>
        <v>49.1</v>
      </c>
      <c r="O26" s="78">
        <f t="shared" si="2"/>
        <v>1.6999999999999957</v>
      </c>
      <c r="P26" s="82">
        <v>3</v>
      </c>
      <c r="Q26" s="83" t="s">
        <v>122</v>
      </c>
    </row>
    <row r="27" spans="1:17" ht="13.25" customHeight="1" x14ac:dyDescent="0.35">
      <c r="A27" s="75" t="s">
        <v>31</v>
      </c>
      <c r="B27" s="81">
        <f>VLOOKUP(A27,Data!$A$51:$L$275,2,FALSE)/SUM(Data!$B$53:$B$275)</f>
        <v>2.4891811964055312E-3</v>
      </c>
      <c r="C27" s="77">
        <f>VLOOKUP($A27,Data!$A$51:$L$275,COLUMN(C26),FALSE)</f>
        <v>3.6600000000000001E-2</v>
      </c>
      <c r="D27" s="77">
        <f>VLOOKUP($A27,Data!$A$51:$L$275,COLUMN(D26),FALSE)</f>
        <v>0</v>
      </c>
      <c r="E27" s="77">
        <f>VLOOKUP($A27,Data!$A$51:$L$275,COLUMN(E26),FALSE)</f>
        <v>2.3799999999999998E-2</v>
      </c>
      <c r="F27" s="77">
        <f>VLOOKUP($A27,Data!$A$51:$L$275,COLUMN(F26),FALSE)</f>
        <v>1.8600000000000002E-2</v>
      </c>
      <c r="G27" s="78">
        <f>Tabs!AP27</f>
        <v>54.9</v>
      </c>
      <c r="H27" s="79" t="str">
        <f t="shared" si="0"/>
        <v>Growing, slower</v>
      </c>
      <c r="K27" s="75" t="s">
        <v>23</v>
      </c>
      <c r="L27" s="81">
        <f t="shared" si="1"/>
        <v>3.1228947578757466E-2</v>
      </c>
      <c r="M27" s="78">
        <f>Tabs!Z27</f>
        <v>51.2</v>
      </c>
      <c r="N27" s="78">
        <f>Tabs!Z26</f>
        <v>49.7</v>
      </c>
      <c r="O27" s="78">
        <f t="shared" si="2"/>
        <v>1.5</v>
      </c>
      <c r="P27" s="82">
        <v>7</v>
      </c>
      <c r="Q27" s="83" t="s">
        <v>122</v>
      </c>
    </row>
    <row r="28" spans="1:17" ht="13.25" customHeight="1" x14ac:dyDescent="0.35">
      <c r="A28" s="76" t="s">
        <v>128</v>
      </c>
      <c r="B28" s="42">
        <f>VLOOKUP(A28,Data!$A$51:$L$275,2,FALSE)/SUM(Data!$B$53:$B$275)</f>
        <v>2.260815949028877E-3</v>
      </c>
      <c r="C28" s="77">
        <f>VLOOKUP($A28,Data!$A$51:$L$275,COLUMN(C27),FALSE)</f>
        <v>2.3599999999999999E-2</v>
      </c>
      <c r="D28" s="77">
        <f>VLOOKUP($A28,Data!$A$51:$L$275,COLUMN(D27),FALSE)</f>
        <v>0</v>
      </c>
      <c r="E28" s="77">
        <f>VLOOKUP($A28,Data!$A$51:$L$275,COLUMN(E27),FALSE)</f>
        <v>3.5000000000000003E-2</v>
      </c>
      <c r="F28" s="77">
        <f>VLOOKUP($A28,Data!$A$51:$L$275,COLUMN(F27),FALSE)</f>
        <v>2.3300000000000001E-2</v>
      </c>
      <c r="G28" s="78">
        <f>Tabs!CL27</f>
        <v>53.9</v>
      </c>
      <c r="H28" s="79" t="str">
        <f t="shared" si="0"/>
        <v>Growing, faster</v>
      </c>
      <c r="K28" s="76" t="s">
        <v>32</v>
      </c>
      <c r="L28" s="42">
        <f t="shared" si="1"/>
        <v>9.9110517361467934E-3</v>
      </c>
      <c r="M28" s="78">
        <f>Tabs!BZ27</f>
        <v>46.9</v>
      </c>
      <c r="N28" s="78">
        <f>Tabs!BZ26</f>
        <v>50</v>
      </c>
      <c r="O28" s="78">
        <f t="shared" si="2"/>
        <v>-3.1000000000000014</v>
      </c>
      <c r="P28" s="82">
        <v>2</v>
      </c>
      <c r="Q28" s="83" t="s">
        <v>122</v>
      </c>
    </row>
  </sheetData>
  <conditionalFormatting sqref="C6:F28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7">
      <colorScale>
        <cfvo type="min"/>
        <cfvo type="max"/>
        <color rgb="FFFCFCFF"/>
        <color rgb="FFF8696B"/>
      </colorScale>
    </cfRule>
  </conditionalFormatting>
  <conditionalFormatting sqref="E6:E28">
    <cfRule type="colorScale" priority="15">
      <colorScale>
        <cfvo type="min"/>
        <cfvo type="max"/>
        <color rgb="FFFCFCFF"/>
        <color rgb="FF63BE7B"/>
      </colorScale>
    </cfRule>
  </conditionalFormatting>
  <conditionalFormatting sqref="F6:F28">
    <cfRule type="colorScale" priority="14">
      <colorScale>
        <cfvo type="min"/>
        <cfvo type="max"/>
        <color rgb="FFFCFCFF"/>
        <color rgb="FFF8696B"/>
      </colorScale>
    </cfRule>
  </conditionalFormatting>
  <conditionalFormatting sqref="G6:G28">
    <cfRule type="colorScale" priority="1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M6:N28">
    <cfRule type="colorScale" priority="8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O6:O28">
    <cfRule type="colorScale" priority="2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P6:P28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27"/>
  <sheetViews>
    <sheetView zoomScale="55" zoomScaleNormal="55" workbookViewId="0">
      <selection activeCell="E30" sqref="E30"/>
    </sheetView>
  </sheetViews>
  <sheetFormatPr defaultRowHeight="14.5" x14ac:dyDescent="0.35"/>
  <cols>
    <col min="1" max="3" width="8.6328125" customWidth="1"/>
    <col min="4" max="4" width="4.6328125" customWidth="1"/>
    <col min="5" max="5" width="8.6328125" customWidth="1"/>
    <col min="8" max="8" width="4.6328125" customWidth="1"/>
    <col min="9" max="11" width="8.6328125" customWidth="1"/>
    <col min="12" max="12" width="4.6328125" customWidth="1"/>
    <col min="13" max="15" width="8.6328125" customWidth="1"/>
    <col min="16" max="16" width="4.6328125" customWidth="1"/>
    <col min="17" max="19" width="8.6328125" customWidth="1"/>
    <col min="20" max="20" width="4.6328125" customWidth="1"/>
    <col min="21" max="23" width="8.6328125" customWidth="1"/>
    <col min="24" max="24" width="4.6328125" customWidth="1"/>
    <col min="25" max="27" width="8.6328125" customWidth="1"/>
    <col min="28" max="28" width="4.6328125" customWidth="1"/>
    <col min="29" max="31" width="8.6328125" customWidth="1"/>
    <col min="32" max="32" width="4.6328125" customWidth="1"/>
    <col min="33" max="35" width="8.6328125" customWidth="1"/>
    <col min="36" max="36" width="5.6328125" customWidth="1"/>
    <col min="37" max="39" width="8.6328125" customWidth="1"/>
    <col min="40" max="40" width="5.6328125" customWidth="1"/>
    <col min="41" max="43" width="8.6328125" customWidth="1"/>
    <col min="44" max="44" width="5.6328125" customWidth="1"/>
    <col min="45" max="47" width="8.6328125" customWidth="1"/>
    <col min="48" max="48" width="5.6328125" customWidth="1"/>
    <col min="49" max="51" width="8.6328125" customWidth="1"/>
    <col min="52" max="52" width="5.6328125" customWidth="1"/>
    <col min="53" max="55" width="8.6328125" customWidth="1"/>
    <col min="56" max="56" width="5.6328125" customWidth="1"/>
    <col min="57" max="59" width="8.6328125" customWidth="1"/>
    <col min="60" max="60" width="5.6328125" customWidth="1"/>
    <col min="61" max="63" width="8.6328125" customWidth="1"/>
    <col min="64" max="64" width="5.6328125" customWidth="1"/>
    <col min="65" max="67" width="8.6328125" customWidth="1"/>
    <col min="68" max="68" width="5.6328125" customWidth="1"/>
    <col min="69" max="71" width="8.6328125" customWidth="1"/>
    <col min="72" max="72" width="5.6328125" customWidth="1"/>
    <col min="73" max="75" width="8.6328125" customWidth="1"/>
    <col min="76" max="76" width="5.6328125" customWidth="1"/>
    <col min="77" max="79" width="8.6328125" customWidth="1"/>
    <col min="80" max="80" width="5.6328125" customWidth="1"/>
    <col min="81" max="83" width="8.6328125" customWidth="1"/>
    <col min="84" max="84" width="5.6328125" customWidth="1"/>
    <col min="85" max="87" width="8.6328125" customWidth="1"/>
    <col min="88" max="88" width="5.6328125" customWidth="1"/>
    <col min="89" max="91" width="8.6328125" customWidth="1"/>
    <col min="92" max="92" width="5.6328125" customWidth="1"/>
    <col min="93" max="95" width="8.6328125" customWidth="1"/>
  </cols>
  <sheetData>
    <row r="1" spans="1:95" x14ac:dyDescent="0.35">
      <c r="A1" t="s">
        <v>320</v>
      </c>
    </row>
    <row r="2" spans="1:95" ht="15.5" x14ac:dyDescent="0.35">
      <c r="A2" s="126" t="s">
        <v>15</v>
      </c>
      <c r="B2" s="126"/>
      <c r="C2" s="126"/>
      <c r="E2" s="126" t="s">
        <v>16</v>
      </c>
      <c r="F2" s="126"/>
      <c r="G2" s="126"/>
      <c r="I2" s="126" t="s">
        <v>101</v>
      </c>
      <c r="J2" s="126"/>
      <c r="K2" s="126"/>
      <c r="M2" s="126" t="s">
        <v>102</v>
      </c>
      <c r="N2" s="126"/>
      <c r="O2" s="126"/>
      <c r="Q2" s="126" t="s">
        <v>17</v>
      </c>
      <c r="R2" s="126"/>
      <c r="S2" s="126"/>
      <c r="U2" s="126" t="s">
        <v>103</v>
      </c>
      <c r="V2" s="126"/>
      <c r="W2" s="126"/>
      <c r="Y2" s="126" t="s">
        <v>104</v>
      </c>
      <c r="Z2" s="126"/>
      <c r="AA2" s="126"/>
      <c r="AC2" s="126" t="s">
        <v>105</v>
      </c>
      <c r="AD2" s="126"/>
      <c r="AE2" s="126"/>
      <c r="AG2" s="126" t="s">
        <v>106</v>
      </c>
      <c r="AH2" s="126"/>
      <c r="AI2" s="126"/>
      <c r="AK2" s="126" t="s">
        <v>107</v>
      </c>
      <c r="AL2" s="126"/>
      <c r="AM2" s="126"/>
      <c r="AO2" s="126" t="s">
        <v>108</v>
      </c>
      <c r="AP2" s="126"/>
      <c r="AQ2" s="126"/>
      <c r="AS2" s="126" t="s">
        <v>109</v>
      </c>
      <c r="AT2" s="126"/>
      <c r="AU2" s="126"/>
      <c r="AW2" s="126" t="s">
        <v>110</v>
      </c>
      <c r="AX2" s="126"/>
      <c r="AY2" s="126"/>
      <c r="BA2" s="126" t="s">
        <v>111</v>
      </c>
      <c r="BB2" s="126"/>
      <c r="BC2" s="126"/>
      <c r="BE2" s="126" t="s">
        <v>112</v>
      </c>
      <c r="BF2" s="126"/>
      <c r="BG2" s="126"/>
      <c r="BI2" s="126" t="s">
        <v>113</v>
      </c>
      <c r="BJ2" s="126"/>
      <c r="BK2" s="126"/>
      <c r="BM2" s="126" t="s">
        <v>114</v>
      </c>
      <c r="BN2" s="126"/>
      <c r="BO2" s="126"/>
      <c r="BQ2" s="126" t="s">
        <v>115</v>
      </c>
      <c r="BR2" s="126"/>
      <c r="BS2" s="126"/>
      <c r="BU2" s="126" t="s">
        <v>116</v>
      </c>
      <c r="BV2" s="126"/>
      <c r="BW2" s="126"/>
      <c r="BY2" s="126" t="s">
        <v>117</v>
      </c>
      <c r="BZ2" s="126"/>
      <c r="CA2" s="126"/>
      <c r="CC2" s="126" t="s">
        <v>118</v>
      </c>
      <c r="CD2" s="126"/>
      <c r="CE2" s="126"/>
      <c r="CG2" s="126" t="s">
        <v>119</v>
      </c>
      <c r="CH2" s="126"/>
      <c r="CI2" s="126"/>
      <c r="CK2" s="126" t="s">
        <v>120</v>
      </c>
      <c r="CL2" s="126"/>
      <c r="CM2" s="126"/>
      <c r="CO2" s="126" t="s">
        <v>121</v>
      </c>
      <c r="CP2" s="126"/>
      <c r="CQ2" s="126"/>
    </row>
    <row r="3" spans="1:95" x14ac:dyDescent="0.35">
      <c r="A3" s="45" t="s">
        <v>0</v>
      </c>
      <c r="B3" s="46" t="s">
        <v>76</v>
      </c>
      <c r="C3" s="47" t="s">
        <v>5</v>
      </c>
      <c r="E3" s="45" t="s">
        <v>0</v>
      </c>
      <c r="F3" s="46" t="s">
        <v>76</v>
      </c>
      <c r="G3" s="47" t="s">
        <v>5</v>
      </c>
      <c r="I3" s="45" t="s">
        <v>0</v>
      </c>
      <c r="J3" s="46" t="s">
        <v>76</v>
      </c>
      <c r="K3" s="47" t="s">
        <v>5</v>
      </c>
      <c r="M3" s="45" t="s">
        <v>0</v>
      </c>
      <c r="N3" s="46" t="s">
        <v>76</v>
      </c>
      <c r="O3" s="47" t="s">
        <v>5</v>
      </c>
      <c r="Q3" s="45" t="s">
        <v>0</v>
      </c>
      <c r="R3" s="46" t="s">
        <v>76</v>
      </c>
      <c r="S3" s="47" t="s">
        <v>5</v>
      </c>
      <c r="U3" s="45" t="s">
        <v>0</v>
      </c>
      <c r="V3" s="46" t="s">
        <v>76</v>
      </c>
      <c r="W3" s="47" t="s">
        <v>5</v>
      </c>
      <c r="Y3" s="45" t="s">
        <v>0</v>
      </c>
      <c r="Z3" s="46" t="s">
        <v>76</v>
      </c>
      <c r="AA3" s="47" t="s">
        <v>5</v>
      </c>
      <c r="AC3" s="45" t="s">
        <v>0</v>
      </c>
      <c r="AD3" s="46" t="s">
        <v>76</v>
      </c>
      <c r="AE3" s="47" t="s">
        <v>5</v>
      </c>
      <c r="AG3" s="45" t="s">
        <v>0</v>
      </c>
      <c r="AH3" s="46" t="s">
        <v>76</v>
      </c>
      <c r="AI3" s="47" t="s">
        <v>5</v>
      </c>
      <c r="AK3" s="45" t="s">
        <v>0</v>
      </c>
      <c r="AL3" s="46" t="s">
        <v>76</v>
      </c>
      <c r="AM3" s="47" t="s">
        <v>5</v>
      </c>
      <c r="AO3" s="45" t="s">
        <v>0</v>
      </c>
      <c r="AP3" s="46" t="s">
        <v>76</v>
      </c>
      <c r="AQ3" s="47" t="s">
        <v>5</v>
      </c>
      <c r="AS3" s="45" t="s">
        <v>0</v>
      </c>
      <c r="AT3" s="46" t="s">
        <v>76</v>
      </c>
      <c r="AU3" s="47" t="s">
        <v>5</v>
      </c>
      <c r="AW3" s="45" t="s">
        <v>0</v>
      </c>
      <c r="AX3" s="46" t="s">
        <v>76</v>
      </c>
      <c r="AY3" s="47" t="s">
        <v>5</v>
      </c>
      <c r="BA3" s="45" t="s">
        <v>0</v>
      </c>
      <c r="BB3" s="46" t="s">
        <v>76</v>
      </c>
      <c r="BC3" s="47" t="s">
        <v>5</v>
      </c>
      <c r="BE3" s="45" t="s">
        <v>0</v>
      </c>
      <c r="BF3" s="46" t="s">
        <v>76</v>
      </c>
      <c r="BG3" s="47" t="s">
        <v>5</v>
      </c>
      <c r="BI3" s="45" t="s">
        <v>0</v>
      </c>
      <c r="BJ3" s="46" t="s">
        <v>76</v>
      </c>
      <c r="BK3" s="47" t="s">
        <v>5</v>
      </c>
      <c r="BM3" s="45" t="s">
        <v>0</v>
      </c>
      <c r="BN3" s="46" t="s">
        <v>76</v>
      </c>
      <c r="BO3" s="47" t="s">
        <v>5</v>
      </c>
      <c r="BQ3" s="45" t="s">
        <v>0</v>
      </c>
      <c r="BR3" s="46" t="s">
        <v>76</v>
      </c>
      <c r="BS3" s="47" t="s">
        <v>5</v>
      </c>
      <c r="BU3" s="45" t="s">
        <v>0</v>
      </c>
      <c r="BV3" s="46" t="s">
        <v>76</v>
      </c>
      <c r="BW3" s="47" t="s">
        <v>5</v>
      </c>
      <c r="BY3" s="45" t="s">
        <v>0</v>
      </c>
      <c r="BZ3" s="46" t="s">
        <v>76</v>
      </c>
      <c r="CA3" s="47" t="s">
        <v>5</v>
      </c>
      <c r="CC3" s="45" t="s">
        <v>0</v>
      </c>
      <c r="CD3" s="46" t="s">
        <v>76</v>
      </c>
      <c r="CE3" s="47" t="s">
        <v>5</v>
      </c>
      <c r="CG3" s="45" t="s">
        <v>0</v>
      </c>
      <c r="CH3" s="46" t="s">
        <v>76</v>
      </c>
      <c r="CI3" s="47" t="s">
        <v>5</v>
      </c>
      <c r="CK3" s="45" t="s">
        <v>0</v>
      </c>
      <c r="CL3" s="46" t="s">
        <v>76</v>
      </c>
      <c r="CM3" s="47" t="s">
        <v>5</v>
      </c>
      <c r="CO3" s="45" t="s">
        <v>0</v>
      </c>
      <c r="CP3" s="46" t="s">
        <v>76</v>
      </c>
      <c r="CQ3" s="47" t="s">
        <v>5</v>
      </c>
    </row>
    <row r="4" spans="1:95" x14ac:dyDescent="0.35">
      <c r="A4" s="16">
        <f>Global!A98</f>
        <v>41244</v>
      </c>
      <c r="B4" s="17">
        <f>Global!B98</f>
        <v>50</v>
      </c>
      <c r="C4" s="28">
        <f>Global!C98</f>
        <v>0.39999999999999858</v>
      </c>
      <c r="E4" s="16">
        <f>US!A98</f>
        <v>41244</v>
      </c>
      <c r="F4" s="17">
        <f>US!B98</f>
        <v>54</v>
      </c>
      <c r="G4" s="28">
        <f>US!C98</f>
        <v>1.2000000000000028</v>
      </c>
      <c r="I4" s="16">
        <f>CA!A98</f>
        <v>41244</v>
      </c>
      <c r="J4" s="17">
        <f>CA!B98</f>
        <v>50.4</v>
      </c>
      <c r="K4" s="28">
        <f>CA!C98</f>
        <v>0</v>
      </c>
      <c r="M4" s="16">
        <f>EZ!A98</f>
        <v>41244</v>
      </c>
      <c r="N4" s="17">
        <f>EZ!B98</f>
        <v>46.1</v>
      </c>
      <c r="O4" s="28">
        <f>EZ!C98</f>
        <v>-0.10000000000000142</v>
      </c>
      <c r="Q4" s="16">
        <f>UK!A98</f>
        <v>41244</v>
      </c>
      <c r="R4" s="17">
        <f>UK!B98</f>
        <v>50.7</v>
      </c>
      <c r="S4" s="28">
        <f>UK!C98</f>
        <v>2.3000000000000043</v>
      </c>
      <c r="U4" s="16">
        <f>DE!A98</f>
        <v>41244</v>
      </c>
      <c r="V4" s="17">
        <f>DE!B98</f>
        <v>46</v>
      </c>
      <c r="W4" s="28">
        <f>DE!C98</f>
        <v>-0.79999999999999716</v>
      </c>
      <c r="Y4" s="16">
        <f>FR!A98</f>
        <v>41244</v>
      </c>
      <c r="Z4" s="17">
        <f>FR!B98</f>
        <v>44.6</v>
      </c>
      <c r="AA4" s="28">
        <f>FR!C98</f>
        <v>0.10000000000000142</v>
      </c>
      <c r="AC4" s="16">
        <f>IT!A98</f>
        <v>41244</v>
      </c>
      <c r="AD4" s="17">
        <f>IT!B98</f>
        <v>46.7</v>
      </c>
      <c r="AE4" s="28">
        <f>IT!C98</f>
        <v>1.6000000000000014</v>
      </c>
      <c r="AG4" s="16">
        <f>ES!A98</f>
        <v>41244</v>
      </c>
      <c r="AH4" s="17">
        <f>ES!B98</f>
        <v>44.6</v>
      </c>
      <c r="AI4" s="28">
        <f>ES!C98</f>
        <v>-0.69999999999999574</v>
      </c>
      <c r="AK4" s="16">
        <f>ES!A98</f>
        <v>41244</v>
      </c>
      <c r="AL4" s="17">
        <f>EL!B98</f>
        <v>41.4</v>
      </c>
      <c r="AM4" s="28">
        <f>EL!C98</f>
        <v>-0.39999999999999858</v>
      </c>
      <c r="AO4" s="16">
        <f>IR!A98</f>
        <v>41244</v>
      </c>
      <c r="AP4" s="17">
        <f>IR!B98</f>
        <v>51.4</v>
      </c>
      <c r="AQ4" s="28">
        <f>IR!C98</f>
        <v>-1</v>
      </c>
      <c r="AS4" s="16">
        <f>CH!A98</f>
        <v>41252</v>
      </c>
      <c r="AT4" s="17">
        <f>CH!B98</f>
        <v>51.5</v>
      </c>
      <c r="AU4" s="28">
        <f>CH!C98</f>
        <v>1</v>
      </c>
      <c r="AW4" s="16">
        <f>JP!A98</f>
        <v>41244</v>
      </c>
      <c r="AX4" s="17">
        <f>JP!B98</f>
        <v>45</v>
      </c>
      <c r="AY4" s="28">
        <f>JP!C98</f>
        <v>-1.5</v>
      </c>
      <c r="BA4" s="16">
        <f>BRL!A98</f>
        <v>41244</v>
      </c>
      <c r="BB4" s="17">
        <f>BRL!B98</f>
        <v>51.1</v>
      </c>
      <c r="BC4" s="28">
        <f>BRL!C98</f>
        <v>-1.1000000000000014</v>
      </c>
      <c r="BE4" s="16">
        <f>IND!A98</f>
        <v>41244</v>
      </c>
      <c r="BF4" s="17">
        <f>IND!B98</f>
        <v>54.7</v>
      </c>
      <c r="BG4" s="28">
        <f>IND!C98</f>
        <v>1</v>
      </c>
      <c r="BI4" s="16">
        <f>RS!A98</f>
        <v>41244</v>
      </c>
      <c r="BJ4" s="17">
        <f>RS!B98</f>
        <v>50</v>
      </c>
      <c r="BK4" s="28">
        <f>RS!C98</f>
        <v>-2.2000000000000028</v>
      </c>
      <c r="BM4" s="16">
        <f>MX!A98</f>
        <v>41244</v>
      </c>
      <c r="BN4" s="17">
        <f>MX!B98</f>
        <v>57.1</v>
      </c>
      <c r="BO4" s="28">
        <f>MX!C98</f>
        <v>1.5</v>
      </c>
      <c r="BQ4" s="16">
        <f>AU!A98</f>
        <v>41244</v>
      </c>
      <c r="BR4" s="17">
        <f>AU!B98</f>
        <v>44.3</v>
      </c>
      <c r="BS4" s="28">
        <f>AU!C98</f>
        <v>0.69999999999999574</v>
      </c>
      <c r="BU4" s="16">
        <f>SK!A98</f>
        <v>41244</v>
      </c>
      <c r="BV4" s="17">
        <f>SK!B98</f>
        <v>50.1</v>
      </c>
      <c r="BW4" s="28">
        <f>SK!C98</f>
        <v>1.8999999999999986</v>
      </c>
      <c r="BY4" s="16">
        <f>INS!A98</f>
        <v>41244</v>
      </c>
      <c r="BZ4" s="17">
        <f>INS!B98</f>
        <v>51.5</v>
      </c>
      <c r="CA4" s="28">
        <f>INS!C98</f>
        <v>-0.39999999999999858</v>
      </c>
      <c r="CC4" s="16">
        <f>TW!A98</f>
        <v>41244</v>
      </c>
      <c r="CD4" s="17">
        <f>TW!B98</f>
        <v>47.4</v>
      </c>
      <c r="CE4" s="28">
        <f>TW!C98</f>
        <v>-0.39999999999999858</v>
      </c>
      <c r="CG4" s="16">
        <f>TUR!A98</f>
        <v>41244</v>
      </c>
      <c r="CH4" s="17">
        <f>TUR!B98</f>
        <v>53.1</v>
      </c>
      <c r="CI4" s="28">
        <f>TUR!C98</f>
        <v>1.5</v>
      </c>
      <c r="CK4" s="16">
        <f>CZ!A98</f>
        <v>41244</v>
      </c>
      <c r="CL4" s="17">
        <f>CZ!B98</f>
        <v>46</v>
      </c>
      <c r="CM4" s="28">
        <f>CZ!C98</f>
        <v>-2.2000000000000028</v>
      </c>
      <c r="CO4" s="16">
        <f>PL!A98</f>
        <v>41244</v>
      </c>
      <c r="CP4" s="17">
        <f>PL!B98</f>
        <v>48.3</v>
      </c>
      <c r="CQ4" s="28">
        <f>PL!C98</f>
        <v>9.9999999999994316E-2</v>
      </c>
    </row>
    <row r="5" spans="1:95" x14ac:dyDescent="0.35">
      <c r="A5" s="16">
        <f>Global!A99</f>
        <v>41275</v>
      </c>
      <c r="B5" s="17">
        <f>Global!B99</f>
        <v>51.5</v>
      </c>
      <c r="C5" s="28">
        <f>Global!C99</f>
        <v>1.5</v>
      </c>
      <c r="E5" s="16">
        <f>US!A99</f>
        <v>41275</v>
      </c>
      <c r="F5" s="17">
        <f>US!B99</f>
        <v>55.8</v>
      </c>
      <c r="G5" s="28">
        <f>US!C99</f>
        <v>1.7999999999999972</v>
      </c>
      <c r="I5" s="16">
        <f>CA!A99</f>
        <v>41275</v>
      </c>
      <c r="J5" s="17">
        <f>CA!B99</f>
        <v>50.5</v>
      </c>
      <c r="K5" s="28">
        <f>CA!C99</f>
        <v>0.10000000000000142</v>
      </c>
      <c r="M5" s="16">
        <f>EZ!A99</f>
        <v>41275</v>
      </c>
      <c r="N5" s="17">
        <f>EZ!B99</f>
        <v>47.9</v>
      </c>
      <c r="O5" s="28">
        <f>EZ!C99</f>
        <v>1.7999999999999972</v>
      </c>
      <c r="Q5" s="16">
        <f>UK!A99</f>
        <v>41275</v>
      </c>
      <c r="R5" s="17">
        <f>UK!B99</f>
        <v>50.9</v>
      </c>
      <c r="S5" s="28">
        <f>UK!C99</f>
        <v>0.19999999999999574</v>
      </c>
      <c r="U5" s="16">
        <f>DE!A99</f>
        <v>41275</v>
      </c>
      <c r="V5" s="17">
        <f>DE!B99</f>
        <v>49.8</v>
      </c>
      <c r="W5" s="28">
        <f>DE!C99</f>
        <v>3.7999999999999972</v>
      </c>
      <c r="Y5" s="16">
        <f>FR!A99</f>
        <v>41275</v>
      </c>
      <c r="Z5" s="17">
        <f>FR!B99</f>
        <v>42.9</v>
      </c>
      <c r="AA5" s="28">
        <f>FR!C99</f>
        <v>-1.7000000000000028</v>
      </c>
      <c r="AC5" s="16">
        <f>IT!A99</f>
        <v>41275</v>
      </c>
      <c r="AD5" s="17">
        <f>IT!B99</f>
        <v>47.8</v>
      </c>
      <c r="AE5" s="28">
        <f>IT!C99</f>
        <v>1.0999999999999943</v>
      </c>
      <c r="AG5" s="16">
        <f>ES!A99</f>
        <v>41275</v>
      </c>
      <c r="AH5" s="17">
        <f>ES!B99</f>
        <v>46.1</v>
      </c>
      <c r="AI5" s="28">
        <f>ES!C99</f>
        <v>1.5</v>
      </c>
      <c r="AK5" s="16">
        <f>ES!A99</f>
        <v>41275</v>
      </c>
      <c r="AL5" s="17">
        <f>EL!B99</f>
        <v>41.7</v>
      </c>
      <c r="AM5" s="28">
        <f>EL!C99</f>
        <v>0.30000000000000426</v>
      </c>
      <c r="AO5" s="16">
        <f>IR!A99</f>
        <v>41275</v>
      </c>
      <c r="AP5" s="17">
        <f>IR!B99</f>
        <v>50.3</v>
      </c>
      <c r="AQ5" s="28">
        <f>IR!C99</f>
        <v>-1.1000000000000014</v>
      </c>
      <c r="AS5" s="16">
        <f>CH!A99</f>
        <v>41275</v>
      </c>
      <c r="AT5" s="17">
        <f>CH!B99</f>
        <v>52.3</v>
      </c>
      <c r="AU5" s="28">
        <f>CH!C99</f>
        <v>0.79999999999999716</v>
      </c>
      <c r="AW5" s="16">
        <f>JP!A99</f>
        <v>41275</v>
      </c>
      <c r="AX5" s="17">
        <f>JP!B99</f>
        <v>47.7</v>
      </c>
      <c r="AY5" s="28">
        <f>JP!C99</f>
        <v>2.7000000000000028</v>
      </c>
      <c r="BA5" s="16">
        <f>BRL!A99</f>
        <v>41275</v>
      </c>
      <c r="BB5" s="17">
        <f>BRL!B99</f>
        <v>53.2</v>
      </c>
      <c r="BC5" s="28">
        <f>BRL!C99</f>
        <v>2.1000000000000014</v>
      </c>
      <c r="BE5" s="16">
        <f>IND!A99</f>
        <v>41275</v>
      </c>
      <c r="BF5" s="17">
        <f>IND!B99</f>
        <v>53.2</v>
      </c>
      <c r="BG5" s="28">
        <f>IND!C99</f>
        <v>-1.5</v>
      </c>
      <c r="BI5" s="16">
        <f>RS!A99</f>
        <v>41275</v>
      </c>
      <c r="BJ5" s="17">
        <f>RS!B99</f>
        <v>52</v>
      </c>
      <c r="BK5" s="28">
        <f>RS!C99</f>
        <v>2</v>
      </c>
      <c r="BM5" s="16">
        <f>MX!A99</f>
        <v>41275</v>
      </c>
      <c r="BN5" s="17">
        <f>MX!B99</f>
        <v>55</v>
      </c>
      <c r="BO5" s="28">
        <f>MX!C99</f>
        <v>-2.1000000000000014</v>
      </c>
      <c r="BQ5" s="16">
        <f>AU!A99</f>
        <v>41275</v>
      </c>
      <c r="BR5" s="17">
        <f>AU!B99</f>
        <v>40.200000000000003</v>
      </c>
      <c r="BS5" s="28">
        <f>AU!C99</f>
        <v>-4.0999999999999943</v>
      </c>
      <c r="BU5" s="16">
        <f>SK!A99</f>
        <v>41275</v>
      </c>
      <c r="BV5" s="17">
        <f>SK!B99</f>
        <v>49.9</v>
      </c>
      <c r="BW5" s="28">
        <f>SK!C99</f>
        <v>-0.20000000000000284</v>
      </c>
      <c r="BY5" s="16">
        <f>INS!A99</f>
        <v>41275</v>
      </c>
      <c r="BZ5" s="17">
        <f>INS!B99</f>
        <v>49.7</v>
      </c>
      <c r="CA5" s="28">
        <f>INS!C99</f>
        <v>-1.7999999999999972</v>
      </c>
      <c r="CC5" s="16">
        <f>TW!A99</f>
        <v>41275</v>
      </c>
      <c r="CD5" s="17">
        <f>TW!B99</f>
        <v>51.5</v>
      </c>
      <c r="CE5" s="28">
        <f>TW!C99</f>
        <v>4.1000000000000014</v>
      </c>
      <c r="CG5" s="16">
        <f>TUR!A99</f>
        <v>41275</v>
      </c>
      <c r="CH5" s="17">
        <f>TUR!B99</f>
        <v>54</v>
      </c>
      <c r="CI5" s="28">
        <f>TUR!C99</f>
        <v>0.89999999999999858</v>
      </c>
      <c r="CK5" s="16">
        <f>CZ!A99</f>
        <v>41275</v>
      </c>
      <c r="CL5" s="17">
        <f>CZ!B99</f>
        <v>48.3</v>
      </c>
      <c r="CM5" s="28">
        <f>CZ!C99</f>
        <v>2.2999999999999972</v>
      </c>
      <c r="CO5" s="16">
        <f>PL!A99</f>
        <v>41275</v>
      </c>
      <c r="CP5" s="17">
        <f>PL!B99</f>
        <v>48.6</v>
      </c>
      <c r="CQ5" s="28">
        <f>PL!C99</f>
        <v>0.30000000000000426</v>
      </c>
    </row>
    <row r="6" spans="1:95" x14ac:dyDescent="0.35">
      <c r="A6" s="16">
        <f>Global!A100</f>
        <v>41306</v>
      </c>
      <c r="B6" s="17">
        <f>Global!B100</f>
        <v>50.9</v>
      </c>
      <c r="C6" s="28">
        <f>Global!C100</f>
        <v>-0.60000000000000142</v>
      </c>
      <c r="E6" s="16">
        <f>US!A100</f>
        <v>41306</v>
      </c>
      <c r="F6" s="17">
        <f>US!B100</f>
        <v>54.3</v>
      </c>
      <c r="G6" s="28">
        <f>US!C100</f>
        <v>-1.5</v>
      </c>
      <c r="I6" s="16">
        <f>CA!A100</f>
        <v>41306</v>
      </c>
      <c r="J6" s="17">
        <f>CA!B100</f>
        <v>51.7</v>
      </c>
      <c r="K6" s="28">
        <f>CA!C100</f>
        <v>1.2000000000000028</v>
      </c>
      <c r="M6" s="16">
        <f>EZ!A100</f>
        <v>41306</v>
      </c>
      <c r="N6" s="17">
        <f>EZ!B100</f>
        <v>47.9</v>
      </c>
      <c r="O6" s="28">
        <f>EZ!C100</f>
        <v>0</v>
      </c>
      <c r="Q6" s="16">
        <f>UK!A100</f>
        <v>41306</v>
      </c>
      <c r="R6" s="17">
        <f>UK!B100</f>
        <v>48.2</v>
      </c>
      <c r="S6" s="28">
        <f>UK!C100</f>
        <v>-2.6999999999999957</v>
      </c>
      <c r="U6" s="16">
        <f>DE!A100</f>
        <v>41306</v>
      </c>
      <c r="V6" s="17">
        <f>DE!B100</f>
        <v>50.3</v>
      </c>
      <c r="W6" s="28">
        <f>DE!C100</f>
        <v>0.5</v>
      </c>
      <c r="Y6" s="16">
        <f>FR!A100</f>
        <v>41306</v>
      </c>
      <c r="Z6" s="17">
        <f>FR!B100</f>
        <v>43.9</v>
      </c>
      <c r="AA6" s="28">
        <f>FR!C100</f>
        <v>1</v>
      </c>
      <c r="AC6" s="16">
        <f>IT!A100</f>
        <v>41306</v>
      </c>
      <c r="AD6" s="17">
        <f>IT!B100</f>
        <v>45.8</v>
      </c>
      <c r="AE6" s="28">
        <f>IT!C100</f>
        <v>-2</v>
      </c>
      <c r="AG6" s="16">
        <f>ES!A100</f>
        <v>41306</v>
      </c>
      <c r="AH6" s="17">
        <f>ES!B100</f>
        <v>46.8</v>
      </c>
      <c r="AI6" s="28">
        <f>ES!C100</f>
        <v>0.69999999999999574</v>
      </c>
      <c r="AK6" s="16">
        <f>ES!A100</f>
        <v>41306</v>
      </c>
      <c r="AL6" s="17">
        <f>EL!B100</f>
        <v>43</v>
      </c>
      <c r="AM6" s="28">
        <f>EL!C100</f>
        <v>1.2999999999999972</v>
      </c>
      <c r="AO6" s="16">
        <f>IR!A100</f>
        <v>41306</v>
      </c>
      <c r="AP6" s="17">
        <f>IR!B100</f>
        <v>51.5</v>
      </c>
      <c r="AQ6" s="28">
        <f>IR!C100</f>
        <v>1.2000000000000028</v>
      </c>
      <c r="AS6" s="16">
        <f>CH!A100</f>
        <v>41307</v>
      </c>
      <c r="AT6" s="17">
        <f>CH!B100</f>
        <v>50.4</v>
      </c>
      <c r="AU6" s="28">
        <f>CH!C100</f>
        <v>-1.8999999999999986</v>
      </c>
      <c r="AW6" s="16">
        <f>JP!A100</f>
        <v>41306</v>
      </c>
      <c r="AX6" s="17">
        <f>JP!B100</f>
        <v>48.5</v>
      </c>
      <c r="AY6" s="28">
        <f>JP!C100</f>
        <v>0.79999999999999716</v>
      </c>
      <c r="BA6" s="16">
        <f>BRL!A100</f>
        <v>41306</v>
      </c>
      <c r="BB6" s="17">
        <f>BRL!B100</f>
        <v>52.5</v>
      </c>
      <c r="BC6" s="28">
        <f>BRL!C100</f>
        <v>-0.70000000000000284</v>
      </c>
      <c r="BE6" s="16">
        <f>IND!A100</f>
        <v>41306</v>
      </c>
      <c r="BF6" s="17">
        <f>IND!B100</f>
        <v>54.2</v>
      </c>
      <c r="BG6" s="28">
        <f>IND!C100</f>
        <v>1</v>
      </c>
      <c r="BI6" s="16">
        <f>RS!A100</f>
        <v>41306</v>
      </c>
      <c r="BJ6" s="17">
        <f>RS!B100</f>
        <v>52</v>
      </c>
      <c r="BK6" s="28">
        <f>RS!C100</f>
        <v>0</v>
      </c>
      <c r="BM6" s="16">
        <f>MX!A100</f>
        <v>41306</v>
      </c>
      <c r="BN6" s="17">
        <f>MX!B100</f>
        <v>53.4</v>
      </c>
      <c r="BO6" s="28">
        <f>MX!C100</f>
        <v>-1.6000000000000014</v>
      </c>
      <c r="BQ6" s="16">
        <f>AU!A100</f>
        <v>41306</v>
      </c>
      <c r="BR6" s="17">
        <f>AU!B100</f>
        <v>45.6</v>
      </c>
      <c r="BS6" s="28">
        <f>AU!C100</f>
        <v>5.3999999999999986</v>
      </c>
      <c r="BU6" s="16">
        <f>SK!A100</f>
        <v>41306</v>
      </c>
      <c r="BV6" s="17">
        <f>SK!B100</f>
        <v>50.9</v>
      </c>
      <c r="BW6" s="28">
        <f>SK!C100</f>
        <v>1</v>
      </c>
      <c r="BY6" s="16">
        <f>INS!A100</f>
        <v>41306</v>
      </c>
      <c r="BZ6" s="17">
        <f>INS!B100</f>
        <v>50.5</v>
      </c>
      <c r="CA6" s="28">
        <f>INS!C100</f>
        <v>0.79999999999999716</v>
      </c>
      <c r="CC6" s="16">
        <f>TW!A100</f>
        <v>41306</v>
      </c>
      <c r="CD6" s="17">
        <f>TW!B100</f>
        <v>51.5</v>
      </c>
      <c r="CE6" s="28">
        <f>TW!C100</f>
        <v>0</v>
      </c>
      <c r="CG6" s="16">
        <f>TUR!A100</f>
        <v>41306</v>
      </c>
      <c r="CH6" s="17">
        <f>TUR!B100</f>
        <v>53.5</v>
      </c>
      <c r="CI6" s="28">
        <f>TUR!C100</f>
        <v>-0.5</v>
      </c>
      <c r="CK6" s="16">
        <f>CZ!A100</f>
        <v>41306</v>
      </c>
      <c r="CL6" s="17">
        <f>CZ!B100</f>
        <v>49.9</v>
      </c>
      <c r="CM6" s="28">
        <f>CZ!C100</f>
        <v>1.6000000000000014</v>
      </c>
      <c r="CO6" s="16">
        <f>PL!A100</f>
        <v>41306</v>
      </c>
      <c r="CP6" s="17">
        <f>PL!B100</f>
        <v>48.9</v>
      </c>
      <c r="CQ6" s="28">
        <f>PL!C100</f>
        <v>0.29999999999999716</v>
      </c>
    </row>
    <row r="7" spans="1:95" x14ac:dyDescent="0.35">
      <c r="A7" s="16">
        <f>Global!A101</f>
        <v>41334</v>
      </c>
      <c r="B7" s="17">
        <f>Global!B101</f>
        <v>51.2</v>
      </c>
      <c r="C7" s="28">
        <f>Global!C101</f>
        <v>0.30000000000000426</v>
      </c>
      <c r="E7" s="16">
        <f>US!A101</f>
        <v>41334</v>
      </c>
      <c r="F7" s="17">
        <f>US!B101</f>
        <v>54.6</v>
      </c>
      <c r="G7" s="28">
        <f>US!C101</f>
        <v>0.30000000000000426</v>
      </c>
      <c r="I7" s="16">
        <f>CA!A101</f>
        <v>41334</v>
      </c>
      <c r="J7" s="17">
        <f>CA!B101</f>
        <v>49.3</v>
      </c>
      <c r="K7" s="28">
        <f>CA!C101</f>
        <v>-2.4000000000000057</v>
      </c>
      <c r="M7" s="16">
        <f>EZ!A101</f>
        <v>41334</v>
      </c>
      <c r="N7" s="17">
        <f>EZ!B101</f>
        <v>46.8</v>
      </c>
      <c r="O7" s="28">
        <f>EZ!C101</f>
        <v>-1.1000000000000014</v>
      </c>
      <c r="Q7" s="16">
        <f>UK!A101</f>
        <v>41334</v>
      </c>
      <c r="R7" s="17">
        <f>UK!B101</f>
        <v>49.3</v>
      </c>
      <c r="S7" s="28">
        <f>UK!C101</f>
        <v>1.0999999999999943</v>
      </c>
      <c r="U7" s="16">
        <f>DE!A101</f>
        <v>41334</v>
      </c>
      <c r="V7" s="17">
        <f>DE!B101</f>
        <v>49</v>
      </c>
      <c r="W7" s="28">
        <f>DE!C101</f>
        <v>-1.2999999999999972</v>
      </c>
      <c r="Y7" s="16">
        <f>FR!A101</f>
        <v>41334</v>
      </c>
      <c r="Z7" s="17">
        <f>FR!B101</f>
        <v>44</v>
      </c>
      <c r="AA7" s="28">
        <f>FR!C101</f>
        <v>0.10000000000000142</v>
      </c>
      <c r="AC7" s="16">
        <f>IT!A101</f>
        <v>41334</v>
      </c>
      <c r="AD7" s="17">
        <f>IT!B101</f>
        <v>44.5</v>
      </c>
      <c r="AE7" s="28">
        <f>IT!C101</f>
        <v>-1.2999999999999972</v>
      </c>
      <c r="AG7" s="16">
        <f>ES!A101</f>
        <v>41334</v>
      </c>
      <c r="AH7" s="17">
        <f>ES!B101</f>
        <v>44.2</v>
      </c>
      <c r="AI7" s="28">
        <f>ES!C101</f>
        <v>-2.5999999999999943</v>
      </c>
      <c r="AK7" s="16">
        <f>ES!A101</f>
        <v>41334</v>
      </c>
      <c r="AL7" s="17">
        <f>EL!B101</f>
        <v>42.1</v>
      </c>
      <c r="AM7" s="28">
        <f>EL!C101</f>
        <v>-0.89999999999999858</v>
      </c>
      <c r="AO7" s="16">
        <f>IR!A101</f>
        <v>41334</v>
      </c>
      <c r="AP7" s="17">
        <f>IR!B101</f>
        <v>48.6</v>
      </c>
      <c r="AQ7" s="28">
        <f>IR!C101</f>
        <v>-2.8999999999999986</v>
      </c>
      <c r="AS7" s="16">
        <f>CH!A101</f>
        <v>41336</v>
      </c>
      <c r="AT7" s="17">
        <f>CH!B101</f>
        <v>51.6</v>
      </c>
      <c r="AU7" s="28">
        <f>CH!C101</f>
        <v>1.2000000000000028</v>
      </c>
      <c r="AW7" s="16">
        <f>JP!A101</f>
        <v>41334</v>
      </c>
      <c r="AX7" s="17">
        <f>JP!B101</f>
        <v>50.4</v>
      </c>
      <c r="AY7" s="28">
        <f>JP!C101</f>
        <v>1.8999999999999986</v>
      </c>
      <c r="BA7" s="16">
        <f>BRL!A101</f>
        <v>41334</v>
      </c>
      <c r="BB7" s="17">
        <f>BRL!B101</f>
        <v>51.8</v>
      </c>
      <c r="BC7" s="28">
        <f>BRL!C101</f>
        <v>-0.70000000000000284</v>
      </c>
      <c r="BE7" s="16">
        <f>IND!A101</f>
        <v>41334</v>
      </c>
      <c r="BF7" s="17">
        <f>IND!B101</f>
        <v>52</v>
      </c>
      <c r="BG7" s="28">
        <f>IND!C101</f>
        <v>-2.2000000000000028</v>
      </c>
      <c r="BI7" s="16">
        <f>RS!A101</f>
        <v>41334</v>
      </c>
      <c r="BJ7" s="17">
        <f>RS!B101</f>
        <v>50.8</v>
      </c>
      <c r="BK7" s="28">
        <f>RS!C101</f>
        <v>-1.2000000000000028</v>
      </c>
      <c r="BM7" s="16">
        <f>MX!A101</f>
        <v>41334</v>
      </c>
      <c r="BN7" s="17">
        <f>MX!B101</f>
        <v>52.2</v>
      </c>
      <c r="BO7" s="28">
        <f>MX!C101</f>
        <v>-1.1999999999999957</v>
      </c>
      <c r="BQ7" s="16">
        <f>AU!A101</f>
        <v>41334</v>
      </c>
      <c r="BR7" s="17">
        <f>AU!B101</f>
        <v>44.4</v>
      </c>
      <c r="BS7" s="28">
        <f>AU!C101</f>
        <v>-1.2000000000000028</v>
      </c>
      <c r="BU7" s="16">
        <f>SK!A101</f>
        <v>41334</v>
      </c>
      <c r="BV7" s="17">
        <f>SK!B101</f>
        <v>52</v>
      </c>
      <c r="BW7" s="28">
        <f>SK!C101</f>
        <v>1.1000000000000014</v>
      </c>
      <c r="BY7" s="16">
        <f>INS!A101</f>
        <v>41334</v>
      </c>
      <c r="BZ7" s="17">
        <f>INS!B101</f>
        <v>51.3</v>
      </c>
      <c r="CA7" s="28">
        <f>INS!C101</f>
        <v>0.79999999999999716</v>
      </c>
      <c r="CC7" s="16">
        <f>TW!A101</f>
        <v>41334</v>
      </c>
      <c r="CD7" s="17">
        <f>TW!B101</f>
        <v>50.2</v>
      </c>
      <c r="CE7" s="28">
        <f>TW!C101</f>
        <v>-1.2999999999999972</v>
      </c>
      <c r="CG7" s="16">
        <f>TUR!A101</f>
        <v>41334</v>
      </c>
      <c r="CH7" s="17">
        <f>TUR!B101</f>
        <v>52.3</v>
      </c>
      <c r="CI7" s="28">
        <f>TUR!C101</f>
        <v>-1.2000000000000028</v>
      </c>
      <c r="CK7" s="16">
        <f>CZ!A101</f>
        <v>41334</v>
      </c>
      <c r="CL7" s="17">
        <f>CZ!B101</f>
        <v>49.1</v>
      </c>
      <c r="CM7" s="28">
        <f>CZ!C101</f>
        <v>-0.79999999999999716</v>
      </c>
      <c r="CO7" s="16">
        <f>PL!A101</f>
        <v>41334</v>
      </c>
      <c r="CP7" s="17">
        <f>PL!B101</f>
        <v>48</v>
      </c>
      <c r="CQ7" s="28">
        <f>PL!C101</f>
        <v>-0.89999999999999858</v>
      </c>
    </row>
    <row r="8" spans="1:95" x14ac:dyDescent="0.35">
      <c r="A8" s="16">
        <f>Global!A102</f>
        <v>41365</v>
      </c>
      <c r="B8" s="17">
        <f>Global!B102</f>
        <v>50.4</v>
      </c>
      <c r="C8" s="28">
        <f>Global!C102</f>
        <v>-0.80000000000000426</v>
      </c>
      <c r="E8" s="16">
        <f>US!A102</f>
        <v>41365</v>
      </c>
      <c r="F8" s="17">
        <f>US!B102</f>
        <v>52.1</v>
      </c>
      <c r="G8" s="28">
        <f>US!C102</f>
        <v>-2.5</v>
      </c>
      <c r="I8" s="16">
        <f>CA!A102</f>
        <v>41365</v>
      </c>
      <c r="J8" s="17">
        <f>CA!B102</f>
        <v>50.1</v>
      </c>
      <c r="K8" s="28">
        <f>CA!C102</f>
        <v>0.80000000000000426</v>
      </c>
      <c r="M8" s="16">
        <f>EZ!A102</f>
        <v>41365</v>
      </c>
      <c r="N8" s="17">
        <f>EZ!B102</f>
        <v>46.7</v>
      </c>
      <c r="O8" s="28">
        <f>EZ!C102</f>
        <v>-9.9999999999994316E-2</v>
      </c>
      <c r="Q8" s="16">
        <f>UK!A102</f>
        <v>41365</v>
      </c>
      <c r="R8" s="17">
        <f>UK!B102</f>
        <v>50.6</v>
      </c>
      <c r="S8" s="28">
        <f>UK!C102</f>
        <v>1.3000000000000043</v>
      </c>
      <c r="U8" s="16">
        <f>DE!A102</f>
        <v>41365</v>
      </c>
      <c r="V8" s="17">
        <f>DE!B102</f>
        <v>48.1</v>
      </c>
      <c r="W8" s="28">
        <f>DE!C102</f>
        <v>-0.89999999999999858</v>
      </c>
      <c r="Y8" s="16">
        <f>FR!A102</f>
        <v>41365</v>
      </c>
      <c r="Z8" s="17">
        <f>FR!B102</f>
        <v>44.4</v>
      </c>
      <c r="AA8" s="28">
        <f>FR!C102</f>
        <v>0.39999999999999858</v>
      </c>
      <c r="AC8" s="16">
        <f>IT!A102</f>
        <v>41365</v>
      </c>
      <c r="AD8" s="17">
        <f>IT!B102</f>
        <v>45.5</v>
      </c>
      <c r="AE8" s="28">
        <f>IT!C102</f>
        <v>1</v>
      </c>
      <c r="AG8" s="16">
        <f>ES!A102</f>
        <v>41365</v>
      </c>
      <c r="AH8" s="17">
        <f>ES!B102</f>
        <v>44.7</v>
      </c>
      <c r="AI8" s="28">
        <f>ES!C102</f>
        <v>0.5</v>
      </c>
      <c r="AK8" s="16">
        <f>ES!A102</f>
        <v>41365</v>
      </c>
      <c r="AL8" s="17">
        <f>EL!B102</f>
        <v>45</v>
      </c>
      <c r="AM8" s="28">
        <f>EL!C102</f>
        <v>2.8999999999999986</v>
      </c>
      <c r="AO8" s="16">
        <f>IR!A102</f>
        <v>41365</v>
      </c>
      <c r="AP8" s="17">
        <f>IR!B102</f>
        <v>48</v>
      </c>
      <c r="AQ8" s="28">
        <f>IR!C102</f>
        <v>-0.60000000000000142</v>
      </c>
      <c r="AS8" s="16">
        <f>CH!A102</f>
        <v>41368</v>
      </c>
      <c r="AT8" s="17">
        <f>CH!B102</f>
        <v>50.4</v>
      </c>
      <c r="AU8" s="28">
        <f>CH!C102</f>
        <v>-1.2000000000000028</v>
      </c>
      <c r="AW8" s="16">
        <f>JP!A102</f>
        <v>41365</v>
      </c>
      <c r="AX8" s="17">
        <f>JP!B102</f>
        <v>51.1</v>
      </c>
      <c r="AY8" s="28">
        <f>JP!C102</f>
        <v>0.70000000000000284</v>
      </c>
      <c r="BA8" s="16">
        <f>BRL!A102</f>
        <v>41365</v>
      </c>
      <c r="BB8" s="17">
        <f>BRL!B102</f>
        <v>50.8</v>
      </c>
      <c r="BC8" s="28">
        <f>BRL!C102</f>
        <v>-1</v>
      </c>
      <c r="BE8" s="16">
        <f>IND!A102</f>
        <v>41365</v>
      </c>
      <c r="BF8" s="17">
        <f>IND!B102</f>
        <v>51</v>
      </c>
      <c r="BG8" s="28">
        <f>IND!C102</f>
        <v>-1</v>
      </c>
      <c r="BI8" s="16">
        <f>RS!A102</f>
        <v>41365</v>
      </c>
      <c r="BJ8" s="17">
        <f>RS!B102</f>
        <v>50.6</v>
      </c>
      <c r="BK8" s="28">
        <f>RS!C102</f>
        <v>-0.19999999999999574</v>
      </c>
      <c r="BM8" s="16">
        <f>MX!A102</f>
        <v>41365</v>
      </c>
      <c r="BN8" s="17">
        <f>MX!B102</f>
        <v>51.7</v>
      </c>
      <c r="BO8" s="28">
        <f>MX!C102</f>
        <v>-0.5</v>
      </c>
      <c r="BQ8" s="16">
        <f>AU!A102</f>
        <v>41365</v>
      </c>
      <c r="BR8" s="17">
        <f>AU!B102</f>
        <v>36.700000000000003</v>
      </c>
      <c r="BS8" s="28">
        <f>AU!C102</f>
        <v>-7.6999999999999957</v>
      </c>
      <c r="BU8" s="16">
        <f>SK!A102</f>
        <v>41365</v>
      </c>
      <c r="BV8" s="17">
        <f>SK!B102</f>
        <v>52.6</v>
      </c>
      <c r="BW8" s="28">
        <f>SK!C102</f>
        <v>0.60000000000000142</v>
      </c>
      <c r="BY8" s="16">
        <f>INS!A102</f>
        <v>41365</v>
      </c>
      <c r="BZ8" s="17">
        <f>INS!B102</f>
        <v>51.7</v>
      </c>
      <c r="CA8" s="28">
        <f>INS!C102</f>
        <v>0.40000000000000568</v>
      </c>
      <c r="CC8" s="16">
        <f>TW!A102</f>
        <v>41365</v>
      </c>
      <c r="CD8" s="17">
        <f>TW!B102</f>
        <v>51.2</v>
      </c>
      <c r="CE8" s="28">
        <f>TW!C102</f>
        <v>1</v>
      </c>
      <c r="CG8" s="16">
        <f>TUR!A102</f>
        <v>41365</v>
      </c>
      <c r="CH8" s="17">
        <f>TUR!B102</f>
        <v>51.3</v>
      </c>
      <c r="CI8" s="28">
        <f>TUR!C102</f>
        <v>-1</v>
      </c>
      <c r="CK8" s="16">
        <f>CZ!A102</f>
        <v>41365</v>
      </c>
      <c r="CL8" s="17">
        <f>CZ!B102</f>
        <v>49.5</v>
      </c>
      <c r="CM8" s="28">
        <f>CZ!C102</f>
        <v>0.39999999999999858</v>
      </c>
      <c r="CO8" s="16">
        <f>PL!A102</f>
        <v>41365</v>
      </c>
      <c r="CP8" s="17">
        <f>PL!B102</f>
        <v>48</v>
      </c>
      <c r="CQ8" s="28">
        <f>PL!C102</f>
        <v>0</v>
      </c>
    </row>
    <row r="9" spans="1:95" x14ac:dyDescent="0.35">
      <c r="A9" s="16">
        <f>Global!A103</f>
        <v>41395</v>
      </c>
      <c r="B9" s="17">
        <f>Global!B103</f>
        <v>50.6</v>
      </c>
      <c r="C9" s="28">
        <f>Global!C103</f>
        <v>0.20000000000000284</v>
      </c>
      <c r="E9" s="16">
        <f>US!A103</f>
        <v>41395</v>
      </c>
      <c r="F9" s="17">
        <f>US!B103</f>
        <v>52.3</v>
      </c>
      <c r="G9" s="28">
        <f>US!C103</f>
        <v>0.19999999999999574</v>
      </c>
      <c r="I9" s="16">
        <f>CA!A103</f>
        <v>41395</v>
      </c>
      <c r="J9" s="17">
        <f>CA!B103</f>
        <v>53.2</v>
      </c>
      <c r="K9" s="28">
        <f>CA!C103</f>
        <v>3.1000000000000014</v>
      </c>
      <c r="M9" s="16">
        <f>EZ!A103</f>
        <v>41395</v>
      </c>
      <c r="N9" s="17">
        <f>EZ!B103</f>
        <v>48.3</v>
      </c>
      <c r="O9" s="28">
        <f>EZ!C103</f>
        <v>1.5999999999999943</v>
      </c>
      <c r="Q9" s="16">
        <f>UK!A103</f>
        <v>41395</v>
      </c>
      <c r="R9" s="17">
        <f>UK!B103</f>
        <v>52.1</v>
      </c>
      <c r="S9" s="28">
        <f>UK!C103</f>
        <v>1.5</v>
      </c>
      <c r="U9" s="16">
        <f>DE!A103</f>
        <v>41395</v>
      </c>
      <c r="V9" s="17">
        <f>DE!B103</f>
        <v>49.4</v>
      </c>
      <c r="W9" s="28">
        <f>DE!C103</f>
        <v>1.2999999999999972</v>
      </c>
      <c r="Y9" s="16">
        <f>FR!A103</f>
        <v>41395</v>
      </c>
      <c r="Z9" s="17">
        <f>FR!B103</f>
        <v>46.4</v>
      </c>
      <c r="AA9" s="28">
        <f>FR!C103</f>
        <v>2</v>
      </c>
      <c r="AC9" s="16">
        <f>IT!A103</f>
        <v>41395</v>
      </c>
      <c r="AD9" s="17">
        <f>IT!B103</f>
        <v>47.3</v>
      </c>
      <c r="AE9" s="28">
        <f>IT!C103</f>
        <v>1.7999999999999972</v>
      </c>
      <c r="AG9" s="16">
        <f>ES!A103</f>
        <v>41395</v>
      </c>
      <c r="AH9" s="17">
        <f>ES!B103</f>
        <v>48.1</v>
      </c>
      <c r="AI9" s="28">
        <f>ES!C103</f>
        <v>3.3999999999999986</v>
      </c>
      <c r="AK9" s="16">
        <f>ES!A103</f>
        <v>41395</v>
      </c>
      <c r="AL9" s="17">
        <f>EL!B103</f>
        <v>45.3</v>
      </c>
      <c r="AM9" s="28">
        <f>EL!C103</f>
        <v>0.29999999999999716</v>
      </c>
      <c r="AO9" s="16">
        <f>IR!A103</f>
        <v>41395</v>
      </c>
      <c r="AP9" s="17">
        <f>IR!B103</f>
        <v>49.7</v>
      </c>
      <c r="AQ9" s="28">
        <f>IR!C103</f>
        <v>1.7000000000000028</v>
      </c>
      <c r="AS9" s="16">
        <f>CH!A103</f>
        <v>41399</v>
      </c>
      <c r="AT9" s="17">
        <f>CH!B103</f>
        <v>49.2</v>
      </c>
      <c r="AU9" s="28">
        <f>CH!C103</f>
        <v>-1.1999999999999957</v>
      </c>
      <c r="AW9" s="16">
        <f>JP!A103</f>
        <v>41395</v>
      </c>
      <c r="AX9" s="17">
        <f>JP!B103</f>
        <v>51.5</v>
      </c>
      <c r="AY9" s="28">
        <f>JP!C103</f>
        <v>0.39999999999999858</v>
      </c>
      <c r="BA9" s="16">
        <f>BRL!A103</f>
        <v>41395</v>
      </c>
      <c r="BB9" s="17">
        <f>BRL!B103</f>
        <v>50.4</v>
      </c>
      <c r="BC9" s="28">
        <f>BRL!C103</f>
        <v>-0.39999999999999858</v>
      </c>
      <c r="BE9" s="16">
        <f>IND!A103</f>
        <v>41395</v>
      </c>
      <c r="BF9" s="17">
        <f>IND!B103</f>
        <v>50.1</v>
      </c>
      <c r="BG9" s="28">
        <f>IND!C103</f>
        <v>-0.89999999999999858</v>
      </c>
      <c r="BI9" s="16">
        <f>RS!A103</f>
        <v>41395</v>
      </c>
      <c r="BJ9" s="17">
        <f>RS!B103</f>
        <v>50.4</v>
      </c>
      <c r="BK9" s="28">
        <f>RS!C103</f>
        <v>-0.20000000000000284</v>
      </c>
      <c r="BM9" s="16">
        <f>MX!A103</f>
        <v>41395</v>
      </c>
      <c r="BN9" s="17">
        <f>MX!B103</f>
        <v>51.8</v>
      </c>
      <c r="BO9" s="28">
        <f>MX!C103</f>
        <v>9.9999999999994316E-2</v>
      </c>
      <c r="BQ9" s="16">
        <f>AU!A103</f>
        <v>41395</v>
      </c>
      <c r="BR9" s="17">
        <f>AU!B103</f>
        <v>43.8</v>
      </c>
      <c r="BS9" s="28">
        <f>AU!C103</f>
        <v>7.0999999999999943</v>
      </c>
      <c r="BU9" s="16">
        <f>SK!A103</f>
        <v>41395</v>
      </c>
      <c r="BV9" s="17">
        <f>SK!B103</f>
        <v>51.1</v>
      </c>
      <c r="BW9" s="28">
        <f>SK!C103</f>
        <v>-1.5</v>
      </c>
      <c r="BY9" s="16">
        <f>INS!A103</f>
        <v>41395</v>
      </c>
      <c r="BZ9" s="17">
        <f>INS!B103</f>
        <v>51.6</v>
      </c>
      <c r="CA9" s="28">
        <f>INS!C103</f>
        <v>-0.10000000000000142</v>
      </c>
      <c r="CC9" s="16">
        <f>TW!A103</f>
        <v>41395</v>
      </c>
      <c r="CD9" s="17">
        <f>TW!B103</f>
        <v>50.7</v>
      </c>
      <c r="CE9" s="28">
        <f>TW!C103</f>
        <v>-0.5</v>
      </c>
      <c r="CG9" s="16">
        <f>TUR!A103</f>
        <v>41395</v>
      </c>
      <c r="CH9" s="17">
        <f>TUR!B103</f>
        <v>51.1</v>
      </c>
      <c r="CI9" s="28">
        <f>TUR!C103</f>
        <v>-0.19999999999999574</v>
      </c>
      <c r="CK9" s="16">
        <f>CZ!A103</f>
        <v>41395</v>
      </c>
      <c r="CL9" s="17">
        <f>CZ!B103</f>
        <v>50.1</v>
      </c>
      <c r="CM9" s="28">
        <f>CZ!C103</f>
        <v>0.60000000000000142</v>
      </c>
      <c r="CO9" s="16">
        <f>PL!A103</f>
        <v>41395</v>
      </c>
      <c r="CP9" s="17">
        <f>PL!B103</f>
        <v>46.9</v>
      </c>
      <c r="CQ9" s="28">
        <f>PL!C103</f>
        <v>-1.1000000000000014</v>
      </c>
    </row>
    <row r="10" spans="1:95" x14ac:dyDescent="0.35">
      <c r="A10" s="16">
        <f>Global!A104</f>
        <v>41426</v>
      </c>
      <c r="B10" s="17">
        <f>Global!B104</f>
        <v>50.6</v>
      </c>
      <c r="C10" s="28">
        <f>Global!C104</f>
        <v>0</v>
      </c>
      <c r="E10" s="16">
        <f>US!A104</f>
        <v>41426</v>
      </c>
      <c r="F10" s="17">
        <f>US!B104</f>
        <v>51.9</v>
      </c>
      <c r="G10" s="28">
        <f>US!C104</f>
        <v>-0.39999999999999858</v>
      </c>
      <c r="I10" s="16">
        <f>CA!A104</f>
        <v>41426</v>
      </c>
      <c r="J10" s="17">
        <f>CA!B104</f>
        <v>52.4</v>
      </c>
      <c r="K10" s="28">
        <f>CA!C104</f>
        <v>-0.80000000000000426</v>
      </c>
      <c r="M10" s="16">
        <f>EZ!A104</f>
        <v>41426</v>
      </c>
      <c r="N10" s="17">
        <f>EZ!B104</f>
        <v>48.8</v>
      </c>
      <c r="O10" s="28">
        <f>EZ!C104</f>
        <v>0.5</v>
      </c>
      <c r="Q10" s="16">
        <f>UK!A104</f>
        <v>41426</v>
      </c>
      <c r="R10" s="17">
        <f>UK!B104</f>
        <v>53</v>
      </c>
      <c r="S10" s="28">
        <f>UK!C104</f>
        <v>0.89999999999999858</v>
      </c>
      <c r="U10" s="16">
        <f>DE!A104</f>
        <v>41426</v>
      </c>
      <c r="V10" s="17">
        <f>DE!B104</f>
        <v>48.6</v>
      </c>
      <c r="W10" s="28">
        <f>DE!C104</f>
        <v>-0.79999999999999716</v>
      </c>
      <c r="Y10" s="16">
        <f>FR!A104</f>
        <v>41426</v>
      </c>
      <c r="Z10" s="17">
        <f>FR!B104</f>
        <v>48.4</v>
      </c>
      <c r="AA10" s="28">
        <f>FR!C104</f>
        <v>2</v>
      </c>
      <c r="AC10" s="16">
        <f>IT!A104</f>
        <v>41426</v>
      </c>
      <c r="AD10" s="17">
        <f>IT!B104</f>
        <v>49.1</v>
      </c>
      <c r="AE10" s="28">
        <f>IT!C104</f>
        <v>1.8000000000000043</v>
      </c>
      <c r="AG10" s="16">
        <f>ES!A104</f>
        <v>41426</v>
      </c>
      <c r="AH10" s="17">
        <f>ES!B104</f>
        <v>50</v>
      </c>
      <c r="AI10" s="28">
        <f>ES!C104</f>
        <v>1.8999999999999986</v>
      </c>
      <c r="AK10" s="16">
        <f>ES!A104</f>
        <v>41426</v>
      </c>
      <c r="AL10" s="17">
        <f>EL!B104</f>
        <v>45.4</v>
      </c>
      <c r="AM10" s="28">
        <f>EL!C104</f>
        <v>0.10000000000000142</v>
      </c>
      <c r="AO10" s="16">
        <f>IR!A104</f>
        <v>41426</v>
      </c>
      <c r="AP10" s="17">
        <f>IR!B104</f>
        <v>50.3</v>
      </c>
      <c r="AQ10" s="28">
        <f>IR!C104</f>
        <v>0.59999999999999432</v>
      </c>
      <c r="AS10" s="16">
        <f>CH!A104</f>
        <v>41431</v>
      </c>
      <c r="AT10" s="17">
        <f>CH!B104</f>
        <v>48.2</v>
      </c>
      <c r="AU10" s="28">
        <f>CH!C104</f>
        <v>-1</v>
      </c>
      <c r="AW10" s="16">
        <f>JP!A104</f>
        <v>41426</v>
      </c>
      <c r="AX10" s="17">
        <f>JP!B104</f>
        <v>52.3</v>
      </c>
      <c r="AY10" s="28">
        <f>JP!C104</f>
        <v>0.79999999999999716</v>
      </c>
      <c r="BA10" s="16">
        <f>BRL!A104</f>
        <v>41426</v>
      </c>
      <c r="BB10" s="17">
        <f>BRL!B104</f>
        <v>50.4</v>
      </c>
      <c r="BC10" s="28">
        <f>BRL!C104</f>
        <v>0</v>
      </c>
      <c r="BE10" s="16">
        <f>IND!A104</f>
        <v>41426</v>
      </c>
      <c r="BF10" s="17">
        <f>IND!B104</f>
        <v>50.3</v>
      </c>
      <c r="BG10" s="28">
        <f>IND!C104</f>
        <v>0.19999999999999574</v>
      </c>
      <c r="BI10" s="16">
        <f>RS!A104</f>
        <v>41426</v>
      </c>
      <c r="BJ10" s="17">
        <f>RS!B104</f>
        <v>51.7</v>
      </c>
      <c r="BK10" s="28">
        <f>RS!C104</f>
        <v>1.3000000000000043</v>
      </c>
      <c r="BM10" s="16">
        <f>MX!A104</f>
        <v>41426</v>
      </c>
      <c r="BN10" s="17">
        <f>MX!B104</f>
        <v>51.3</v>
      </c>
      <c r="BO10" s="28">
        <f>MX!C104</f>
        <v>-0.5</v>
      </c>
      <c r="BQ10" s="16">
        <f>AU!A104</f>
        <v>41426</v>
      </c>
      <c r="BR10" s="17">
        <f>AU!B104</f>
        <v>49.6</v>
      </c>
      <c r="BS10" s="28">
        <f>AU!C104</f>
        <v>5.8000000000000043</v>
      </c>
      <c r="BU10" s="16">
        <f>SK!A104</f>
        <v>41426</v>
      </c>
      <c r="BV10" s="17">
        <f>SK!B104</f>
        <v>49.4</v>
      </c>
      <c r="BW10" s="28">
        <f>SK!C104</f>
        <v>-1.7000000000000028</v>
      </c>
      <c r="BY10" s="16">
        <f>INS!A104</f>
        <v>41426</v>
      </c>
      <c r="BZ10" s="17">
        <f>INS!B104</f>
        <v>51</v>
      </c>
      <c r="CA10" s="28">
        <f>INS!C104</f>
        <v>-0.60000000000000142</v>
      </c>
      <c r="CC10" s="16">
        <f>TW!A104</f>
        <v>41426</v>
      </c>
      <c r="CD10" s="17">
        <f>TW!B104</f>
        <v>47.1</v>
      </c>
      <c r="CE10" s="28">
        <f>TW!C104</f>
        <v>-3.6000000000000014</v>
      </c>
      <c r="CG10" s="16">
        <f>TUR!A104</f>
        <v>41426</v>
      </c>
      <c r="CH10" s="17">
        <f>TUR!B104</f>
        <v>51.2</v>
      </c>
      <c r="CI10" s="28">
        <f>TUR!C104</f>
        <v>0.10000000000000142</v>
      </c>
      <c r="CK10" s="16">
        <f>CZ!A104</f>
        <v>41426</v>
      </c>
      <c r="CL10" s="17">
        <f>CZ!B104</f>
        <v>51</v>
      </c>
      <c r="CM10" s="28">
        <f>CZ!C104</f>
        <v>0.89999999999999858</v>
      </c>
      <c r="CO10" s="16">
        <f>PL!A104</f>
        <v>41426</v>
      </c>
      <c r="CP10" s="17">
        <f>PL!B104</f>
        <v>48</v>
      </c>
      <c r="CQ10" s="28">
        <f>PL!C104</f>
        <v>1.1000000000000014</v>
      </c>
    </row>
    <row r="11" spans="1:95" x14ac:dyDescent="0.35">
      <c r="A11" s="16">
        <f>Global!A105</f>
        <v>41456</v>
      </c>
      <c r="B11" s="17">
        <f>Global!B105</f>
        <v>50.8</v>
      </c>
      <c r="C11" s="28">
        <f>Global!C105</f>
        <v>0.19999999999999574</v>
      </c>
      <c r="E11" s="16">
        <f>US!A105</f>
        <v>41456</v>
      </c>
      <c r="F11" s="17">
        <f>US!B105</f>
        <v>53.7</v>
      </c>
      <c r="G11" s="28">
        <f>US!C105</f>
        <v>1.8000000000000043</v>
      </c>
      <c r="I11" s="16">
        <f>CA!A105</f>
        <v>41456</v>
      </c>
      <c r="J11" s="17">
        <f>CA!B105</f>
        <v>52</v>
      </c>
      <c r="K11" s="28">
        <f>CA!C105</f>
        <v>-0.39999999999999858</v>
      </c>
      <c r="M11" s="16">
        <f>EZ!A105</f>
        <v>41456</v>
      </c>
      <c r="N11" s="17">
        <f>EZ!B105</f>
        <v>50.3</v>
      </c>
      <c r="O11" s="28">
        <f>EZ!C105</f>
        <v>1.5</v>
      </c>
      <c r="Q11" s="16">
        <f>UK!A105</f>
        <v>41456</v>
      </c>
      <c r="R11" s="17">
        <f>UK!B105</f>
        <v>54.7</v>
      </c>
      <c r="S11" s="28">
        <f>UK!C105</f>
        <v>1.7000000000000028</v>
      </c>
      <c r="U11" s="16">
        <f>DE!A105</f>
        <v>41456</v>
      </c>
      <c r="V11" s="17">
        <f>DE!B105</f>
        <v>50.7</v>
      </c>
      <c r="W11" s="28">
        <f>DE!C105</f>
        <v>2.1000000000000014</v>
      </c>
      <c r="Y11" s="16">
        <f>FR!A105</f>
        <v>41456</v>
      </c>
      <c r="Z11" s="17">
        <f>FR!B105</f>
        <v>49.7</v>
      </c>
      <c r="AA11" s="28">
        <f>FR!C105</f>
        <v>1.3000000000000043</v>
      </c>
      <c r="AC11" s="16">
        <f>IT!A105</f>
        <v>41456</v>
      </c>
      <c r="AD11" s="17">
        <f>IT!B105</f>
        <v>50.4</v>
      </c>
      <c r="AE11" s="28">
        <f>IT!C105</f>
        <v>1.2999999999999972</v>
      </c>
      <c r="AG11" s="16">
        <f>ES!A105</f>
        <v>41456</v>
      </c>
      <c r="AH11" s="17">
        <f>ES!B105</f>
        <v>49.8</v>
      </c>
      <c r="AI11" s="28">
        <f>ES!C105</f>
        <v>-0.20000000000000284</v>
      </c>
      <c r="AK11" s="16">
        <f>ES!A105</f>
        <v>41456</v>
      </c>
      <c r="AL11" s="17">
        <f>EL!B105</f>
        <v>47</v>
      </c>
      <c r="AM11" s="28">
        <f>EL!C105</f>
        <v>1.6000000000000014</v>
      </c>
      <c r="AO11" s="16">
        <f>IR!A105</f>
        <v>41456</v>
      </c>
      <c r="AP11" s="17">
        <f>IR!B105</f>
        <v>51</v>
      </c>
      <c r="AQ11" s="28">
        <f>IR!C105</f>
        <v>0.70000000000000284</v>
      </c>
      <c r="AS11" s="16">
        <f>CH!A105</f>
        <v>41462</v>
      </c>
      <c r="AT11" s="17">
        <f>CH!B105</f>
        <v>47.7</v>
      </c>
      <c r="AU11" s="28">
        <f>CH!C105</f>
        <v>-0.5</v>
      </c>
      <c r="AW11" s="16">
        <f>JP!A105</f>
        <v>41456</v>
      </c>
      <c r="AX11" s="17">
        <f>JP!B105</f>
        <v>50.7</v>
      </c>
      <c r="AY11" s="28">
        <f>JP!C105</f>
        <v>-1.5999999999999943</v>
      </c>
      <c r="BA11" s="16">
        <f>BRL!A105</f>
        <v>41456</v>
      </c>
      <c r="BB11" s="17">
        <f>BRL!B105</f>
        <v>48.5</v>
      </c>
      <c r="BC11" s="28">
        <f>BRL!C105</f>
        <v>-1.8999999999999986</v>
      </c>
      <c r="BE11" s="16">
        <f>IND!A105</f>
        <v>41456</v>
      </c>
      <c r="BF11" s="17">
        <f>IND!B105</f>
        <v>50.1</v>
      </c>
      <c r="BG11" s="28">
        <f>IND!C105</f>
        <v>-0.19999999999999574</v>
      </c>
      <c r="BI11" s="16">
        <f>RS!A105</f>
        <v>41456</v>
      </c>
      <c r="BJ11" s="17">
        <f>RS!B105</f>
        <v>49.2</v>
      </c>
      <c r="BK11" s="28">
        <f>RS!C105</f>
        <v>-2.5</v>
      </c>
      <c r="BM11" s="16">
        <f>MX!A105</f>
        <v>41456</v>
      </c>
      <c r="BN11" s="17">
        <f>MX!B105</f>
        <v>49.7</v>
      </c>
      <c r="BO11" s="28">
        <f>MX!C105</f>
        <v>-1.5999999999999943</v>
      </c>
      <c r="BQ11" s="16">
        <f>AU!A105</f>
        <v>41456</v>
      </c>
      <c r="BR11" s="17">
        <f>AU!B105</f>
        <v>42</v>
      </c>
      <c r="BS11" s="28">
        <f>AU!C105</f>
        <v>-7.6000000000000014</v>
      </c>
      <c r="BU11" s="16">
        <f>SK!A105</f>
        <v>41456</v>
      </c>
      <c r="BV11" s="17">
        <f>SK!B105</f>
        <v>47.2</v>
      </c>
      <c r="BW11" s="28">
        <f>SK!C105</f>
        <v>-2.1999999999999957</v>
      </c>
      <c r="BY11" s="16">
        <f>INS!A105</f>
        <v>41456</v>
      </c>
      <c r="BZ11" s="17">
        <f>INS!B105</f>
        <v>50.7</v>
      </c>
      <c r="CA11" s="28">
        <f>INS!C105</f>
        <v>-0.29999999999999716</v>
      </c>
      <c r="CC11" s="16">
        <f>TW!A105</f>
        <v>41456</v>
      </c>
      <c r="CD11" s="17">
        <f>TW!B105</f>
        <v>49.5</v>
      </c>
      <c r="CE11" s="28">
        <f>TW!C105</f>
        <v>2.3999999999999986</v>
      </c>
      <c r="CG11" s="16">
        <f>TUR!A105</f>
        <v>41456</v>
      </c>
      <c r="CH11" s="17">
        <f>TUR!B105</f>
        <v>49.8</v>
      </c>
      <c r="CI11" s="28">
        <f>TUR!C105</f>
        <v>-1.4000000000000057</v>
      </c>
      <c r="CK11" s="16">
        <f>CZ!A105</f>
        <v>41456</v>
      </c>
      <c r="CL11" s="17">
        <f>CZ!B105</f>
        <v>52</v>
      </c>
      <c r="CM11" s="28">
        <f>CZ!C105</f>
        <v>1</v>
      </c>
      <c r="CO11" s="16">
        <f>PL!A105</f>
        <v>41456</v>
      </c>
      <c r="CP11" s="17">
        <f>PL!B105</f>
        <v>49.3</v>
      </c>
      <c r="CQ11" s="28">
        <f>PL!C105</f>
        <v>1.2999999999999972</v>
      </c>
    </row>
    <row r="12" spans="1:95" x14ac:dyDescent="0.35">
      <c r="A12" s="16">
        <f>Global!A106</f>
        <v>41487</v>
      </c>
      <c r="B12" s="17">
        <f>Global!B106</f>
        <v>51.6</v>
      </c>
      <c r="C12" s="28">
        <f>Global!C106</f>
        <v>0.80000000000000426</v>
      </c>
      <c r="E12" s="16">
        <f>US!A106</f>
        <v>41487</v>
      </c>
      <c r="F12" s="17">
        <f>US!B106</f>
        <v>53.7</v>
      </c>
      <c r="G12" s="28">
        <f>US!C106</f>
        <v>0</v>
      </c>
      <c r="I12" s="16">
        <f>CA!A106</f>
        <v>41487</v>
      </c>
      <c r="J12" s="17">
        <f>CA!B106</f>
        <v>52.1</v>
      </c>
      <c r="K12" s="28">
        <f>CA!C106</f>
        <v>0.10000000000000142</v>
      </c>
      <c r="M12" s="16">
        <f>EZ!A106</f>
        <v>41487</v>
      </c>
      <c r="N12" s="17">
        <f>EZ!B106</f>
        <v>51.4</v>
      </c>
      <c r="O12" s="28">
        <f>EZ!C106</f>
        <v>1.1000000000000014</v>
      </c>
      <c r="Q12" s="16">
        <f>UK!A106</f>
        <v>41487</v>
      </c>
      <c r="R12" s="17">
        <f>UK!B106</f>
        <v>57.3</v>
      </c>
      <c r="S12" s="28">
        <f>UK!C106</f>
        <v>2.5999999999999943</v>
      </c>
      <c r="U12" s="16">
        <f>DE!A106</f>
        <v>41487</v>
      </c>
      <c r="V12" s="17">
        <f>DE!B106</f>
        <v>51.8</v>
      </c>
      <c r="W12" s="28">
        <f>DE!C106</f>
        <v>1.0999999999999943</v>
      </c>
      <c r="Y12" s="16">
        <f>FR!A106</f>
        <v>41487</v>
      </c>
      <c r="Z12" s="17">
        <f>FR!B106</f>
        <v>49.7</v>
      </c>
      <c r="AA12" s="28">
        <f>FR!C106</f>
        <v>0</v>
      </c>
      <c r="AC12" s="16">
        <f>IT!A106</f>
        <v>41487</v>
      </c>
      <c r="AD12" s="17">
        <f>IT!B106</f>
        <v>51.3</v>
      </c>
      <c r="AE12" s="28">
        <f>IT!C106</f>
        <v>0.89999999999999858</v>
      </c>
      <c r="AG12" s="16">
        <f>ES!A106</f>
        <v>41487</v>
      </c>
      <c r="AH12" s="17">
        <f>ES!B106</f>
        <v>51.1</v>
      </c>
      <c r="AI12" s="28">
        <f>ES!C106</f>
        <v>1.3000000000000043</v>
      </c>
      <c r="AK12" s="16">
        <f>ES!A106</f>
        <v>41487</v>
      </c>
      <c r="AL12" s="17">
        <f>EL!B106</f>
        <v>48.7</v>
      </c>
      <c r="AM12" s="28">
        <f>EL!C106</f>
        <v>1.7000000000000028</v>
      </c>
      <c r="AO12" s="16">
        <f>IR!A106</f>
        <v>41487</v>
      </c>
      <c r="AP12" s="17">
        <f>IR!B106</f>
        <v>52</v>
      </c>
      <c r="AQ12" s="28">
        <f>IR!C106</f>
        <v>1</v>
      </c>
      <c r="AS12" s="16">
        <f>CH!A106</f>
        <v>41493</v>
      </c>
      <c r="AT12" s="17">
        <f>CH!B106</f>
        <v>50.1</v>
      </c>
      <c r="AU12" s="28">
        <f>CH!C106</f>
        <v>2.3999999999999986</v>
      </c>
      <c r="AW12" s="16">
        <f>JP!A106</f>
        <v>41487</v>
      </c>
      <c r="AX12" s="17">
        <f>JP!B106</f>
        <v>52.2</v>
      </c>
      <c r="AY12" s="28">
        <f>JP!C106</f>
        <v>1.5</v>
      </c>
      <c r="BA12" s="16">
        <f>BRL!A106</f>
        <v>41487</v>
      </c>
      <c r="BB12" s="17">
        <f>BRL!B106</f>
        <v>49.4</v>
      </c>
      <c r="BC12" s="28">
        <f>BRL!C106</f>
        <v>0.89999999999999858</v>
      </c>
      <c r="BE12" s="16">
        <f>IND!A106</f>
        <v>41487</v>
      </c>
      <c r="BF12" s="17">
        <f>IND!B106</f>
        <v>48.5</v>
      </c>
      <c r="BG12" s="28">
        <f>IND!C106</f>
        <v>-1.6000000000000014</v>
      </c>
      <c r="BI12" s="16">
        <f>RS!A106</f>
        <v>41487</v>
      </c>
      <c r="BJ12" s="17">
        <f>RS!B106</f>
        <v>49.4</v>
      </c>
      <c r="BK12" s="28">
        <f>RS!C106</f>
        <v>0.19999999999999574</v>
      </c>
      <c r="BM12" s="16">
        <f>MX!A106</f>
        <v>41487</v>
      </c>
      <c r="BN12" s="17">
        <f>MX!B106</f>
        <v>50.8</v>
      </c>
      <c r="BO12" s="28">
        <f>MX!C106</f>
        <v>1.0999999999999943</v>
      </c>
      <c r="BQ12" s="16">
        <f>AU!A106</f>
        <v>41487</v>
      </c>
      <c r="BR12" s="17">
        <f>AU!B106</f>
        <v>46.4</v>
      </c>
      <c r="BS12" s="28">
        <f>AU!C106</f>
        <v>4.3999999999999986</v>
      </c>
      <c r="BU12" s="16">
        <f>SK!A106</f>
        <v>41487</v>
      </c>
      <c r="BV12" s="17">
        <f>SK!B106</f>
        <v>47.5</v>
      </c>
      <c r="BW12" s="28">
        <f>SK!C106</f>
        <v>0.29999999999999716</v>
      </c>
      <c r="BY12" s="16">
        <f>INS!A106</f>
        <v>41487</v>
      </c>
      <c r="BZ12" s="17">
        <f>INS!B106</f>
        <v>48.5</v>
      </c>
      <c r="CA12" s="28">
        <f>INS!C106</f>
        <v>-2.2000000000000028</v>
      </c>
      <c r="CC12" s="16">
        <f>TW!A106</f>
        <v>41487</v>
      </c>
      <c r="CD12" s="17">
        <f>TW!B106</f>
        <v>48.6</v>
      </c>
      <c r="CE12" s="28">
        <f>TW!C106</f>
        <v>-0.89999999999999858</v>
      </c>
      <c r="CG12" s="16">
        <f>TUR!A106</f>
        <v>41487</v>
      </c>
      <c r="CH12" s="17">
        <f>TUR!B106</f>
        <v>50.9</v>
      </c>
      <c r="CI12" s="28">
        <f>TUR!C106</f>
        <v>1.1000000000000014</v>
      </c>
      <c r="CK12" s="16">
        <f>CZ!A106</f>
        <v>41487</v>
      </c>
      <c r="CL12" s="17">
        <f>CZ!B106</f>
        <v>53.9</v>
      </c>
      <c r="CM12" s="28">
        <f>CZ!C106</f>
        <v>1.8999999999999986</v>
      </c>
      <c r="CO12" s="16">
        <f>PL!A106</f>
        <v>41487</v>
      </c>
      <c r="CP12" s="17">
        <f>PL!B106</f>
        <v>51.1</v>
      </c>
      <c r="CQ12" s="28">
        <f>PL!C106</f>
        <v>1.8000000000000043</v>
      </c>
    </row>
    <row r="13" spans="1:95" x14ac:dyDescent="0.35">
      <c r="A13" s="16">
        <f>Global!A107</f>
        <v>41518</v>
      </c>
      <c r="B13" s="17">
        <f>Global!B107</f>
        <v>51.8</v>
      </c>
      <c r="C13" s="28">
        <f>Global!C107</f>
        <v>0.19999999999999574</v>
      </c>
      <c r="E13" s="16">
        <f>US!A107</f>
        <v>41518</v>
      </c>
      <c r="F13" s="17">
        <f>US!B107</f>
        <v>52.8</v>
      </c>
      <c r="G13" s="28">
        <f>US!C107</f>
        <v>-0.90000000000000568</v>
      </c>
      <c r="I13" s="16">
        <f>CA!A107</f>
        <v>41518</v>
      </c>
      <c r="J13" s="17">
        <f>CA!B107</f>
        <v>54.2</v>
      </c>
      <c r="K13" s="28">
        <f>CA!C107</f>
        <v>2.1000000000000014</v>
      </c>
      <c r="M13" s="16">
        <f>EZ!A107</f>
        <v>41518</v>
      </c>
      <c r="N13" s="17">
        <f>EZ!B107</f>
        <v>51.1</v>
      </c>
      <c r="O13" s="28">
        <f>EZ!C107</f>
        <v>-0.29999999999999716</v>
      </c>
      <c r="Q13" s="16">
        <f>UK!A107</f>
        <v>41518</v>
      </c>
      <c r="R13" s="17">
        <f>UK!B107</f>
        <v>56.7</v>
      </c>
      <c r="S13" s="28">
        <f>UK!C107</f>
        <v>-0.59999999999999432</v>
      </c>
      <c r="U13" s="16">
        <f>DE!A107</f>
        <v>41518</v>
      </c>
      <c r="V13" s="17">
        <f>DE!B107</f>
        <v>51.1</v>
      </c>
      <c r="W13" s="28">
        <f>DE!C107</f>
        <v>-0.69999999999999574</v>
      </c>
      <c r="Y13" s="16">
        <f>FR!A107</f>
        <v>41518</v>
      </c>
      <c r="Z13" s="17">
        <f>FR!B107</f>
        <v>49.8</v>
      </c>
      <c r="AA13" s="28">
        <f>FR!C107</f>
        <v>9.9999999999994316E-2</v>
      </c>
      <c r="AC13" s="16">
        <f>IT!A107</f>
        <v>41518</v>
      </c>
      <c r="AD13" s="17">
        <f>IT!B107</f>
        <v>50.8</v>
      </c>
      <c r="AE13" s="28">
        <f>IT!C107</f>
        <v>-0.5</v>
      </c>
      <c r="AG13" s="16">
        <f>ES!A107</f>
        <v>41518</v>
      </c>
      <c r="AH13" s="17">
        <f>ES!B107</f>
        <v>50.7</v>
      </c>
      <c r="AI13" s="28">
        <f>ES!C107</f>
        <v>-0.39999999999999858</v>
      </c>
      <c r="AK13" s="16">
        <f>ES!A107</f>
        <v>41518</v>
      </c>
      <c r="AL13" s="17">
        <f>EL!B107</f>
        <v>47.5</v>
      </c>
      <c r="AM13" s="28">
        <f>EL!C107</f>
        <v>-1.2000000000000028</v>
      </c>
      <c r="AO13" s="16">
        <f>IR!A107</f>
        <v>41518</v>
      </c>
      <c r="AP13" s="17">
        <f>IR!B107</f>
        <v>52.7</v>
      </c>
      <c r="AQ13" s="28">
        <f>IR!C107</f>
        <v>0.70000000000000284</v>
      </c>
      <c r="AS13" s="16">
        <f>CH!A107</f>
        <v>41524</v>
      </c>
      <c r="AT13" s="17">
        <f>CH!B107</f>
        <v>50.2</v>
      </c>
      <c r="AU13" s="28">
        <f>CH!C107</f>
        <v>0.10000000000000142</v>
      </c>
      <c r="AW13" s="16">
        <f>JP!A107</f>
        <v>41518</v>
      </c>
      <c r="AX13" s="17">
        <f>JP!B107</f>
        <v>52.5</v>
      </c>
      <c r="AY13" s="28">
        <f>JP!C107</f>
        <v>0.29999999999999716</v>
      </c>
      <c r="BA13" s="16">
        <f>BRL!A107</f>
        <v>41518</v>
      </c>
      <c r="BB13" s="17">
        <f>BRL!B107</f>
        <v>49.9</v>
      </c>
      <c r="BC13" s="28">
        <f>BRL!C107</f>
        <v>0.5</v>
      </c>
      <c r="BE13" s="16">
        <f>IND!A107</f>
        <v>41518</v>
      </c>
      <c r="BF13" s="17">
        <f>IND!B107</f>
        <v>49.6</v>
      </c>
      <c r="BG13" s="28">
        <f>IND!C107</f>
        <v>1.1000000000000014</v>
      </c>
      <c r="BI13" s="16">
        <f>RS!A107</f>
        <v>41518</v>
      </c>
      <c r="BJ13" s="17">
        <f>RS!B107</f>
        <v>49.4</v>
      </c>
      <c r="BK13" s="28">
        <f>RS!C107</f>
        <v>0</v>
      </c>
      <c r="BM13" s="16">
        <f>MX!A107</f>
        <v>41518</v>
      </c>
      <c r="BN13" s="17">
        <f>MX!B107</f>
        <v>50</v>
      </c>
      <c r="BO13" s="28">
        <f>MX!C107</f>
        <v>-0.79999999999999716</v>
      </c>
      <c r="BQ13" s="16">
        <f>AU!A107</f>
        <v>41518</v>
      </c>
      <c r="BR13" s="17">
        <f>AU!B107</f>
        <v>51.7</v>
      </c>
      <c r="BS13" s="28">
        <f>AU!C107</f>
        <v>5.3000000000000043</v>
      </c>
      <c r="BU13" s="16">
        <f>SK!A107</f>
        <v>41518</v>
      </c>
      <c r="BV13" s="17">
        <f>SK!B107</f>
        <v>49.7</v>
      </c>
      <c r="BW13" s="28">
        <f>SK!C107</f>
        <v>2.2000000000000028</v>
      </c>
      <c r="BY13" s="16">
        <f>INS!A107</f>
        <v>41518</v>
      </c>
      <c r="BZ13" s="17">
        <f>INS!B107</f>
        <v>50.2</v>
      </c>
      <c r="CA13" s="28">
        <f>INS!C107</f>
        <v>1.7000000000000028</v>
      </c>
      <c r="CC13" s="16">
        <f>TW!A107</f>
        <v>41518</v>
      </c>
      <c r="CD13" s="17">
        <f>TW!B107</f>
        <v>50</v>
      </c>
      <c r="CE13" s="28">
        <f>TW!C107</f>
        <v>1.3999999999999986</v>
      </c>
      <c r="CG13" s="16">
        <f>TUR!A107</f>
        <v>41518</v>
      </c>
      <c r="CH13" s="17">
        <f>TUR!B107</f>
        <v>54</v>
      </c>
      <c r="CI13" s="28">
        <f>TUR!C107</f>
        <v>3.1000000000000014</v>
      </c>
      <c r="CK13" s="16">
        <f>CZ!A107</f>
        <v>41518</v>
      </c>
      <c r="CL13" s="17">
        <f>CZ!B107</f>
        <v>53.4</v>
      </c>
      <c r="CM13" s="28">
        <f>CZ!C107</f>
        <v>-0.5</v>
      </c>
      <c r="CO13" s="16">
        <f>PL!A107</f>
        <v>41518</v>
      </c>
      <c r="CP13" s="17">
        <f>PL!B107</f>
        <v>52.6</v>
      </c>
      <c r="CQ13" s="28">
        <f>PL!C107</f>
        <v>1.5</v>
      </c>
    </row>
    <row r="14" spans="1:95" x14ac:dyDescent="0.35">
      <c r="A14" s="16">
        <f>Global!A108</f>
        <v>41548</v>
      </c>
      <c r="B14" s="17">
        <f>Global!B108</f>
        <v>52.1</v>
      </c>
      <c r="C14" s="28">
        <f>Global!C108</f>
        <v>0.30000000000000426</v>
      </c>
      <c r="E14" s="16">
        <f>US!A108</f>
        <v>41548</v>
      </c>
      <c r="F14" s="17">
        <f>US!B108</f>
        <v>51.8</v>
      </c>
      <c r="G14" s="28">
        <f>US!C108</f>
        <v>-1</v>
      </c>
      <c r="I14" s="16">
        <f>CA!A108</f>
        <v>41548</v>
      </c>
      <c r="J14" s="17">
        <f>CA!B108</f>
        <v>55.6</v>
      </c>
      <c r="K14" s="28">
        <f>CA!C108</f>
        <v>1.3999999999999986</v>
      </c>
      <c r="M14" s="16">
        <f>EZ!A108</f>
        <v>41548</v>
      </c>
      <c r="N14" s="17">
        <f>EZ!B108</f>
        <v>51.3</v>
      </c>
      <c r="O14" s="28">
        <f>EZ!C108</f>
        <v>0.19999999999999574</v>
      </c>
      <c r="Q14" s="16">
        <f>UK!A108</f>
        <v>41548</v>
      </c>
      <c r="R14" s="17">
        <f>UK!B108</f>
        <v>56.5</v>
      </c>
      <c r="S14" s="28">
        <f>UK!C108</f>
        <v>-0.20000000000000284</v>
      </c>
      <c r="U14" s="16">
        <f>DE!A108</f>
        <v>41548</v>
      </c>
      <c r="V14" s="17">
        <f>DE!B108</f>
        <v>51.7</v>
      </c>
      <c r="W14" s="28">
        <f>DE!C108</f>
        <v>0.60000000000000142</v>
      </c>
      <c r="Y14" s="16">
        <f>FR!A108</f>
        <v>41548</v>
      </c>
      <c r="Z14" s="17">
        <f>FR!B108</f>
        <v>49.1</v>
      </c>
      <c r="AA14" s="28">
        <f>FR!C108</f>
        <v>-0.69999999999999574</v>
      </c>
      <c r="AC14" s="16">
        <f>IT!A108</f>
        <v>41548</v>
      </c>
      <c r="AD14" s="17">
        <f>IT!B108</f>
        <v>50.7</v>
      </c>
      <c r="AE14" s="28">
        <f>IT!C108</f>
        <v>-9.9999999999994316E-2</v>
      </c>
      <c r="AG14" s="16">
        <f>ES!A108</f>
        <v>41548</v>
      </c>
      <c r="AH14" s="17">
        <f>ES!B108</f>
        <v>50.9</v>
      </c>
      <c r="AI14" s="28">
        <f>ES!C108</f>
        <v>0.19999999999999574</v>
      </c>
      <c r="AK14" s="16">
        <f>ES!A108</f>
        <v>41548</v>
      </c>
      <c r="AL14" s="17">
        <f>EL!B108</f>
        <v>47.3</v>
      </c>
      <c r="AM14" s="28">
        <f>EL!C108</f>
        <v>-0.20000000000000284</v>
      </c>
      <c r="AO14" s="16">
        <f>IR!A108</f>
        <v>41548</v>
      </c>
      <c r="AP14" s="17">
        <f>IR!B108</f>
        <v>54.9</v>
      </c>
      <c r="AQ14" s="28">
        <f>IR!C108</f>
        <v>2.1999999999999957</v>
      </c>
      <c r="AS14" s="16">
        <f>CH!A108</f>
        <v>41554</v>
      </c>
      <c r="AT14" s="17">
        <f>CH!B108</f>
        <v>50.9</v>
      </c>
      <c r="AU14" s="28">
        <f>CH!C108</f>
        <v>0.69999999999999574</v>
      </c>
      <c r="AW14" s="16">
        <f>JP!A108</f>
        <v>41548</v>
      </c>
      <c r="AX14" s="17">
        <f>JP!B108</f>
        <v>54.2</v>
      </c>
      <c r="AY14" s="28">
        <f>JP!C108</f>
        <v>1.7000000000000028</v>
      </c>
      <c r="BA14" s="16">
        <f>BRL!A108</f>
        <v>41548</v>
      </c>
      <c r="BB14" s="17">
        <f>BRL!B108</f>
        <v>50.2</v>
      </c>
      <c r="BC14" s="28">
        <f>BRL!C108</f>
        <v>0.30000000000000426</v>
      </c>
      <c r="BE14" s="16">
        <f>IND!A108</f>
        <v>41548</v>
      </c>
      <c r="BF14" s="17">
        <f>IND!B108</f>
        <v>49.6</v>
      </c>
      <c r="BG14" s="28">
        <f>IND!C108</f>
        <v>0</v>
      </c>
      <c r="BI14" s="16">
        <f>RS!A108</f>
        <v>41548</v>
      </c>
      <c r="BJ14" s="17">
        <f>RS!B108</f>
        <v>51.8</v>
      </c>
      <c r="BK14" s="28">
        <f>RS!C108</f>
        <v>2.3999999999999986</v>
      </c>
      <c r="BM14" s="16">
        <f>MX!A108</f>
        <v>41548</v>
      </c>
      <c r="BN14" s="17">
        <f>MX!B108</f>
        <v>50.2</v>
      </c>
      <c r="BO14" s="28">
        <f>MX!C108</f>
        <v>0.20000000000000284</v>
      </c>
      <c r="BQ14" s="16">
        <f>AU!A108</f>
        <v>41548</v>
      </c>
      <c r="BR14" s="17">
        <f>AU!B108</f>
        <v>53.2</v>
      </c>
      <c r="BS14" s="28">
        <f>AU!C108</f>
        <v>1.5</v>
      </c>
      <c r="BU14" s="16">
        <f>SK!A108</f>
        <v>41548</v>
      </c>
      <c r="BV14" s="17">
        <f>SK!B108</f>
        <v>50.2</v>
      </c>
      <c r="BW14" s="28">
        <f>SK!C108</f>
        <v>0.5</v>
      </c>
      <c r="BY14" s="16">
        <f>INS!A108</f>
        <v>41548</v>
      </c>
      <c r="BZ14" s="17">
        <f>INS!B108</f>
        <v>50.9</v>
      </c>
      <c r="CA14" s="28">
        <f>INS!C108</f>
        <v>0.69999999999999574</v>
      </c>
      <c r="CC14" s="16">
        <f>TW!A108</f>
        <v>41548</v>
      </c>
      <c r="CD14" s="17">
        <f>TW!B108</f>
        <v>52</v>
      </c>
      <c r="CE14" s="28">
        <f>TW!C108</f>
        <v>2</v>
      </c>
      <c r="CG14" s="16">
        <f>TUR!A108</f>
        <v>41548</v>
      </c>
      <c r="CH14" s="17">
        <f>TUR!B108</f>
        <v>53.3</v>
      </c>
      <c r="CI14" s="28">
        <f>TUR!C108</f>
        <v>-0.70000000000000284</v>
      </c>
      <c r="CK14" s="16">
        <f>CZ!A108</f>
        <v>41548</v>
      </c>
      <c r="CL14" s="17">
        <f>CZ!B108</f>
        <v>54.5</v>
      </c>
      <c r="CM14" s="28">
        <f>CZ!C108</f>
        <v>1.1000000000000014</v>
      </c>
      <c r="CO14" s="16">
        <f>PL!A108</f>
        <v>41548</v>
      </c>
      <c r="CP14" s="17">
        <f>PL!B108</f>
        <v>53.4</v>
      </c>
      <c r="CQ14" s="28">
        <f>PL!C108</f>
        <v>0.79999999999999716</v>
      </c>
    </row>
    <row r="15" spans="1:95" x14ac:dyDescent="0.35">
      <c r="A15" s="16">
        <f>Global!A109</f>
        <v>41579</v>
      </c>
      <c r="B15" s="17">
        <f>Global!B109</f>
        <v>53.1</v>
      </c>
      <c r="C15" s="28">
        <f>Global!C109</f>
        <v>1</v>
      </c>
      <c r="E15" s="16">
        <f>US!A109</f>
        <v>41579</v>
      </c>
      <c r="F15" s="17">
        <f>US!B109</f>
        <v>54.7</v>
      </c>
      <c r="G15" s="28">
        <f>US!C109</f>
        <v>2.9000000000000057</v>
      </c>
      <c r="I15" s="16">
        <f>CA!A109</f>
        <v>41579</v>
      </c>
      <c r="J15" s="17">
        <f>CA!B109</f>
        <v>55.3</v>
      </c>
      <c r="K15" s="28">
        <f>CA!C109</f>
        <v>-0.30000000000000426</v>
      </c>
      <c r="M15" s="16">
        <f>EZ!A109</f>
        <v>41579</v>
      </c>
      <c r="N15" s="17">
        <f>EZ!B109</f>
        <v>51.6</v>
      </c>
      <c r="O15" s="28">
        <f>EZ!C109</f>
        <v>0.30000000000000426</v>
      </c>
      <c r="Q15" s="16">
        <f>UK!A109</f>
        <v>41579</v>
      </c>
      <c r="R15" s="17">
        <f>UK!B109</f>
        <v>58.1</v>
      </c>
      <c r="S15" s="28">
        <f>UK!C109</f>
        <v>1.6000000000000014</v>
      </c>
      <c r="U15" s="16">
        <f>DE!A109</f>
        <v>41579</v>
      </c>
      <c r="V15" s="17">
        <f>DE!B109</f>
        <v>52.7</v>
      </c>
      <c r="W15" s="28">
        <f>DE!C109</f>
        <v>1</v>
      </c>
      <c r="Y15" s="16">
        <f>FR!A109</f>
        <v>41579</v>
      </c>
      <c r="Z15" s="17">
        <f>FR!B109</f>
        <v>48.4</v>
      </c>
      <c r="AA15" s="28">
        <f>FR!C109</f>
        <v>-0.70000000000000284</v>
      </c>
      <c r="AC15" s="16">
        <f>IT!A109</f>
        <v>41579</v>
      </c>
      <c r="AD15" s="17">
        <f>IT!B109</f>
        <v>51.4</v>
      </c>
      <c r="AE15" s="28">
        <f>IT!C109</f>
        <v>0.69999999999999574</v>
      </c>
      <c r="AG15" s="16">
        <f>ES!A109</f>
        <v>41579</v>
      </c>
      <c r="AH15" s="17">
        <f>ES!B109</f>
        <v>48.6</v>
      </c>
      <c r="AI15" s="28">
        <f>ES!C109</f>
        <v>-2.2999999999999972</v>
      </c>
      <c r="AK15" s="16">
        <f>ES!A109</f>
        <v>41579</v>
      </c>
      <c r="AL15" s="17">
        <f>EL!B109</f>
        <v>49.2</v>
      </c>
      <c r="AM15" s="28">
        <f>EL!C109</f>
        <v>1.9000000000000057</v>
      </c>
      <c r="AO15" s="16">
        <f>IR!A109</f>
        <v>41579</v>
      </c>
      <c r="AP15" s="17">
        <f>IR!B109</f>
        <v>52.4</v>
      </c>
      <c r="AQ15" s="28">
        <f>IR!C109</f>
        <v>-2.5</v>
      </c>
      <c r="AS15" s="16">
        <f>CH!A109</f>
        <v>41585</v>
      </c>
      <c r="AT15" s="17">
        <f>CH!B109</f>
        <v>50.8</v>
      </c>
      <c r="AU15" s="28">
        <f>CH!C109</f>
        <v>-0.10000000000000142</v>
      </c>
      <c r="AW15" s="16">
        <f>JP!A109</f>
        <v>41579</v>
      </c>
      <c r="AX15" s="17">
        <f>JP!B109</f>
        <v>55.1</v>
      </c>
      <c r="AY15" s="28">
        <f>JP!C109</f>
        <v>0.89999999999999858</v>
      </c>
      <c r="BA15" s="16">
        <f>BRL!A109</f>
        <v>41579</v>
      </c>
      <c r="BB15" s="17">
        <f>BRL!B109</f>
        <v>49.7</v>
      </c>
      <c r="BC15" s="28">
        <f>BRL!C109</f>
        <v>-0.5</v>
      </c>
      <c r="BE15" s="16">
        <f>IND!A109</f>
        <v>41579</v>
      </c>
      <c r="BF15" s="17">
        <f>IND!B109</f>
        <v>51.3</v>
      </c>
      <c r="BG15" s="28">
        <f>IND!C109</f>
        <v>1.6999999999999957</v>
      </c>
      <c r="BI15" s="16">
        <f>RS!A109</f>
        <v>41579</v>
      </c>
      <c r="BJ15" s="17">
        <f>RS!B109</f>
        <v>49.4</v>
      </c>
      <c r="BK15" s="28">
        <f>RS!C109</f>
        <v>-2.3999999999999986</v>
      </c>
      <c r="BM15" s="16">
        <f>MX!A109</f>
        <v>41579</v>
      </c>
      <c r="BN15" s="17">
        <f>MX!B109</f>
        <v>51.9</v>
      </c>
      <c r="BO15" s="28">
        <f>MX!C109</f>
        <v>1.6999999999999957</v>
      </c>
      <c r="BQ15" s="16">
        <f>AU!A109</f>
        <v>41579</v>
      </c>
      <c r="BR15" s="17">
        <f>AU!B109</f>
        <v>47.7</v>
      </c>
      <c r="BS15" s="28">
        <f>AU!C109</f>
        <v>-5.5</v>
      </c>
      <c r="BU15" s="16">
        <f>SK!A109</f>
        <v>41579</v>
      </c>
      <c r="BV15" s="17">
        <f>SK!B109</f>
        <v>50.4</v>
      </c>
      <c r="BW15" s="28">
        <f>SK!C109</f>
        <v>0.19999999999999574</v>
      </c>
      <c r="BY15" s="16">
        <f>INS!A109</f>
        <v>41579</v>
      </c>
      <c r="BZ15" s="17">
        <f>INS!B109</f>
        <v>50.3</v>
      </c>
      <c r="CA15" s="28">
        <f>INS!C109</f>
        <v>-0.60000000000000142</v>
      </c>
      <c r="CC15" s="16">
        <f>TW!A109</f>
        <v>41579</v>
      </c>
      <c r="CD15" s="17">
        <f>TW!B109</f>
        <v>53</v>
      </c>
      <c r="CE15" s="28">
        <f>TW!C109</f>
        <v>1</v>
      </c>
      <c r="CG15" s="16">
        <f>TUR!A109</f>
        <v>41579</v>
      </c>
      <c r="CH15" s="17">
        <f>TUR!B109</f>
        <v>55</v>
      </c>
      <c r="CI15" s="28">
        <f>TUR!C109</f>
        <v>1.7000000000000028</v>
      </c>
      <c r="CK15" s="16">
        <f>CZ!A109</f>
        <v>41579</v>
      </c>
      <c r="CL15" s="17">
        <f>CZ!B109</f>
        <v>55.4</v>
      </c>
      <c r="CM15" s="28">
        <f>CZ!C109</f>
        <v>0.89999999999999858</v>
      </c>
      <c r="CO15" s="16">
        <f>PL!A109</f>
        <v>41579</v>
      </c>
      <c r="CP15" s="17">
        <f>PL!B109</f>
        <v>54.4</v>
      </c>
      <c r="CQ15" s="28">
        <f>PL!C109</f>
        <v>1</v>
      </c>
    </row>
    <row r="16" spans="1:95" x14ac:dyDescent="0.35">
      <c r="A16" s="16">
        <f>Global!A110</f>
        <v>41609</v>
      </c>
      <c r="B16" s="17">
        <f>Global!B110</f>
        <v>53.3</v>
      </c>
      <c r="C16" s="28">
        <f>Global!C110</f>
        <v>0.19999999999999574</v>
      </c>
      <c r="E16" s="16">
        <f>US!A110</f>
        <v>41609</v>
      </c>
      <c r="F16" s="17">
        <f>US!B110</f>
        <v>55</v>
      </c>
      <c r="G16" s="28">
        <f>US!C110</f>
        <v>0.29999999999999716</v>
      </c>
      <c r="I16" s="16">
        <f>CA!A110</f>
        <v>41609</v>
      </c>
      <c r="J16" s="17">
        <f>CA!B110</f>
        <v>53.5</v>
      </c>
      <c r="K16" s="28">
        <f>CA!C110</f>
        <v>-1.7999999999999972</v>
      </c>
      <c r="M16" s="16">
        <f>EZ!A110</f>
        <v>41609</v>
      </c>
      <c r="N16" s="17">
        <f>EZ!B110</f>
        <v>52.7</v>
      </c>
      <c r="O16" s="28">
        <f>EZ!C110</f>
        <v>1.1000000000000014</v>
      </c>
      <c r="Q16" s="16">
        <f>UK!A110</f>
        <v>41609</v>
      </c>
      <c r="R16" s="17">
        <f>UK!B110</f>
        <v>57.3</v>
      </c>
      <c r="S16" s="28">
        <f>UK!C110</f>
        <v>-0.80000000000000426</v>
      </c>
      <c r="U16" s="16">
        <f>DE!A110</f>
        <v>41609</v>
      </c>
      <c r="V16" s="17">
        <f>DE!B110</f>
        <v>54.3</v>
      </c>
      <c r="W16" s="28">
        <f>DE!C110</f>
        <v>1.5999999999999943</v>
      </c>
      <c r="Y16" s="16">
        <f>FR!A110</f>
        <v>41609</v>
      </c>
      <c r="Z16" s="17">
        <f>FR!B110</f>
        <v>47</v>
      </c>
      <c r="AA16" s="28">
        <f>FR!C110</f>
        <v>-1.3999999999999986</v>
      </c>
      <c r="AC16" s="16">
        <f>IT!A110</f>
        <v>41609</v>
      </c>
      <c r="AD16" s="17">
        <f>IT!B110</f>
        <v>53.3</v>
      </c>
      <c r="AE16" s="28">
        <f>IT!C110</f>
        <v>1.8999999999999986</v>
      </c>
      <c r="AG16" s="16">
        <f>ES!A110</f>
        <v>41609</v>
      </c>
      <c r="AH16" s="17">
        <f>ES!B110</f>
        <v>50.8</v>
      </c>
      <c r="AI16" s="28">
        <f>ES!C110</f>
        <v>2.1999999999999957</v>
      </c>
      <c r="AK16" s="16">
        <f>ES!A110</f>
        <v>41609</v>
      </c>
      <c r="AL16" s="17">
        <f>EL!B110</f>
        <v>49.6</v>
      </c>
      <c r="AM16" s="28">
        <f>EL!C110</f>
        <v>0.39999999999999858</v>
      </c>
      <c r="AO16" s="16">
        <f>IR!A110</f>
        <v>41609</v>
      </c>
      <c r="AP16" s="17">
        <f>IR!B110</f>
        <v>53.5</v>
      </c>
      <c r="AQ16" s="28">
        <f>IR!C110</f>
        <v>1.1000000000000014</v>
      </c>
      <c r="AS16" s="16">
        <f>CH!A110</f>
        <v>41615</v>
      </c>
      <c r="AT16" s="17">
        <f>CH!B110</f>
        <v>50.5</v>
      </c>
      <c r="AU16" s="28">
        <f>CH!C110</f>
        <v>-0.29999999999999716</v>
      </c>
      <c r="AW16" s="16">
        <f>JP!A110</f>
        <v>41609</v>
      </c>
      <c r="AX16" s="17">
        <f>JP!B110</f>
        <v>55.2</v>
      </c>
      <c r="AY16" s="28">
        <f>JP!C110</f>
        <v>0.10000000000000142</v>
      </c>
      <c r="BA16" s="16">
        <f>BRL!A110</f>
        <v>41609</v>
      </c>
      <c r="BB16" s="17">
        <f>BRL!B110</f>
        <v>50.5</v>
      </c>
      <c r="BC16" s="28">
        <f>BRL!C110</f>
        <v>0.79999999999999716</v>
      </c>
      <c r="BE16" s="16">
        <f>IND!A110</f>
        <v>41609</v>
      </c>
      <c r="BF16" s="17">
        <f>IND!B110</f>
        <v>50.7</v>
      </c>
      <c r="BG16" s="28">
        <f>IND!C110</f>
        <v>-0.59999999999999432</v>
      </c>
      <c r="BI16" s="16">
        <f>RS!A110</f>
        <v>41609</v>
      </c>
      <c r="BJ16" s="17">
        <f>RS!B110</f>
        <v>48.8</v>
      </c>
      <c r="BK16" s="28">
        <f>RS!C110</f>
        <v>-0.60000000000000142</v>
      </c>
      <c r="BM16" s="16">
        <f>MX!A110</f>
        <v>41609</v>
      </c>
      <c r="BN16" s="17">
        <f>MX!B110</f>
        <v>52.6</v>
      </c>
      <c r="BO16" s="28">
        <f>MX!C110</f>
        <v>0.70000000000000284</v>
      </c>
      <c r="BQ16" s="16">
        <f>AU!A110</f>
        <v>41609</v>
      </c>
      <c r="BR16" s="17">
        <f>AU!B110</f>
        <v>47.6</v>
      </c>
      <c r="BS16" s="28">
        <f>AU!C110</f>
        <v>-0.10000000000000142</v>
      </c>
      <c r="BU16" s="16">
        <f>SK!A110</f>
        <v>41609</v>
      </c>
      <c r="BV16" s="17">
        <f>SK!B110</f>
        <v>50.8</v>
      </c>
      <c r="BW16" s="28">
        <f>SK!C110</f>
        <v>0.39999999999999858</v>
      </c>
      <c r="BY16" s="16">
        <f>INS!A110</f>
        <v>41609</v>
      </c>
      <c r="BZ16" s="17">
        <f>INS!B110</f>
        <v>50.9</v>
      </c>
      <c r="CA16" s="28">
        <f>INS!C110</f>
        <v>0.60000000000000142</v>
      </c>
      <c r="CC16" s="16">
        <f>TW!A110</f>
        <v>41609</v>
      </c>
      <c r="CD16" s="17">
        <f>TW!B110</f>
        <v>53.4</v>
      </c>
      <c r="CE16" s="28">
        <f>TW!C110</f>
        <v>0.39999999999999858</v>
      </c>
      <c r="CG16" s="16">
        <f>TUR!A110</f>
        <v>41609</v>
      </c>
      <c r="CH16" s="17">
        <f>TUR!B110</f>
        <v>53.5</v>
      </c>
      <c r="CI16" s="28">
        <f>TUR!C110</f>
        <v>-1.5</v>
      </c>
      <c r="CK16" s="16">
        <f>CZ!A110</f>
        <v>41609</v>
      </c>
      <c r="CL16" s="17">
        <f>CZ!B110</f>
        <v>54.9</v>
      </c>
      <c r="CM16" s="28">
        <f>CZ!C110</f>
        <v>-0.5</v>
      </c>
      <c r="CO16" s="16">
        <f>PL!A110</f>
        <v>41609</v>
      </c>
      <c r="CP16" s="17">
        <f>PL!B110</f>
        <v>53.2</v>
      </c>
      <c r="CQ16" s="28">
        <f>PL!C110</f>
        <v>-1.1999999999999957</v>
      </c>
    </row>
    <row r="17" spans="1:95" x14ac:dyDescent="0.35">
      <c r="A17" s="16">
        <f>Global!A111</f>
        <v>41640</v>
      </c>
      <c r="B17" s="17">
        <f>Global!B111</f>
        <v>52.9</v>
      </c>
      <c r="C17" s="28">
        <f>Global!C111</f>
        <v>-0.39999999999999858</v>
      </c>
      <c r="E17" s="16">
        <f>US!A111</f>
        <v>41640</v>
      </c>
      <c r="F17" s="17">
        <f>US!B111</f>
        <v>53.7</v>
      </c>
      <c r="G17" s="28">
        <f>US!C111</f>
        <v>-1.2999999999999972</v>
      </c>
      <c r="I17" s="16">
        <f>CA!A111</f>
        <v>41640</v>
      </c>
      <c r="J17" s="17">
        <f>CA!B111</f>
        <v>51.7</v>
      </c>
      <c r="K17" s="28">
        <f>CA!C111</f>
        <v>-1.7999999999999972</v>
      </c>
      <c r="M17" s="16">
        <f>EZ!A111</f>
        <v>41640</v>
      </c>
      <c r="N17" s="17">
        <f>EZ!B111</f>
        <v>54</v>
      </c>
      <c r="O17" s="28">
        <f>EZ!C111</f>
        <v>1.2999999999999972</v>
      </c>
      <c r="Q17" s="16">
        <f>UK!A111</f>
        <v>41640</v>
      </c>
      <c r="R17" s="17">
        <f>UK!B111</f>
        <v>56.7</v>
      </c>
      <c r="S17" s="28">
        <f>UK!C111</f>
        <v>-0.59999999999999432</v>
      </c>
      <c r="U17" s="16">
        <f>DE!A111</f>
        <v>41640</v>
      </c>
      <c r="V17" s="17">
        <f>DE!B111</f>
        <v>56.6</v>
      </c>
      <c r="W17" s="28">
        <f>DE!C111</f>
        <v>2.3000000000000043</v>
      </c>
      <c r="Y17" s="16">
        <f>FR!A111</f>
        <v>41640</v>
      </c>
      <c r="Z17" s="17">
        <f>FR!B111</f>
        <v>49.3</v>
      </c>
      <c r="AA17" s="28">
        <f>FR!C111</f>
        <v>2.2999999999999972</v>
      </c>
      <c r="AC17" s="16">
        <f>IT!A111</f>
        <v>41640</v>
      </c>
      <c r="AD17" s="17">
        <f>IT!B111</f>
        <v>53.1</v>
      </c>
      <c r="AE17" s="28">
        <f>IT!C111</f>
        <v>-0.19999999999999574</v>
      </c>
      <c r="AG17" s="16">
        <f>ES!A111</f>
        <v>41640</v>
      </c>
      <c r="AH17" s="17">
        <f>ES!B111</f>
        <v>52.2</v>
      </c>
      <c r="AI17" s="28">
        <f>ES!C111</f>
        <v>1.4000000000000057</v>
      </c>
      <c r="AK17" s="16">
        <f>ES!A111</f>
        <v>41640</v>
      </c>
      <c r="AL17" s="17">
        <f>EL!B111</f>
        <v>51.2</v>
      </c>
      <c r="AM17" s="28">
        <f>EL!C111</f>
        <v>1.6000000000000014</v>
      </c>
      <c r="AO17" s="16">
        <f>IR!A111</f>
        <v>41640</v>
      </c>
      <c r="AP17" s="17">
        <f>IR!B111</f>
        <v>52.8</v>
      </c>
      <c r="AQ17" s="28">
        <f>IR!C111</f>
        <v>-0.70000000000000284</v>
      </c>
      <c r="AS17" s="16">
        <f>CH!A111</f>
        <v>41640</v>
      </c>
      <c r="AT17" s="17">
        <f>CH!B111</f>
        <v>49.5</v>
      </c>
      <c r="AU17" s="28">
        <f>CH!C111</f>
        <v>-1</v>
      </c>
      <c r="AW17" s="16">
        <f>JP!A111</f>
        <v>41640</v>
      </c>
      <c r="AX17" s="17">
        <f>JP!B111</f>
        <v>56.6</v>
      </c>
      <c r="AY17" s="28">
        <f>JP!C111</f>
        <v>1.3999999999999986</v>
      </c>
      <c r="BA17" s="16">
        <f>BRL!A111</f>
        <v>41640</v>
      </c>
      <c r="BB17" s="17">
        <f>BRL!B111</f>
        <v>51.7</v>
      </c>
      <c r="BC17" s="28">
        <f>BRL!C111</f>
        <v>1.2000000000000028</v>
      </c>
      <c r="BE17" s="16">
        <f>IND!A111</f>
        <v>41640</v>
      </c>
      <c r="BF17" s="17">
        <f>IND!B111</f>
        <v>51.4</v>
      </c>
      <c r="BG17" s="28">
        <f>IND!C111</f>
        <v>0.69999999999999574</v>
      </c>
      <c r="BI17" s="16">
        <f>RS!A111</f>
        <v>41640</v>
      </c>
      <c r="BJ17" s="17">
        <f>RS!B111</f>
        <v>48</v>
      </c>
      <c r="BK17" s="28">
        <f>RS!C111</f>
        <v>-0.79999999999999716</v>
      </c>
      <c r="BM17" s="16">
        <f>MX!A111</f>
        <v>41640</v>
      </c>
      <c r="BN17" s="17">
        <f>MX!B111</f>
        <v>54</v>
      </c>
      <c r="BO17" s="28">
        <f>MX!C111</f>
        <v>1.3999999999999986</v>
      </c>
      <c r="BQ17" s="16">
        <f>AU!A111</f>
        <v>41640</v>
      </c>
      <c r="BR17" s="17">
        <f>AU!B111</f>
        <v>46.7</v>
      </c>
      <c r="BS17" s="28">
        <f>AU!C111</f>
        <v>-0.89999999999999858</v>
      </c>
      <c r="BU17" s="16">
        <f>SK!A111</f>
        <v>41640</v>
      </c>
      <c r="BV17" s="17">
        <f>SK!B111</f>
        <v>50.9</v>
      </c>
      <c r="BW17" s="28">
        <f>SK!C111</f>
        <v>0.10000000000000142</v>
      </c>
      <c r="BY17" s="16">
        <f>INS!A111</f>
        <v>41640</v>
      </c>
      <c r="BZ17" s="17">
        <f>INS!B111</f>
        <v>51</v>
      </c>
      <c r="CA17" s="28">
        <f>INS!C111</f>
        <v>0.10000000000000142</v>
      </c>
      <c r="CC17" s="16">
        <f>TW!A111</f>
        <v>41640</v>
      </c>
      <c r="CD17" s="17">
        <f>TW!B111</f>
        <v>55.5</v>
      </c>
      <c r="CE17" s="28">
        <f>TW!C111</f>
        <v>2.1000000000000014</v>
      </c>
      <c r="CG17" s="16">
        <f>TUR!A111</f>
        <v>41640</v>
      </c>
      <c r="CH17" s="17">
        <f>TUR!B111</f>
        <v>52.7</v>
      </c>
      <c r="CI17" s="28">
        <f>TUR!C111</f>
        <v>-0.79999999999999716</v>
      </c>
      <c r="CK17" s="16">
        <f>CZ!A111</f>
        <v>41640</v>
      </c>
      <c r="CL17" s="17">
        <f>CZ!B111</f>
        <v>55.9</v>
      </c>
      <c r="CM17" s="28">
        <f>CZ!C111</f>
        <v>1</v>
      </c>
      <c r="CO17" s="16">
        <f>PL!A111</f>
        <v>41640</v>
      </c>
      <c r="CP17" s="17">
        <f>PL!B111</f>
        <v>55.4</v>
      </c>
      <c r="CQ17" s="28">
        <f>PL!C111</f>
        <v>2.1999999999999957</v>
      </c>
    </row>
    <row r="18" spans="1:95" x14ac:dyDescent="0.35">
      <c r="A18" s="16">
        <f>Global!A112</f>
        <v>41671</v>
      </c>
      <c r="B18" s="17">
        <f>Global!B112</f>
        <v>53.3</v>
      </c>
      <c r="C18" s="28">
        <f>Global!C112</f>
        <v>0.39999999999999858</v>
      </c>
      <c r="E18" s="16">
        <f>US!A112</f>
        <v>41671</v>
      </c>
      <c r="F18" s="17">
        <f>US!B112</f>
        <v>57.1</v>
      </c>
      <c r="G18" s="28">
        <f>US!C112</f>
        <v>3.3999999999999986</v>
      </c>
      <c r="I18" s="16">
        <f>CA!A112</f>
        <v>41671</v>
      </c>
      <c r="J18" s="17">
        <f>CA!B112</f>
        <v>52.9</v>
      </c>
      <c r="K18" s="28">
        <f>CA!C112</f>
        <v>1.1999999999999957</v>
      </c>
      <c r="M18" s="16">
        <f>EZ!A112</f>
        <v>41671</v>
      </c>
      <c r="N18" s="17">
        <f>EZ!B112</f>
        <v>53.2</v>
      </c>
      <c r="O18" s="28">
        <f>EZ!C112</f>
        <v>-0.79999999999999716</v>
      </c>
      <c r="Q18" s="16">
        <f>UK!A112</f>
        <v>41671</v>
      </c>
      <c r="R18" s="17">
        <f>UK!B112</f>
        <v>56.9</v>
      </c>
      <c r="S18" s="28">
        <f>UK!C112</f>
        <v>0.19999999999999574</v>
      </c>
      <c r="U18" s="16">
        <f>DE!A112</f>
        <v>41671</v>
      </c>
      <c r="V18" s="17">
        <f>DE!B112</f>
        <v>54.8</v>
      </c>
      <c r="W18" s="28">
        <f>DE!C112</f>
        <v>-1.8000000000000043</v>
      </c>
      <c r="Y18" s="16">
        <f>FR!A112</f>
        <v>41671</v>
      </c>
      <c r="Z18" s="17">
        <f>FR!B112</f>
        <v>49.7</v>
      </c>
      <c r="AA18" s="28">
        <f>FR!C112</f>
        <v>0.40000000000000568</v>
      </c>
      <c r="AC18" s="16">
        <f>IT!A112</f>
        <v>41671</v>
      </c>
      <c r="AD18" s="17">
        <f>IT!B112</f>
        <v>52.3</v>
      </c>
      <c r="AE18" s="28">
        <f>IT!C112</f>
        <v>-0.80000000000000426</v>
      </c>
      <c r="AG18" s="16">
        <f>ES!A112</f>
        <v>41671</v>
      </c>
      <c r="AH18" s="17">
        <f>ES!B112</f>
        <v>52.5</v>
      </c>
      <c r="AI18" s="28">
        <f>ES!C112</f>
        <v>0.29999999999999716</v>
      </c>
      <c r="AK18" s="16">
        <f>ES!A112</f>
        <v>41671</v>
      </c>
      <c r="AL18" s="17">
        <f>EL!B112</f>
        <v>51.3</v>
      </c>
      <c r="AM18" s="28">
        <f>EL!C112</f>
        <v>9.9999999999994316E-2</v>
      </c>
      <c r="AO18" s="16">
        <f>IR!A112</f>
        <v>41671</v>
      </c>
      <c r="AP18" s="17">
        <f>IR!B112</f>
        <v>52.9</v>
      </c>
      <c r="AQ18" s="28">
        <f>IR!C112</f>
        <v>0.10000000000000142</v>
      </c>
      <c r="AS18" s="16">
        <f>CH!A112</f>
        <v>41671</v>
      </c>
      <c r="AT18" s="17">
        <f>CH!B112</f>
        <v>48.5</v>
      </c>
      <c r="AU18" s="28">
        <f>CH!C112</f>
        <v>-1</v>
      </c>
      <c r="AW18" s="16">
        <f>JP!A112</f>
        <v>41671</v>
      </c>
      <c r="AX18" s="17">
        <f>JP!B112</f>
        <v>55.5</v>
      </c>
      <c r="AY18" s="28">
        <f>JP!C112</f>
        <v>-1.1000000000000014</v>
      </c>
      <c r="BA18" s="16">
        <f>BRL!A112</f>
        <v>41671</v>
      </c>
      <c r="BB18" s="17">
        <f>BRL!B112</f>
        <v>50.4</v>
      </c>
      <c r="BC18" s="28">
        <f>BRL!C112</f>
        <v>-1.3000000000000043</v>
      </c>
      <c r="BE18" s="16">
        <f>IND!A112</f>
        <v>41671</v>
      </c>
      <c r="BF18" s="17">
        <f>IND!B112</f>
        <v>52.5</v>
      </c>
      <c r="BG18" s="28">
        <f>IND!C112</f>
        <v>1.1000000000000014</v>
      </c>
      <c r="BI18" s="16">
        <f>RS!A112</f>
        <v>41671</v>
      </c>
      <c r="BJ18" s="17">
        <f>RS!B112</f>
        <v>48.5</v>
      </c>
      <c r="BK18" s="28">
        <f>RS!C112</f>
        <v>0.5</v>
      </c>
      <c r="BM18" s="16">
        <f>MX!A112</f>
        <v>41671</v>
      </c>
      <c r="BN18" s="17">
        <f>MX!B112</f>
        <v>52</v>
      </c>
      <c r="BO18" s="28">
        <f>MX!C112</f>
        <v>-2</v>
      </c>
      <c r="BQ18" s="16">
        <f>AU!A112</f>
        <v>41671</v>
      </c>
      <c r="BR18" s="17">
        <f>AU!B112</f>
        <v>48.6</v>
      </c>
      <c r="BS18" s="28">
        <f>AU!C112</f>
        <v>1.8999999999999986</v>
      </c>
      <c r="BU18" s="16">
        <f>SK!A112</f>
        <v>41671</v>
      </c>
      <c r="BV18" s="17">
        <f>SK!B112</f>
        <v>49.8</v>
      </c>
      <c r="BW18" s="28">
        <f>SK!C112</f>
        <v>-1.1000000000000014</v>
      </c>
      <c r="BY18" s="16">
        <f>INS!A112</f>
        <v>41671</v>
      </c>
      <c r="BZ18" s="17">
        <f>INS!B112</f>
        <v>50.5</v>
      </c>
      <c r="CA18" s="28">
        <f>INS!C112</f>
        <v>-0.5</v>
      </c>
      <c r="CC18" s="16">
        <f>TW!A112</f>
        <v>41671</v>
      </c>
      <c r="CD18" s="17">
        <f>TW!B112</f>
        <v>54.7</v>
      </c>
      <c r="CE18" s="28">
        <f>TW!C112</f>
        <v>-0.79999999999999716</v>
      </c>
      <c r="CG18" s="16">
        <f>TUR!A112</f>
        <v>41671</v>
      </c>
      <c r="CH18" s="17">
        <f>TUR!B112</f>
        <v>53.4</v>
      </c>
      <c r="CI18" s="28">
        <f>TUR!C112</f>
        <v>0.69999999999999574</v>
      </c>
      <c r="CK18" s="16">
        <f>CZ!A112</f>
        <v>41671</v>
      </c>
      <c r="CL18" s="17">
        <f>CZ!B112</f>
        <v>56.5</v>
      </c>
      <c r="CM18" s="28">
        <f>CZ!C112</f>
        <v>0.60000000000000142</v>
      </c>
      <c r="CO18" s="16">
        <f>PL!A112</f>
        <v>41671</v>
      </c>
      <c r="CP18" s="17">
        <f>PL!B112</f>
        <v>55.9</v>
      </c>
      <c r="CQ18" s="28">
        <f>PL!C112</f>
        <v>0.5</v>
      </c>
    </row>
    <row r="19" spans="1:95" x14ac:dyDescent="0.35">
      <c r="A19" s="16">
        <f>Global!A113</f>
        <v>41699</v>
      </c>
      <c r="B19" s="17">
        <f>Global!B113</f>
        <v>52.4</v>
      </c>
      <c r="C19" s="28">
        <f>Global!C113</f>
        <v>-0.89999999999999858</v>
      </c>
      <c r="E19" s="16">
        <f>US!A113</f>
        <v>41699</v>
      </c>
      <c r="F19" s="17">
        <f>US!B113</f>
        <v>55.5</v>
      </c>
      <c r="G19" s="28">
        <f>US!C113</f>
        <v>-1.6000000000000014</v>
      </c>
      <c r="I19" s="16">
        <f>CA!A113</f>
        <v>41699</v>
      </c>
      <c r="J19" s="17">
        <f>CA!B113</f>
        <v>53.3</v>
      </c>
      <c r="K19" s="28">
        <f>CA!C113</f>
        <v>0.39999999999999858</v>
      </c>
      <c r="M19" s="16">
        <f>EZ!A113</f>
        <v>41699</v>
      </c>
      <c r="N19" s="17">
        <f>EZ!B113</f>
        <v>53</v>
      </c>
      <c r="O19" s="28">
        <f>EZ!C113</f>
        <v>-0.20000000000000284</v>
      </c>
      <c r="Q19" s="16">
        <f>UK!A113</f>
        <v>41699</v>
      </c>
      <c r="R19" s="17">
        <f>UK!B113</f>
        <v>55.3</v>
      </c>
      <c r="S19" s="28">
        <f>UK!C113</f>
        <v>-1.6000000000000014</v>
      </c>
      <c r="U19" s="16">
        <f>DE!A113</f>
        <v>41699</v>
      </c>
      <c r="V19" s="17">
        <f>DE!B113</f>
        <v>53.7</v>
      </c>
      <c r="W19" s="28">
        <f>DE!C113</f>
        <v>-1.0999999999999943</v>
      </c>
      <c r="Y19" s="16">
        <f>FR!A113</f>
        <v>41699</v>
      </c>
      <c r="Z19" s="17">
        <f>FR!B113</f>
        <v>52.1</v>
      </c>
      <c r="AA19" s="28">
        <f>FR!C113</f>
        <v>2.3999999999999986</v>
      </c>
      <c r="AC19" s="16">
        <f>IT!A113</f>
        <v>41699</v>
      </c>
      <c r="AD19" s="17">
        <f>IT!B113</f>
        <v>52.4</v>
      </c>
      <c r="AE19" s="28">
        <f>IT!C113</f>
        <v>0.10000000000000142</v>
      </c>
      <c r="AG19" s="16">
        <f>ES!A113</f>
        <v>41699</v>
      </c>
      <c r="AH19" s="17">
        <f>ES!B113</f>
        <v>52.8</v>
      </c>
      <c r="AI19" s="28">
        <f>ES!C113</f>
        <v>0.29999999999999716</v>
      </c>
      <c r="AK19" s="16">
        <f>ES!A113</f>
        <v>41699</v>
      </c>
      <c r="AL19" s="17">
        <f>EL!B113</f>
        <v>49.7</v>
      </c>
      <c r="AM19" s="28">
        <f>EL!C113</f>
        <v>-1.5999999999999943</v>
      </c>
      <c r="AO19" s="16">
        <f>IR!A113</f>
        <v>41699</v>
      </c>
      <c r="AP19" s="17">
        <f>IR!B113</f>
        <v>55.5</v>
      </c>
      <c r="AQ19" s="28">
        <f>IR!C113</f>
        <v>2.6000000000000014</v>
      </c>
      <c r="AS19" s="16">
        <f>CH!A113</f>
        <v>41699</v>
      </c>
      <c r="AT19" s="17">
        <f>CH!B113</f>
        <v>48</v>
      </c>
      <c r="AU19" s="28">
        <f>CH!C113</f>
        <v>-0.5</v>
      </c>
      <c r="AW19" s="16">
        <f>JP!A113</f>
        <v>41699</v>
      </c>
      <c r="AX19" s="17">
        <f>JP!B113</f>
        <v>53.9</v>
      </c>
      <c r="AY19" s="28">
        <f>JP!C113</f>
        <v>-1.6000000000000014</v>
      </c>
      <c r="BA19" s="16">
        <f>BRL!A113</f>
        <v>41699</v>
      </c>
      <c r="BB19" s="17">
        <f>BRL!B113</f>
        <v>50.6</v>
      </c>
      <c r="BC19" s="28">
        <f>BRL!C113</f>
        <v>0.20000000000000284</v>
      </c>
      <c r="BE19" s="16">
        <f>IND!A113</f>
        <v>41699</v>
      </c>
      <c r="BF19" s="17">
        <f>IND!B113</f>
        <v>51.3</v>
      </c>
      <c r="BG19" s="28">
        <f>IND!C113</f>
        <v>-1.2000000000000028</v>
      </c>
      <c r="BI19" s="16">
        <f>RS!A113</f>
        <v>41699</v>
      </c>
      <c r="BJ19" s="17">
        <f>RS!B113</f>
        <v>48.3</v>
      </c>
      <c r="BK19" s="28">
        <f>RS!C113</f>
        <v>-0.20000000000000284</v>
      </c>
      <c r="BM19" s="16">
        <f>MX!A113</f>
        <v>41699</v>
      </c>
      <c r="BN19" s="17">
        <f>MX!B113</f>
        <v>51.7</v>
      </c>
      <c r="BO19" s="28">
        <f>MX!C113</f>
        <v>-0.29999999999999716</v>
      </c>
      <c r="BQ19" s="16">
        <f>AU!A113</f>
        <v>41699</v>
      </c>
      <c r="BR19" s="17">
        <f>AU!B113</f>
        <v>49.7</v>
      </c>
      <c r="BS19" s="28">
        <f>AU!C113</f>
        <v>1.1000000000000014</v>
      </c>
      <c r="BU19" s="16">
        <f>SK!A113</f>
        <v>41699</v>
      </c>
      <c r="BV19" s="17">
        <f>SK!B113</f>
        <v>50.4</v>
      </c>
      <c r="BW19" s="28">
        <f>SK!C113</f>
        <v>0.60000000000000142</v>
      </c>
      <c r="BY19" s="16">
        <f>INS!A113</f>
        <v>41699</v>
      </c>
      <c r="BZ19" s="17">
        <f>INS!B113</f>
        <v>50.1</v>
      </c>
      <c r="CA19" s="28">
        <f>INS!C113</f>
        <v>-0.39999999999999858</v>
      </c>
      <c r="CC19" s="16">
        <f>TW!A113</f>
        <v>41699</v>
      </c>
      <c r="CD19" s="17">
        <f>TW!B113</f>
        <v>52.7</v>
      </c>
      <c r="CE19" s="28">
        <f>TW!C113</f>
        <v>-2</v>
      </c>
      <c r="CG19" s="16">
        <f>TUR!A113</f>
        <v>41699</v>
      </c>
      <c r="CH19" s="17">
        <f>TUR!B113</f>
        <v>51.7</v>
      </c>
      <c r="CI19" s="28">
        <f>TUR!C113</f>
        <v>-1.6999999999999957</v>
      </c>
      <c r="CK19" s="16">
        <f>CZ!A113</f>
        <v>41699</v>
      </c>
      <c r="CL19" s="17">
        <f>CZ!B113</f>
        <v>55.5</v>
      </c>
      <c r="CM19" s="28">
        <f>CZ!C113</f>
        <v>-1</v>
      </c>
      <c r="CO19" s="16">
        <f>PL!A113</f>
        <v>41699</v>
      </c>
      <c r="CP19" s="17">
        <f>PL!B113</f>
        <v>54</v>
      </c>
      <c r="CQ19" s="28">
        <f>PL!C113</f>
        <v>-1.8999999999999986</v>
      </c>
    </row>
    <row r="20" spans="1:95" x14ac:dyDescent="0.35">
      <c r="A20" s="16">
        <f>Global!A114</f>
        <v>41730</v>
      </c>
      <c r="B20" s="17">
        <f>Global!B114</f>
        <v>51.9</v>
      </c>
      <c r="C20" s="28">
        <f>Global!C114</f>
        <v>-0.5</v>
      </c>
      <c r="E20" s="16">
        <f>US!A114</f>
        <v>41730</v>
      </c>
      <c r="F20" s="17">
        <f>US!B114</f>
        <v>55.4</v>
      </c>
      <c r="G20" s="28">
        <f>US!C114</f>
        <v>-0.10000000000000142</v>
      </c>
      <c r="I20" s="16">
        <f>CA!A114</f>
        <v>41730</v>
      </c>
      <c r="J20" s="17">
        <f>CA!B114</f>
        <v>52.9</v>
      </c>
      <c r="K20" s="28">
        <f>CA!C114</f>
        <v>-0.39999999999999858</v>
      </c>
      <c r="M20" s="16">
        <f>EZ!A114</f>
        <v>41730</v>
      </c>
      <c r="N20" s="17">
        <f>EZ!B114</f>
        <v>54</v>
      </c>
      <c r="O20" s="28">
        <f>EZ!C114</f>
        <v>1</v>
      </c>
      <c r="Q20" s="16">
        <f>UK!A114</f>
        <v>41730</v>
      </c>
      <c r="R20" s="17">
        <f>UK!B114</f>
        <v>57.3</v>
      </c>
      <c r="S20" s="28">
        <f>UK!C114</f>
        <v>2</v>
      </c>
      <c r="U20" s="16">
        <f>DE!A114</f>
        <v>41730</v>
      </c>
      <c r="V20" s="17">
        <f>DE!B114</f>
        <v>54.1</v>
      </c>
      <c r="W20" s="28">
        <f>DE!C114</f>
        <v>0.39999999999999858</v>
      </c>
      <c r="Y20" s="16">
        <f>FR!A114</f>
        <v>41730</v>
      </c>
      <c r="Z20" s="17">
        <f>FR!B114</f>
        <v>51.2</v>
      </c>
      <c r="AA20" s="28">
        <f>FR!C114</f>
        <v>-0.89999999999999858</v>
      </c>
      <c r="AC20" s="16">
        <f>IT!A114</f>
        <v>41730</v>
      </c>
      <c r="AD20" s="17">
        <f>IT!B114</f>
        <v>54</v>
      </c>
      <c r="AE20" s="28">
        <f>IT!C114</f>
        <v>1.6000000000000014</v>
      </c>
      <c r="AG20" s="16">
        <f>ES!A114</f>
        <v>41730</v>
      </c>
      <c r="AH20" s="17">
        <f>ES!B114</f>
        <v>52.7</v>
      </c>
      <c r="AI20" s="28">
        <f>ES!C114</f>
        <v>-9.9999999999994316E-2</v>
      </c>
      <c r="AK20" s="16">
        <f>ES!A114</f>
        <v>41730</v>
      </c>
      <c r="AL20" s="17">
        <f>EL!B114</f>
        <v>51.1</v>
      </c>
      <c r="AM20" s="28">
        <f>EL!C114</f>
        <v>1.3999999999999986</v>
      </c>
      <c r="AO20" s="16">
        <f>IR!A114</f>
        <v>41730</v>
      </c>
      <c r="AP20" s="17">
        <f>IR!B114</f>
        <v>56.1</v>
      </c>
      <c r="AQ20" s="28">
        <f>IR!C114</f>
        <v>0.60000000000000142</v>
      </c>
      <c r="AS20" s="16">
        <f>CH!A114</f>
        <v>41730</v>
      </c>
      <c r="AT20" s="17">
        <f>CH!B114</f>
        <v>48.1</v>
      </c>
      <c r="AU20" s="28">
        <f>CH!C114</f>
        <v>0.10000000000000142</v>
      </c>
      <c r="AW20" s="16">
        <f>JP!A114</f>
        <v>41730</v>
      </c>
      <c r="AX20" s="17">
        <f>JP!B114</f>
        <v>49.4</v>
      </c>
      <c r="AY20" s="28">
        <f>JP!C114</f>
        <v>-4.5</v>
      </c>
      <c r="BA20" s="16">
        <f>BRL!A114</f>
        <v>41730</v>
      </c>
      <c r="BB20" s="17">
        <f>BRL!B114</f>
        <v>49.3</v>
      </c>
      <c r="BC20" s="28">
        <f>BRL!C114</f>
        <v>-1.3000000000000043</v>
      </c>
      <c r="BE20" s="16">
        <f>IND!A114</f>
        <v>41730</v>
      </c>
      <c r="BF20" s="17">
        <f>IND!B114</f>
        <v>51.3</v>
      </c>
      <c r="BG20" s="28">
        <f>IND!C114</f>
        <v>0</v>
      </c>
      <c r="BI20" s="16">
        <f>RS!A114</f>
        <v>41730</v>
      </c>
      <c r="BJ20" s="17">
        <f>RS!B114</f>
        <v>48.5</v>
      </c>
      <c r="BK20" s="28">
        <f>RS!C114</f>
        <v>0.20000000000000284</v>
      </c>
      <c r="BM20" s="16">
        <f>MX!A114</f>
        <v>41730</v>
      </c>
      <c r="BN20" s="17">
        <f>MX!B114</f>
        <v>51.8</v>
      </c>
      <c r="BO20" s="28">
        <f>MX!C114</f>
        <v>9.9999999999994316E-2</v>
      </c>
      <c r="BQ20" s="16">
        <f>AU!A114</f>
        <v>41730</v>
      </c>
      <c r="BR20" s="17">
        <f>AU!B114</f>
        <v>44.8</v>
      </c>
      <c r="BS20" s="28">
        <f>AU!C114</f>
        <v>-4.9000000000000057</v>
      </c>
      <c r="BU20" s="16">
        <f>SK!A114</f>
        <v>41730</v>
      </c>
      <c r="BV20" s="17">
        <f>SK!B114</f>
        <v>50.2</v>
      </c>
      <c r="BW20" s="28">
        <f>SK!C114</f>
        <v>-0.19999999999999574</v>
      </c>
      <c r="BY20" s="16">
        <f>INS!A114</f>
        <v>41730</v>
      </c>
      <c r="BZ20" s="17">
        <f>INS!B114</f>
        <v>51.1</v>
      </c>
      <c r="CA20" s="28">
        <f>INS!C114</f>
        <v>1</v>
      </c>
      <c r="CC20" s="16">
        <f>TW!A114</f>
        <v>41730</v>
      </c>
      <c r="CD20" s="17">
        <f>TW!B114</f>
        <v>52.3</v>
      </c>
      <c r="CE20" s="28">
        <f>TW!C114</f>
        <v>-0.40000000000000568</v>
      </c>
      <c r="CG20" s="16">
        <f>TUR!A114</f>
        <v>41730</v>
      </c>
      <c r="CH20" s="17">
        <f>TUR!B114</f>
        <v>51.1</v>
      </c>
      <c r="CI20" s="28">
        <f>TUR!C114</f>
        <v>-0.60000000000000142</v>
      </c>
      <c r="CK20" s="16">
        <f>CZ!A114</f>
        <v>41730</v>
      </c>
      <c r="CL20" s="17">
        <f>CZ!B114</f>
        <v>56.5</v>
      </c>
      <c r="CM20" s="28">
        <f>CZ!C114</f>
        <v>1</v>
      </c>
      <c r="CO20" s="16">
        <f>PL!A114</f>
        <v>41730</v>
      </c>
      <c r="CP20" s="17">
        <f>PL!B114</f>
        <v>51.1</v>
      </c>
      <c r="CQ20" s="28">
        <f>PL!C114</f>
        <v>-2.8999999999999986</v>
      </c>
    </row>
    <row r="21" spans="1:95" x14ac:dyDescent="0.35">
      <c r="A21" s="16">
        <f>Global!A115</f>
        <v>41760</v>
      </c>
      <c r="B21" s="17">
        <f>Global!B115</f>
        <v>52.2</v>
      </c>
      <c r="C21" s="28">
        <f>Global!C115</f>
        <v>0.30000000000000426</v>
      </c>
      <c r="E21" s="16">
        <f>US!A115</f>
        <v>41760</v>
      </c>
      <c r="F21" s="17">
        <f>US!B115</f>
        <v>56.4</v>
      </c>
      <c r="G21" s="28">
        <f>US!C115</f>
        <v>1</v>
      </c>
      <c r="I21" s="16">
        <f>CA!A115</f>
        <v>41760</v>
      </c>
      <c r="J21" s="17">
        <f>CA!B115</f>
        <v>52.2</v>
      </c>
      <c r="K21" s="28">
        <f>CA!C115</f>
        <v>-0.69999999999999574</v>
      </c>
      <c r="M21" s="16">
        <f>EZ!A115</f>
        <v>41760</v>
      </c>
      <c r="N21" s="17">
        <f>EZ!B115</f>
        <v>52.2</v>
      </c>
      <c r="O21" s="28">
        <f>EZ!C115</f>
        <v>-1.7999999999999972</v>
      </c>
      <c r="Q21" s="16">
        <f>UK!A115</f>
        <v>41760</v>
      </c>
      <c r="R21" s="17">
        <f>UK!B115</f>
        <v>57</v>
      </c>
      <c r="S21" s="28">
        <f>UK!C115</f>
        <v>-0.29999999999999716</v>
      </c>
      <c r="U21" s="16">
        <f>DE!A115</f>
        <v>41760</v>
      </c>
      <c r="V21" s="17">
        <f>DE!B115</f>
        <v>52.3</v>
      </c>
      <c r="W21" s="28">
        <f>DE!C115</f>
        <v>-1.8000000000000043</v>
      </c>
      <c r="Y21" s="16">
        <f>FR!A115</f>
        <v>41760</v>
      </c>
      <c r="Z21" s="17">
        <f>FR!B115</f>
        <v>49.6</v>
      </c>
      <c r="AA21" s="28">
        <f>FR!C115</f>
        <v>-1.6000000000000014</v>
      </c>
      <c r="AC21" s="16">
        <f>IT!A115</f>
        <v>41760</v>
      </c>
      <c r="AD21" s="17">
        <f>IT!B115</f>
        <v>53.2</v>
      </c>
      <c r="AE21" s="28">
        <f>IT!C115</f>
        <v>-0.79999999999999716</v>
      </c>
      <c r="AG21" s="16">
        <f>ES!A115</f>
        <v>41760</v>
      </c>
      <c r="AH21" s="17">
        <f>ES!B115</f>
        <v>52.9</v>
      </c>
      <c r="AI21" s="28">
        <f>ES!C115</f>
        <v>0.19999999999999574</v>
      </c>
      <c r="AK21" s="16">
        <f>ES!A115</f>
        <v>41760</v>
      </c>
      <c r="AL21" s="17">
        <f>EL!B115</f>
        <v>51</v>
      </c>
      <c r="AM21" s="28">
        <f>EL!C115</f>
        <v>-0.10000000000000142</v>
      </c>
      <c r="AO21" s="16">
        <f>IR!A115</f>
        <v>41760</v>
      </c>
      <c r="AP21" s="17">
        <f>IR!B115</f>
        <v>55</v>
      </c>
      <c r="AQ21" s="28">
        <f>IR!C115</f>
        <v>-1.1000000000000014</v>
      </c>
      <c r="AS21" s="16">
        <f>CH!A115</f>
        <v>41760</v>
      </c>
      <c r="AT21" s="17">
        <f>CH!B115</f>
        <v>49.4</v>
      </c>
      <c r="AU21" s="28">
        <f>CH!C115</f>
        <v>1.2999999999999972</v>
      </c>
      <c r="AW21" s="16">
        <f>JP!A115</f>
        <v>41760</v>
      </c>
      <c r="AX21" s="17">
        <f>JP!B115</f>
        <v>49.9</v>
      </c>
      <c r="AY21" s="28">
        <f>JP!C115</f>
        <v>0.5</v>
      </c>
      <c r="BA21" s="16">
        <f>BRL!A115</f>
        <v>41760</v>
      </c>
      <c r="BB21" s="17">
        <f>BRL!B115</f>
        <v>48.8</v>
      </c>
      <c r="BC21" s="28">
        <f>BRL!C115</f>
        <v>-0.5</v>
      </c>
      <c r="BE21" s="16">
        <f>IND!A115</f>
        <v>41760</v>
      </c>
      <c r="BF21" s="17">
        <f>IND!B115</f>
        <v>51.4</v>
      </c>
      <c r="BG21" s="28">
        <f>IND!C115</f>
        <v>0.10000000000000142</v>
      </c>
      <c r="BI21" s="16">
        <f>RS!A115</f>
        <v>41760</v>
      </c>
      <c r="BJ21" s="17">
        <f>RS!B115</f>
        <v>48.9</v>
      </c>
      <c r="BK21" s="28">
        <f>RS!C115</f>
        <v>0.39999999999999858</v>
      </c>
      <c r="BM21" s="16">
        <f>MX!A115</f>
        <v>41760</v>
      </c>
      <c r="BN21" s="17">
        <f>MX!B115</f>
        <v>51.9</v>
      </c>
      <c r="BO21" s="28">
        <f>MX!C115</f>
        <v>0.10000000000000142</v>
      </c>
      <c r="BQ21" s="16">
        <f>AU!A115</f>
        <v>41760</v>
      </c>
      <c r="BR21" s="17">
        <f>AU!B115</f>
        <v>49.2</v>
      </c>
      <c r="BS21" s="28">
        <f>AU!C115</f>
        <v>4.4000000000000057</v>
      </c>
      <c r="BU21" s="16">
        <f>SK!A115</f>
        <v>41760</v>
      </c>
      <c r="BV21" s="17">
        <f>SK!B115</f>
        <v>49.5</v>
      </c>
      <c r="BW21" s="28">
        <f>SK!C115</f>
        <v>-0.70000000000000284</v>
      </c>
      <c r="BY21" s="16">
        <f>INS!A115</f>
        <v>41760</v>
      </c>
      <c r="BZ21" s="17">
        <f>INS!B115</f>
        <v>52.4</v>
      </c>
      <c r="CA21" s="28">
        <f>INS!C115</f>
        <v>1.2999999999999972</v>
      </c>
      <c r="CC21" s="16">
        <f>TW!A115</f>
        <v>41760</v>
      </c>
      <c r="CD21" s="17">
        <f>TW!B115</f>
        <v>52.4</v>
      </c>
      <c r="CE21" s="28">
        <f>TW!C115</f>
        <v>0.10000000000000142</v>
      </c>
      <c r="CG21" s="16">
        <f>TUR!A115</f>
        <v>41760</v>
      </c>
      <c r="CH21" s="17">
        <f>TUR!B115</f>
        <v>50.1</v>
      </c>
      <c r="CI21" s="28">
        <f>TUR!C115</f>
        <v>-1</v>
      </c>
      <c r="CK21" s="16">
        <f>CZ!A115</f>
        <v>41760</v>
      </c>
      <c r="CL21" s="17">
        <f>CZ!B115</f>
        <v>57.3</v>
      </c>
      <c r="CM21" s="28">
        <f>CZ!C115</f>
        <v>0.79999999999999716</v>
      </c>
      <c r="CO21" s="16">
        <f>PL!A115</f>
        <v>41760</v>
      </c>
      <c r="CP21" s="17">
        <f>PL!B115</f>
        <v>50.8</v>
      </c>
      <c r="CQ21" s="28">
        <f>PL!C115</f>
        <v>-0.30000000000000426</v>
      </c>
    </row>
    <row r="22" spans="1:95" x14ac:dyDescent="0.35">
      <c r="A22" s="16">
        <f>Global!A116</f>
        <v>41791</v>
      </c>
      <c r="B22" s="17">
        <f>Global!B116</f>
        <v>52.6</v>
      </c>
      <c r="C22" s="28">
        <f>Global!C116</f>
        <v>0.39999999999999858</v>
      </c>
      <c r="E22" s="16">
        <f>US!A116</f>
        <v>41791</v>
      </c>
      <c r="F22" s="17">
        <f>US!B116</f>
        <v>57.3</v>
      </c>
      <c r="G22" s="28">
        <f>US!C116</f>
        <v>0.89999999999999858</v>
      </c>
      <c r="I22" s="16">
        <f>CA!A116</f>
        <v>41791</v>
      </c>
      <c r="J22" s="17">
        <f>CA!B116</f>
        <v>53.5</v>
      </c>
      <c r="K22" s="28">
        <f>CA!C116</f>
        <v>1.2999999999999972</v>
      </c>
      <c r="M22" s="16">
        <f>EZ!A116</f>
        <v>41791</v>
      </c>
      <c r="N22" s="17">
        <f>EZ!B116</f>
        <v>51.8</v>
      </c>
      <c r="O22" s="28">
        <f>EZ!C116</f>
        <v>-0.40000000000000568</v>
      </c>
      <c r="Q22" s="16">
        <f>UK!A116</f>
        <v>41791</v>
      </c>
      <c r="R22" s="17">
        <f>UK!B116</f>
        <v>57.5</v>
      </c>
      <c r="S22" s="28">
        <f>UK!C116</f>
        <v>0.5</v>
      </c>
      <c r="U22" s="16">
        <f>DE!A116</f>
        <v>41791</v>
      </c>
      <c r="V22" s="17">
        <f>DE!B116</f>
        <v>52</v>
      </c>
      <c r="W22" s="28">
        <f>DE!C116</f>
        <v>-0.29999999999999716</v>
      </c>
      <c r="Y22" s="16">
        <f>FR!A116</f>
        <v>41791</v>
      </c>
      <c r="Z22" s="17">
        <f>FR!B116</f>
        <v>48.2</v>
      </c>
      <c r="AA22" s="28">
        <f>FR!C116</f>
        <v>-1.3999999999999986</v>
      </c>
      <c r="AC22" s="16">
        <f>IT!A116</f>
        <v>41791</v>
      </c>
      <c r="AD22" s="17">
        <f>IT!B116</f>
        <v>52.6</v>
      </c>
      <c r="AE22" s="28">
        <f>IT!C116</f>
        <v>-0.60000000000000142</v>
      </c>
      <c r="AG22" s="16">
        <f>ES!A116</f>
        <v>41791</v>
      </c>
      <c r="AH22" s="17">
        <f>ES!B116</f>
        <v>54.6</v>
      </c>
      <c r="AI22" s="28">
        <f>ES!C116</f>
        <v>1.7000000000000028</v>
      </c>
      <c r="AK22" s="16">
        <f>ES!A116</f>
        <v>41791</v>
      </c>
      <c r="AL22" s="17">
        <f>EL!B116</f>
        <v>49.4</v>
      </c>
      <c r="AM22" s="28">
        <f>EL!C116</f>
        <v>-1.6000000000000014</v>
      </c>
      <c r="AO22" s="16">
        <f>IR!A116</f>
        <v>41791</v>
      </c>
      <c r="AP22" s="17">
        <f>IR!B116</f>
        <v>55.3</v>
      </c>
      <c r="AQ22" s="28">
        <f>IR!C116</f>
        <v>0.29999999999999716</v>
      </c>
      <c r="AS22" s="16">
        <f>CH!A116</f>
        <v>41791</v>
      </c>
      <c r="AT22" s="17">
        <f>CH!B116</f>
        <v>50.7</v>
      </c>
      <c r="AU22" s="28">
        <f>CH!C116</f>
        <v>1.3000000000000043</v>
      </c>
      <c r="AW22" s="16">
        <f>JP!A116</f>
        <v>41791</v>
      </c>
      <c r="AX22" s="17">
        <f>JP!B116</f>
        <v>51.5</v>
      </c>
      <c r="AY22" s="28">
        <f>JP!C116</f>
        <v>1.6000000000000014</v>
      </c>
      <c r="BA22" s="16">
        <f>BRL!A116</f>
        <v>41791</v>
      </c>
      <c r="BB22" s="17">
        <f>BRL!B116</f>
        <v>48.7</v>
      </c>
      <c r="BC22" s="28">
        <f>BRL!C116</f>
        <v>-9.9999999999994316E-2</v>
      </c>
      <c r="BE22" s="16">
        <f>IND!A116</f>
        <v>41791</v>
      </c>
      <c r="BF22" s="17">
        <f>IND!B116</f>
        <v>51.5</v>
      </c>
      <c r="BG22" s="28">
        <f>IND!C116</f>
        <v>0.10000000000000142</v>
      </c>
      <c r="BI22" s="16">
        <f>RS!A116</f>
        <v>41791</v>
      </c>
      <c r="BJ22" s="17">
        <f>RS!B116</f>
        <v>49.1</v>
      </c>
      <c r="BK22" s="28">
        <f>RS!C116</f>
        <v>0.20000000000000284</v>
      </c>
      <c r="BM22" s="16">
        <f>MX!A116</f>
        <v>41791</v>
      </c>
      <c r="BN22" s="17">
        <f>MX!B116</f>
        <v>51.8</v>
      </c>
      <c r="BO22" s="28">
        <f>MX!C116</f>
        <v>-0.10000000000000142</v>
      </c>
      <c r="BQ22" s="16">
        <f>AU!A116</f>
        <v>41791</v>
      </c>
      <c r="BR22" s="17">
        <f>AU!B116</f>
        <v>48.9</v>
      </c>
      <c r="BS22" s="28">
        <f>AU!C116</f>
        <v>-0.30000000000000426</v>
      </c>
      <c r="BU22" s="16">
        <f>SK!A116</f>
        <v>41791</v>
      </c>
      <c r="BV22" s="17">
        <f>SK!B116</f>
        <v>48.4</v>
      </c>
      <c r="BW22" s="28">
        <f>SK!C116</f>
        <v>-1.1000000000000014</v>
      </c>
      <c r="BY22" s="16">
        <f>INS!A116</f>
        <v>41791</v>
      </c>
      <c r="BZ22" s="17">
        <f>INS!B116</f>
        <v>52.7</v>
      </c>
      <c r="CA22" s="28">
        <f>INS!C116</f>
        <v>0.30000000000000426</v>
      </c>
      <c r="CC22" s="16">
        <f>TW!A116</f>
        <v>41791</v>
      </c>
      <c r="CD22" s="17">
        <f>TW!B116</f>
        <v>54</v>
      </c>
      <c r="CE22" s="28">
        <f>TW!C116</f>
        <v>1.6000000000000014</v>
      </c>
      <c r="CG22" s="16">
        <f>TUR!A116</f>
        <v>41791</v>
      </c>
      <c r="CH22" s="17">
        <f>TUR!B116</f>
        <v>48.8</v>
      </c>
      <c r="CI22" s="28">
        <f>TUR!C116</f>
        <v>-1.3000000000000043</v>
      </c>
      <c r="CK22" s="16">
        <f>CZ!A116</f>
        <v>41791</v>
      </c>
      <c r="CL22" s="17">
        <f>CZ!B116</f>
        <v>54.7</v>
      </c>
      <c r="CM22" s="28">
        <f>CZ!C116</f>
        <v>-2.5999999999999943</v>
      </c>
      <c r="CO22" s="16">
        <f>PL!A116</f>
        <v>41791</v>
      </c>
      <c r="CP22" s="17">
        <f>PL!B116</f>
        <v>50.3</v>
      </c>
      <c r="CQ22" s="28">
        <f>PL!C116</f>
        <v>-0.5</v>
      </c>
    </row>
    <row r="23" spans="1:95" x14ac:dyDescent="0.35">
      <c r="A23" s="16">
        <f>Global!A117</f>
        <v>41821</v>
      </c>
      <c r="B23" s="17">
        <f>Global!B117</f>
        <v>52.5</v>
      </c>
      <c r="C23" s="28">
        <f>Global!C117</f>
        <v>-0.10000000000000142</v>
      </c>
      <c r="E23" s="16">
        <f>US!A117</f>
        <v>41821</v>
      </c>
      <c r="F23" s="17">
        <f>US!B117</f>
        <v>55.8</v>
      </c>
      <c r="G23" s="28">
        <f>US!C117</f>
        <v>-1.5</v>
      </c>
      <c r="I23" s="16">
        <f>CA!A117</f>
        <v>41821</v>
      </c>
      <c r="J23" s="17">
        <f>CA!B117</f>
        <v>54.3</v>
      </c>
      <c r="K23" s="28">
        <f>CA!C117</f>
        <v>0.79999999999999716</v>
      </c>
      <c r="M23" s="16">
        <f>EZ!A117</f>
        <v>41821</v>
      </c>
      <c r="N23" s="17">
        <f>EZ!B117</f>
        <v>51.8</v>
      </c>
      <c r="O23" s="28">
        <f>EZ!C117</f>
        <v>0</v>
      </c>
      <c r="Q23" s="16">
        <f>UK!A117</f>
        <v>41821</v>
      </c>
      <c r="R23" s="17">
        <f>UK!B117</f>
        <v>55.4</v>
      </c>
      <c r="S23" s="28">
        <f>UK!C117</f>
        <v>-2.1000000000000014</v>
      </c>
      <c r="U23" s="16">
        <f>DE!A117</f>
        <v>41821</v>
      </c>
      <c r="V23" s="17">
        <f>DE!B117</f>
        <v>52.4</v>
      </c>
      <c r="W23" s="28">
        <f>DE!C117</f>
        <v>0.39999999999999858</v>
      </c>
      <c r="Y23" s="16">
        <f>FR!A117</f>
        <v>41821</v>
      </c>
      <c r="Z23" s="17">
        <f>FR!B117</f>
        <v>47.8</v>
      </c>
      <c r="AA23" s="28">
        <f>FR!C117</f>
        <v>-0.40000000000000568</v>
      </c>
      <c r="AC23" s="16">
        <f>IT!A117</f>
        <v>41821</v>
      </c>
      <c r="AD23" s="17">
        <f>IT!B117</f>
        <v>51.9</v>
      </c>
      <c r="AE23" s="28">
        <f>IT!C117</f>
        <v>-0.70000000000000284</v>
      </c>
      <c r="AG23" s="16">
        <f>ES!A117</f>
        <v>41821</v>
      </c>
      <c r="AH23" s="17">
        <f>ES!B117</f>
        <v>53.9</v>
      </c>
      <c r="AI23" s="28">
        <f>ES!C117</f>
        <v>-0.70000000000000284</v>
      </c>
      <c r="AK23" s="16">
        <f>ES!A117</f>
        <v>41821</v>
      </c>
      <c r="AL23" s="17">
        <f>EL!B117</f>
        <v>48.7</v>
      </c>
      <c r="AM23" s="28">
        <f>EL!C117</f>
        <v>-0.69999999999999574</v>
      </c>
      <c r="AO23" s="16">
        <f>IR!A117</f>
        <v>41821</v>
      </c>
      <c r="AP23" s="17">
        <f>IR!B117</f>
        <v>55.4</v>
      </c>
      <c r="AQ23" s="28">
        <f>IR!C117</f>
        <v>0.10000000000000142</v>
      </c>
      <c r="AS23" s="16">
        <f>CH!A117</f>
        <v>41821</v>
      </c>
      <c r="AT23" s="17">
        <f>CH!B117</f>
        <v>51.7</v>
      </c>
      <c r="AU23" s="28">
        <f>CH!C117</f>
        <v>1</v>
      </c>
      <c r="AW23" s="16">
        <f>JP!A117</f>
        <v>41821</v>
      </c>
      <c r="AX23" s="17">
        <f>JP!B117</f>
        <v>50.5</v>
      </c>
      <c r="AY23" s="28">
        <f>JP!C117</f>
        <v>-1</v>
      </c>
      <c r="BA23" s="16">
        <f>BRL!A117</f>
        <v>41821</v>
      </c>
      <c r="BB23" s="17">
        <f>BRL!B117</f>
        <v>49.1</v>
      </c>
      <c r="BC23" s="28">
        <f>BRL!C117</f>
        <v>0.39999999999999858</v>
      </c>
      <c r="BE23" s="16">
        <f>IND!A117</f>
        <v>41821</v>
      </c>
      <c r="BF23" s="17">
        <f>IND!B117</f>
        <v>53</v>
      </c>
      <c r="BG23" s="28">
        <f>IND!C117</f>
        <v>1.5</v>
      </c>
      <c r="BI23" s="16">
        <f>RS!A117</f>
        <v>41821</v>
      </c>
      <c r="BJ23" s="17">
        <f>RS!B117</f>
        <v>51</v>
      </c>
      <c r="BK23" s="28">
        <f>RS!C117</f>
        <v>1.8999999999999986</v>
      </c>
      <c r="BM23" s="16">
        <f>MX!A117</f>
        <v>41821</v>
      </c>
      <c r="BN23" s="17">
        <f>MX!B117</f>
        <v>51.5</v>
      </c>
      <c r="BO23" s="28">
        <f>MX!C117</f>
        <v>-0.29999999999999716</v>
      </c>
      <c r="BQ23" s="16">
        <f>AU!A117</f>
        <v>41821</v>
      </c>
      <c r="BR23" s="17">
        <f>AU!B117</f>
        <v>50.7</v>
      </c>
      <c r="BS23" s="28">
        <f>AU!C117</f>
        <v>1.8000000000000043</v>
      </c>
      <c r="BU23" s="16">
        <f>SK!A117</f>
        <v>41821</v>
      </c>
      <c r="BV23" s="17">
        <f>SK!B117</f>
        <v>48.506666666666703</v>
      </c>
      <c r="BW23" s="28">
        <f>SK!C117</f>
        <v>0.10666666666670466</v>
      </c>
      <c r="BY23" s="16">
        <f>INS!A117</f>
        <v>41821</v>
      </c>
      <c r="BZ23" s="17">
        <f>INS!B117</f>
        <v>52.4</v>
      </c>
      <c r="CA23" s="28">
        <f>INS!C117</f>
        <v>-0.30000000000000426</v>
      </c>
      <c r="CC23" s="16">
        <f>TW!A117</f>
        <v>41821</v>
      </c>
      <c r="CD23" s="17">
        <f>TW!B117</f>
        <v>55.8</v>
      </c>
      <c r="CE23" s="28">
        <f>TW!C117</f>
        <v>1.7999999999999972</v>
      </c>
      <c r="CG23" s="16">
        <f>TUR!A117</f>
        <v>41821</v>
      </c>
      <c r="CH23" s="17">
        <f>TUR!B117</f>
        <v>48.453571428571401</v>
      </c>
      <c r="CI23" s="28">
        <f>TUR!C117</f>
        <v>-0.3464285714285964</v>
      </c>
      <c r="CK23" s="16">
        <f>CZ!A117</f>
        <v>41821</v>
      </c>
      <c r="CL23" s="17">
        <f>CZ!B117</f>
        <v>56.463888888888903</v>
      </c>
      <c r="CM23" s="28">
        <f>CZ!C117</f>
        <v>1.7638888888888999</v>
      </c>
      <c r="CO23" s="16">
        <f>PL!A117</f>
        <v>41821</v>
      </c>
      <c r="CP23" s="17">
        <f>PL!B117</f>
        <v>49.4</v>
      </c>
      <c r="CQ23" s="28">
        <f>PL!C117</f>
        <v>-0.89999999999999858</v>
      </c>
    </row>
    <row r="24" spans="1:95" x14ac:dyDescent="0.35">
      <c r="A24" s="16">
        <f>Global!A118</f>
        <v>41852</v>
      </c>
      <c r="B24" s="17">
        <f>Global!B118</f>
        <v>52.6</v>
      </c>
      <c r="C24" s="28">
        <f>Global!C118</f>
        <v>0.10000000000000142</v>
      </c>
      <c r="E24" s="16">
        <f>US!A118</f>
        <v>41852</v>
      </c>
      <c r="F24" s="17">
        <f>US!B118</f>
        <v>57.9</v>
      </c>
      <c r="G24" s="28">
        <f>US!C118</f>
        <v>2.1000000000000014</v>
      </c>
      <c r="I24" s="16">
        <f>CA!A118</f>
        <v>41852</v>
      </c>
      <c r="J24" s="17">
        <f>CA!B118</f>
        <v>54.8</v>
      </c>
      <c r="K24" s="28">
        <f>CA!C118</f>
        <v>0.5</v>
      </c>
      <c r="M24" s="16">
        <f>EZ!A118</f>
        <v>41852</v>
      </c>
      <c r="N24" s="17">
        <f>EZ!B118</f>
        <v>50.7</v>
      </c>
      <c r="O24" s="28">
        <f>EZ!C118</f>
        <v>-1.0999999999999943</v>
      </c>
      <c r="Q24" s="16">
        <f>UK!A118</f>
        <v>41852</v>
      </c>
      <c r="R24" s="17">
        <f>UK!B118</f>
        <v>52.5</v>
      </c>
      <c r="S24" s="28">
        <f>UK!C118</f>
        <v>-2.8999999999999986</v>
      </c>
      <c r="U24" s="16">
        <f>DE!A118</f>
        <v>41852</v>
      </c>
      <c r="V24" s="17">
        <f>DE!B118</f>
        <v>51.4</v>
      </c>
      <c r="W24" s="28">
        <f>DE!C118</f>
        <v>-1</v>
      </c>
      <c r="Y24" s="16">
        <f>FR!A118</f>
        <v>41852</v>
      </c>
      <c r="Z24" s="17">
        <f>FR!B118</f>
        <v>46.9</v>
      </c>
      <c r="AA24" s="28">
        <f>FR!C118</f>
        <v>-0.89999999999999858</v>
      </c>
      <c r="AC24" s="16">
        <f>IT!A118</f>
        <v>41852</v>
      </c>
      <c r="AD24" s="17">
        <f>IT!B118</f>
        <v>49.8</v>
      </c>
      <c r="AE24" s="28">
        <f>IT!C118</f>
        <v>-2.1000000000000014</v>
      </c>
      <c r="AG24" s="16">
        <f>ES!A118</f>
        <v>41852</v>
      </c>
      <c r="AH24" s="17">
        <f>ES!B118</f>
        <v>52.8</v>
      </c>
      <c r="AI24" s="28">
        <f>ES!C118</f>
        <v>-1.1000000000000014</v>
      </c>
      <c r="AK24" s="16">
        <f>ES!A118</f>
        <v>41852</v>
      </c>
      <c r="AL24" s="17">
        <f>EL!B118</f>
        <v>50.1</v>
      </c>
      <c r="AM24" s="28">
        <f>EL!C118</f>
        <v>1.3999999999999986</v>
      </c>
      <c r="AO24" s="16">
        <f>IR!A118</f>
        <v>41852</v>
      </c>
      <c r="AP24" s="17">
        <f>IR!B118</f>
        <v>57.3</v>
      </c>
      <c r="AQ24" s="28">
        <f>IR!C118</f>
        <v>1.8999999999999986</v>
      </c>
      <c r="AS24" s="16">
        <f>CH!A118</f>
        <v>41852</v>
      </c>
      <c r="AT24" s="17">
        <f>CH!B118</f>
        <v>50.2</v>
      </c>
      <c r="AU24" s="28">
        <f>CH!C118</f>
        <v>-1.5</v>
      </c>
      <c r="AW24" s="16">
        <f>JP!A118</f>
        <v>41852</v>
      </c>
      <c r="AX24" s="17">
        <f>JP!B118</f>
        <v>52.2</v>
      </c>
      <c r="AY24" s="28">
        <f>JP!C118</f>
        <v>1.7000000000000028</v>
      </c>
      <c r="BA24" s="16">
        <f>BRL!A118</f>
        <v>41852</v>
      </c>
      <c r="BB24" s="17">
        <f>BRL!B118</f>
        <v>50.2</v>
      </c>
      <c r="BC24" s="28">
        <f>BRL!C118</f>
        <v>1.1000000000000014</v>
      </c>
      <c r="BE24" s="16">
        <f>IND!A118</f>
        <v>41852</v>
      </c>
      <c r="BF24" s="17">
        <f>IND!B118</f>
        <v>52.4</v>
      </c>
      <c r="BG24" s="28">
        <f>IND!C118</f>
        <v>-0.60000000000000142</v>
      </c>
      <c r="BI24" s="16">
        <f>RS!A118</f>
        <v>41852</v>
      </c>
      <c r="BJ24" s="17">
        <f>RS!B118</f>
        <v>51</v>
      </c>
      <c r="BK24" s="28">
        <f>RS!C118</f>
        <v>0</v>
      </c>
      <c r="BM24" s="16">
        <f>MX!A118</f>
        <v>41852</v>
      </c>
      <c r="BN24" s="17">
        <f>MX!B118</f>
        <v>52.1</v>
      </c>
      <c r="BO24" s="28">
        <f>MX!C118</f>
        <v>0.60000000000000142</v>
      </c>
      <c r="BQ24" s="16">
        <f>AU!A118</f>
        <v>41852</v>
      </c>
      <c r="BR24" s="17">
        <f>AU!B118</f>
        <v>47.3</v>
      </c>
      <c r="BS24" s="28">
        <f>AU!C118</f>
        <v>-3.4000000000000057</v>
      </c>
      <c r="BU24" s="16">
        <f>SK!A118</f>
        <v>41852</v>
      </c>
      <c r="BV24" s="17">
        <f>SK!B118</f>
        <v>50.3</v>
      </c>
      <c r="BW24" s="28">
        <f>SK!C118</f>
        <v>1.7933333333332939</v>
      </c>
      <c r="BY24" s="16">
        <f>INS!A118</f>
        <v>41852</v>
      </c>
      <c r="BZ24" s="17">
        <f>INS!B118</f>
        <v>49.5</v>
      </c>
      <c r="CA24" s="28">
        <f>INS!C118</f>
        <v>-2.8999999999999986</v>
      </c>
      <c r="CC24" s="16">
        <f>TW!A118</f>
        <v>41852</v>
      </c>
      <c r="CD24" s="17">
        <f>TW!B118</f>
        <v>56.1</v>
      </c>
      <c r="CE24" s="28">
        <f>TW!C118</f>
        <v>0.30000000000000426</v>
      </c>
      <c r="CG24" s="16">
        <f>TUR!A118</f>
        <v>41852</v>
      </c>
      <c r="CH24" s="17">
        <f>TUR!B118</f>
        <v>50</v>
      </c>
      <c r="CI24" s="28">
        <f>TUR!C118</f>
        <v>1.5464285714285992</v>
      </c>
      <c r="CK24" s="16">
        <f>CZ!A118</f>
        <v>41852</v>
      </c>
      <c r="CL24" s="17">
        <f>CZ!B118</f>
        <v>54.3</v>
      </c>
      <c r="CM24" s="28">
        <f>CZ!C118</f>
        <v>-2.1638888888889056</v>
      </c>
      <c r="CO24" s="16">
        <f>PL!A118</f>
        <v>41852</v>
      </c>
      <c r="CP24" s="17">
        <f>PL!B118</f>
        <v>49</v>
      </c>
      <c r="CQ24" s="28">
        <f>PL!C118</f>
        <v>-0.39999999999999858</v>
      </c>
    </row>
    <row r="25" spans="1:95" x14ac:dyDescent="0.35">
      <c r="A25" s="16">
        <f>Global!A119</f>
        <v>41883</v>
      </c>
      <c r="B25" s="17">
        <f>Global!B119</f>
        <v>52.2</v>
      </c>
      <c r="C25" s="28">
        <f>Global!C119</f>
        <v>-0.39999999999999858</v>
      </c>
      <c r="E25" s="16">
        <f>US!A119</f>
        <v>41883</v>
      </c>
      <c r="F25" s="17">
        <f>US!B119</f>
        <v>57.5</v>
      </c>
      <c r="G25" s="28">
        <f>US!C119</f>
        <v>-0.39999999999999858</v>
      </c>
      <c r="I25" s="16">
        <f>CA!A119</f>
        <v>41883</v>
      </c>
      <c r="J25" s="17">
        <f>CA!B119</f>
        <v>53.5</v>
      </c>
      <c r="K25" s="28">
        <f>CA!C119</f>
        <v>-1.2999999999999972</v>
      </c>
      <c r="M25" s="16">
        <f>EZ!A119</f>
        <v>41883</v>
      </c>
      <c r="N25" s="17">
        <f>EZ!B119</f>
        <v>50.3</v>
      </c>
      <c r="O25" s="28">
        <f>EZ!C119</f>
        <v>-0.40000000000000568</v>
      </c>
      <c r="Q25" s="16">
        <f>UK!A119</f>
        <v>41883</v>
      </c>
      <c r="R25" s="17">
        <f>UK!B119</f>
        <v>51.6</v>
      </c>
      <c r="S25" s="28">
        <f>UK!C119</f>
        <v>-0.89999999999999858</v>
      </c>
      <c r="U25" s="16">
        <f>DE!A119</f>
        <v>41883</v>
      </c>
      <c r="V25" s="17">
        <f>DE!B119</f>
        <v>49.9</v>
      </c>
      <c r="W25" s="28">
        <f>DE!C119</f>
        <v>-1.5</v>
      </c>
      <c r="Y25" s="16">
        <f>FR!A119</f>
        <v>41883</v>
      </c>
      <c r="Z25" s="17">
        <f>FR!B119</f>
        <v>48.8</v>
      </c>
      <c r="AA25" s="28">
        <f>FR!C119</f>
        <v>1.8999999999999986</v>
      </c>
      <c r="AC25" s="16">
        <f>IT!A119</f>
        <v>41883</v>
      </c>
      <c r="AD25" s="17">
        <f>IT!B119</f>
        <v>50.7</v>
      </c>
      <c r="AE25" s="28">
        <f>IT!C119</f>
        <v>0.90000000000000568</v>
      </c>
      <c r="AG25" s="16">
        <f>ES!A119</f>
        <v>41883</v>
      </c>
      <c r="AH25" s="17">
        <f>ES!B119</f>
        <v>52.6</v>
      </c>
      <c r="AI25" s="28">
        <f>ES!C119</f>
        <v>-0.19999999999999574</v>
      </c>
      <c r="AK25" s="16">
        <f>ES!A119</f>
        <v>41883</v>
      </c>
      <c r="AL25" s="17">
        <f>EL!B119</f>
        <v>48.4</v>
      </c>
      <c r="AM25" s="28">
        <f>EL!C119</f>
        <v>-1.7000000000000028</v>
      </c>
      <c r="AO25" s="16">
        <f>IR!A119</f>
        <v>41883</v>
      </c>
      <c r="AP25" s="17">
        <f>IR!B119</f>
        <v>55.7</v>
      </c>
      <c r="AQ25" s="28">
        <f>IR!C119</f>
        <v>-1.5999999999999943</v>
      </c>
      <c r="AS25" s="16">
        <f>CH!A119</f>
        <v>41883</v>
      </c>
      <c r="AT25" s="17">
        <f>CH!B119</f>
        <v>51.1</v>
      </c>
      <c r="AU25" s="28">
        <f>CH!C119</f>
        <v>0.89999999999999858</v>
      </c>
      <c r="AW25" s="16">
        <f>JP!A119</f>
        <v>41883</v>
      </c>
      <c r="AX25" s="17">
        <f>JP!B119</f>
        <v>51.7</v>
      </c>
      <c r="AY25" s="28">
        <f>JP!C119</f>
        <v>-0.5</v>
      </c>
      <c r="BA25" s="16">
        <f>BRL!A119</f>
        <v>41883</v>
      </c>
      <c r="BB25" s="17">
        <f>BRL!B119</f>
        <v>49.3</v>
      </c>
      <c r="BC25" s="28">
        <f>BRL!C119</f>
        <v>-0.90000000000000568</v>
      </c>
      <c r="BE25" s="16">
        <f>IND!A119</f>
        <v>41883</v>
      </c>
      <c r="BF25" s="17">
        <f>IND!B119</f>
        <v>51</v>
      </c>
      <c r="BG25" s="28">
        <f>IND!C119</f>
        <v>-1.3999999999999986</v>
      </c>
      <c r="BI25" s="16">
        <f>RS!A119</f>
        <v>41883</v>
      </c>
      <c r="BJ25" s="17">
        <f>RS!B119</f>
        <v>50.4</v>
      </c>
      <c r="BK25" s="28">
        <f>RS!C119</f>
        <v>-0.60000000000000142</v>
      </c>
      <c r="BM25" s="16">
        <f>MX!A119</f>
        <v>41883</v>
      </c>
      <c r="BN25" s="17">
        <f>MX!B119</f>
        <v>52.6</v>
      </c>
      <c r="BO25" s="28">
        <f>MX!C119</f>
        <v>0.5</v>
      </c>
      <c r="BQ25" s="16">
        <f>AU!A119</f>
        <v>41883</v>
      </c>
      <c r="BR25" s="17">
        <f>AU!B119</f>
        <v>46.5</v>
      </c>
      <c r="BS25" s="28">
        <f>AU!C119</f>
        <v>-0.79999999999999716</v>
      </c>
      <c r="BU25" s="16">
        <f>SK!A119</f>
        <v>41883</v>
      </c>
      <c r="BV25" s="17">
        <f>SK!B119</f>
        <v>48.8</v>
      </c>
      <c r="BW25" s="28">
        <f>SK!C119</f>
        <v>-1.5</v>
      </c>
      <c r="BY25" s="16">
        <f>INS!A119</f>
        <v>41883</v>
      </c>
      <c r="BZ25" s="17">
        <f>INS!B119</f>
        <v>50.7</v>
      </c>
      <c r="CA25" s="28">
        <f>INS!C119</f>
        <v>1.2000000000000028</v>
      </c>
      <c r="CC25" s="16">
        <f>TW!A119</f>
        <v>41883</v>
      </c>
      <c r="CD25" s="17">
        <f>TW!B119</f>
        <v>53.3</v>
      </c>
      <c r="CE25" s="28">
        <f>TW!C119</f>
        <v>-2.8000000000000043</v>
      </c>
      <c r="CG25" s="16">
        <f>TUR!A119</f>
        <v>41883</v>
      </c>
      <c r="CH25" s="17">
        <f>TUR!B119</f>
        <v>50.4</v>
      </c>
      <c r="CI25" s="28">
        <f>TUR!C119</f>
        <v>0.39999999999999858</v>
      </c>
      <c r="CK25" s="16">
        <f>CZ!A119</f>
        <v>41883</v>
      </c>
      <c r="CL25" s="17">
        <f>CZ!B119</f>
        <v>55.6</v>
      </c>
      <c r="CM25" s="28">
        <f>CZ!C119</f>
        <v>1.3000000000000043</v>
      </c>
      <c r="CO25" s="16">
        <f>PL!A119</f>
        <v>41883</v>
      </c>
      <c r="CP25" s="17">
        <f>PL!B119</f>
        <v>49.5</v>
      </c>
      <c r="CQ25" s="28">
        <f>PL!C119</f>
        <v>0.5</v>
      </c>
    </row>
    <row r="26" spans="1:95" x14ac:dyDescent="0.35">
      <c r="A26" s="121">
        <v>46143</v>
      </c>
      <c r="B26" s="17">
        <v>52.7</v>
      </c>
      <c r="C26" s="28"/>
      <c r="E26" s="121">
        <v>46143</v>
      </c>
      <c r="F26" s="17">
        <v>55.1</v>
      </c>
      <c r="G26" s="28"/>
      <c r="I26" s="121">
        <v>46143</v>
      </c>
      <c r="J26" s="17">
        <v>52.9</v>
      </c>
      <c r="K26" s="28"/>
      <c r="M26" s="121">
        <v>46143</v>
      </c>
      <c r="N26" s="17">
        <v>51.6</v>
      </c>
      <c r="O26" s="28"/>
      <c r="Q26" s="121">
        <v>46143</v>
      </c>
      <c r="R26" s="17">
        <v>53.9</v>
      </c>
      <c r="S26" s="28"/>
      <c r="U26" s="121">
        <v>46143</v>
      </c>
      <c r="V26" s="17">
        <v>50.1</v>
      </c>
      <c r="W26" s="28"/>
      <c r="Y26" s="121">
        <v>46143</v>
      </c>
      <c r="Z26" s="17">
        <v>49.7</v>
      </c>
      <c r="AA26" s="28"/>
      <c r="AC26" s="121">
        <v>46143</v>
      </c>
      <c r="AD26" s="17">
        <v>52.9</v>
      </c>
      <c r="AE26" s="28"/>
      <c r="AG26" s="121">
        <v>46143</v>
      </c>
      <c r="AH26" s="17">
        <v>51.2</v>
      </c>
      <c r="AI26" s="28"/>
      <c r="AK26" s="121">
        <v>46143</v>
      </c>
      <c r="AL26" s="17">
        <v>53.3</v>
      </c>
      <c r="AM26" s="28"/>
      <c r="AO26" s="121">
        <v>46143</v>
      </c>
      <c r="AP26" s="17">
        <v>55.9</v>
      </c>
      <c r="AQ26" s="28"/>
      <c r="AS26" s="121">
        <v>46143</v>
      </c>
      <c r="AT26" s="17">
        <v>51.8</v>
      </c>
      <c r="AU26" s="28"/>
      <c r="AW26" s="121">
        <v>46143</v>
      </c>
      <c r="AX26" s="17">
        <v>54.5</v>
      </c>
      <c r="AY26" s="28"/>
      <c r="BA26" s="121">
        <v>46143</v>
      </c>
      <c r="BB26" s="17">
        <v>49.1</v>
      </c>
      <c r="BC26" s="28"/>
      <c r="BE26" s="121">
        <v>46143</v>
      </c>
      <c r="BF26" s="17">
        <v>55</v>
      </c>
      <c r="BG26" s="28"/>
      <c r="BI26" s="121">
        <v>46143</v>
      </c>
      <c r="BJ26" s="17">
        <v>48.8</v>
      </c>
      <c r="BK26" s="28"/>
      <c r="BM26" s="121">
        <v>46143</v>
      </c>
      <c r="BN26" s="17">
        <v>49.6</v>
      </c>
      <c r="BO26" s="28"/>
      <c r="BQ26" s="121">
        <v>46143</v>
      </c>
      <c r="BR26" s="17">
        <v>50.7</v>
      </c>
      <c r="BS26" s="28"/>
      <c r="BU26" s="121">
        <v>46143</v>
      </c>
      <c r="BV26" s="17">
        <v>54.8</v>
      </c>
      <c r="BW26" s="28"/>
      <c r="BY26" s="121">
        <v>46143</v>
      </c>
      <c r="BZ26" s="17">
        <v>50</v>
      </c>
      <c r="CA26" s="28"/>
      <c r="CC26" s="121">
        <v>46143</v>
      </c>
      <c r="CD26" s="17">
        <v>56.1</v>
      </c>
      <c r="CE26" s="28"/>
      <c r="CG26" s="121">
        <v>46143</v>
      </c>
      <c r="CH26" s="17">
        <v>49.8</v>
      </c>
      <c r="CI26" s="28"/>
      <c r="CK26" s="121">
        <v>46143</v>
      </c>
      <c r="CL26" s="17">
        <v>52.2</v>
      </c>
      <c r="CM26" s="28"/>
      <c r="CO26" s="121">
        <v>46143</v>
      </c>
      <c r="CP26" s="17">
        <v>49.4</v>
      </c>
      <c r="CQ26" s="28"/>
    </row>
    <row r="27" spans="1:95" x14ac:dyDescent="0.35">
      <c r="A27" s="121">
        <v>46174</v>
      </c>
      <c r="B27" s="17">
        <v>52.2</v>
      </c>
      <c r="C27" s="28">
        <v>-0.5</v>
      </c>
      <c r="E27" s="121">
        <v>46174</v>
      </c>
      <c r="F27" s="17">
        <v>53.9</v>
      </c>
      <c r="G27" s="28">
        <v>-1.2</v>
      </c>
      <c r="I27" s="121">
        <v>46174</v>
      </c>
      <c r="J27" s="17">
        <v>53</v>
      </c>
      <c r="K27" s="28">
        <v>0.1</v>
      </c>
      <c r="M27" s="121">
        <v>46174</v>
      </c>
      <c r="N27" s="17">
        <v>51.4</v>
      </c>
      <c r="O27" s="28">
        <v>-0.2</v>
      </c>
      <c r="Q27" s="121">
        <v>46174</v>
      </c>
      <c r="R27" s="17">
        <v>52.5</v>
      </c>
      <c r="S27" s="28">
        <v>-1.4</v>
      </c>
      <c r="U27" s="121">
        <v>46174</v>
      </c>
      <c r="V27" s="17">
        <v>50.3</v>
      </c>
      <c r="W27" s="28">
        <v>0.2</v>
      </c>
      <c r="Y27" s="121">
        <v>46174</v>
      </c>
      <c r="Z27" s="17">
        <v>51.2</v>
      </c>
      <c r="AA27" s="28">
        <v>1.5</v>
      </c>
      <c r="AC27" s="121">
        <v>46174</v>
      </c>
      <c r="AD27" s="17">
        <v>52.2</v>
      </c>
      <c r="AE27" s="28">
        <v>-0.7</v>
      </c>
      <c r="AG27" s="121">
        <v>46174</v>
      </c>
      <c r="AH27" s="17">
        <v>49.7</v>
      </c>
      <c r="AI27" s="28">
        <v>-1.5</v>
      </c>
      <c r="AK27" s="121">
        <v>46174</v>
      </c>
      <c r="AL27" s="17">
        <v>53.8</v>
      </c>
      <c r="AM27" s="28">
        <v>0.5</v>
      </c>
      <c r="AO27" s="121">
        <v>46174</v>
      </c>
      <c r="AP27" s="17">
        <v>54.9</v>
      </c>
      <c r="AQ27" s="28">
        <v>-1</v>
      </c>
      <c r="AS27" s="121">
        <v>46174</v>
      </c>
      <c r="AT27" s="17">
        <v>51.7</v>
      </c>
      <c r="AU27" s="28">
        <v>-0.1</v>
      </c>
      <c r="AW27" s="121">
        <v>46174</v>
      </c>
      <c r="AX27" s="17">
        <v>54.8</v>
      </c>
      <c r="AY27" s="28">
        <v>0.3</v>
      </c>
      <c r="BA27" s="121">
        <v>46174</v>
      </c>
      <c r="BB27" s="17">
        <v>50.8</v>
      </c>
      <c r="BC27" s="28">
        <v>1.7</v>
      </c>
      <c r="BE27" s="121">
        <v>46174</v>
      </c>
      <c r="BF27" s="17">
        <v>54.2</v>
      </c>
      <c r="BG27" s="28">
        <v>-0.8</v>
      </c>
      <c r="BI27" s="121">
        <v>46174</v>
      </c>
      <c r="BJ27" s="17">
        <v>50.3</v>
      </c>
      <c r="BK27" s="28">
        <v>1.5</v>
      </c>
      <c r="BM27" s="121">
        <v>46174</v>
      </c>
      <c r="BN27" s="17">
        <v>51.3</v>
      </c>
      <c r="BO27" s="28">
        <v>1.7</v>
      </c>
      <c r="BQ27" s="121">
        <v>46174</v>
      </c>
      <c r="BR27" s="17">
        <v>51.5</v>
      </c>
      <c r="BS27" s="28">
        <v>0.8</v>
      </c>
      <c r="BU27" s="121">
        <v>46174</v>
      </c>
      <c r="BV27" s="17">
        <v>52.1</v>
      </c>
      <c r="BW27" s="28">
        <v>-2.7</v>
      </c>
      <c r="BY27" s="121">
        <v>46174</v>
      </c>
      <c r="BZ27" s="17">
        <v>46.9</v>
      </c>
      <c r="CA27" s="28">
        <v>-3.1</v>
      </c>
      <c r="CC27" s="121">
        <v>46174</v>
      </c>
      <c r="CD27" s="17">
        <v>55.2</v>
      </c>
      <c r="CE27" s="28">
        <v>-0.9</v>
      </c>
      <c r="CG27" s="121">
        <v>46174</v>
      </c>
      <c r="CH27" s="17">
        <v>47.1</v>
      </c>
      <c r="CI27" s="28">
        <v>-2.7</v>
      </c>
      <c r="CK27" s="121">
        <v>46174</v>
      </c>
      <c r="CL27" s="17">
        <v>53.9</v>
      </c>
      <c r="CM27" s="28">
        <v>1.7</v>
      </c>
      <c r="CO27" s="121">
        <v>46174</v>
      </c>
      <c r="CP27" s="17">
        <v>46.1</v>
      </c>
      <c r="CQ27" s="28">
        <v>-3.3</v>
      </c>
    </row>
  </sheetData>
  <mergeCells count="24">
    <mergeCell ref="CO2:CQ2"/>
    <mergeCell ref="AW2:AY2"/>
    <mergeCell ref="BA2:BC2"/>
    <mergeCell ref="BE2:BG2"/>
    <mergeCell ref="BI2:BK2"/>
    <mergeCell ref="BM2:BO2"/>
    <mergeCell ref="BQ2:BS2"/>
    <mergeCell ref="BU2:BW2"/>
    <mergeCell ref="BY2:CA2"/>
    <mergeCell ref="CC2:CE2"/>
    <mergeCell ref="CG2:CI2"/>
    <mergeCell ref="CK2:CM2"/>
    <mergeCell ref="AS2:AU2"/>
    <mergeCell ref="A2:C2"/>
    <mergeCell ref="E2:G2"/>
    <mergeCell ref="I2:K2"/>
    <mergeCell ref="M2:O2"/>
    <mergeCell ref="Q2:S2"/>
    <mergeCell ref="U2:W2"/>
    <mergeCell ref="Y2:AA2"/>
    <mergeCell ref="AC2:AE2"/>
    <mergeCell ref="AG2:AI2"/>
    <mergeCell ref="AK2:AM2"/>
    <mergeCell ref="AO2:AQ2"/>
  </mergeCells>
  <conditionalFormatting sqref="B3:B2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27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2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27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:J2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7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3:N2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27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3:R2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27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3:V2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27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3:Z27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27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3:AD2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:AE27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3:AH2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27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3:AL2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M27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3:AP2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:AQ27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3:AT2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:AU27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3:AX2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27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3:BB2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:BC27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3:BF2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:BG27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3:BJ2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3:BK27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N3:BN2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:BO27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R3:BR2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3:BS27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V3:BV2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3:BW27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Z3:BZ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3:CA27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D3:CD2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3:CE27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H3:CH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3:CI27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L3:CL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3:CM2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P3:CP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3:CQ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1:I156"/>
  <sheetViews>
    <sheetView topLeftCell="A71" zoomScale="70" zoomScaleNormal="70" workbookViewId="0">
      <pane ySplit="1" topLeftCell="A101" activePane="bottomLeft" state="frozen"/>
      <selection activeCell="A71" sqref="A71"/>
      <selection pane="bottomLeft" activeCell="B114" sqref="B114"/>
    </sheetView>
  </sheetViews>
  <sheetFormatPr defaultRowHeight="14.5" x14ac:dyDescent="0.35"/>
  <cols>
    <col min="1" max="1" width="9.6328125" style="13" customWidth="1"/>
    <col min="2" max="2" width="32.453125" style="14" customWidth="1"/>
    <col min="3" max="3" width="12.36328125" style="14" customWidth="1"/>
  </cols>
  <sheetData>
    <row r="71" spans="1:3" x14ac:dyDescent="0.35">
      <c r="A71" s="13" t="s">
        <v>0</v>
      </c>
      <c r="B71" s="14" t="s">
        <v>72</v>
      </c>
      <c r="C71" s="14" t="s">
        <v>5</v>
      </c>
    </row>
    <row r="72" spans="1:3" x14ac:dyDescent="0.35">
      <c r="A72" s="15">
        <v>40452</v>
      </c>
      <c r="B72" s="14">
        <v>53.7</v>
      </c>
    </row>
    <row r="73" spans="1:3" x14ac:dyDescent="0.35">
      <c r="A73" s="15">
        <v>40483</v>
      </c>
      <c r="B73" s="14">
        <v>54</v>
      </c>
      <c r="C73" s="6">
        <f t="shared" ref="C73:C87" si="0">B73-B72</f>
        <v>0.29999999999999716</v>
      </c>
    </row>
    <row r="74" spans="1:3" x14ac:dyDescent="0.35">
      <c r="A74" s="15">
        <v>40513</v>
      </c>
      <c r="B74" s="14">
        <v>54.9</v>
      </c>
      <c r="C74" s="6">
        <f t="shared" si="0"/>
        <v>0.89999999999999858</v>
      </c>
    </row>
    <row r="75" spans="1:3" x14ac:dyDescent="0.35">
      <c r="A75" s="15">
        <v>40544</v>
      </c>
      <c r="B75" s="14">
        <v>57.2</v>
      </c>
      <c r="C75" s="6">
        <f t="shared" si="0"/>
        <v>2.3000000000000043</v>
      </c>
    </row>
    <row r="76" spans="1:3" x14ac:dyDescent="0.35">
      <c r="A76" s="15">
        <v>40575</v>
      </c>
      <c r="B76" s="14">
        <v>58.2</v>
      </c>
      <c r="C76" s="6">
        <f t="shared" si="0"/>
        <v>1</v>
      </c>
    </row>
    <row r="77" spans="1:3" x14ac:dyDescent="0.35">
      <c r="A77" s="15">
        <v>40603</v>
      </c>
      <c r="B77" s="14">
        <v>56</v>
      </c>
      <c r="C77" s="6">
        <f t="shared" si="0"/>
        <v>-2.2000000000000028</v>
      </c>
    </row>
    <row r="78" spans="1:3" x14ac:dyDescent="0.35">
      <c r="A78" s="15">
        <v>40634</v>
      </c>
      <c r="B78" s="14">
        <v>55.5</v>
      </c>
      <c r="C78" s="6">
        <f t="shared" si="0"/>
        <v>-0.5</v>
      </c>
    </row>
    <row r="79" spans="1:3" x14ac:dyDescent="0.35">
      <c r="A79" s="15">
        <v>40664</v>
      </c>
      <c r="B79" s="14">
        <v>53.1</v>
      </c>
      <c r="C79" s="6">
        <f t="shared" si="0"/>
        <v>-2.3999999999999986</v>
      </c>
    </row>
    <row r="80" spans="1:3" x14ac:dyDescent="0.35">
      <c r="A80" s="15">
        <v>40695</v>
      </c>
      <c r="B80" s="14">
        <v>52.8</v>
      </c>
      <c r="C80" s="6">
        <f t="shared" si="0"/>
        <v>-0.30000000000000426</v>
      </c>
    </row>
    <row r="81" spans="1:9" x14ac:dyDescent="0.35">
      <c r="A81" s="15">
        <v>40725</v>
      </c>
      <c r="B81" s="14">
        <v>50.9</v>
      </c>
      <c r="C81" s="6">
        <f t="shared" si="0"/>
        <v>-1.8999999999999986</v>
      </c>
    </row>
    <row r="82" spans="1:9" x14ac:dyDescent="0.35">
      <c r="A82" s="15">
        <v>40756</v>
      </c>
      <c r="B82" s="14">
        <v>50.4</v>
      </c>
      <c r="C82" s="6">
        <f t="shared" si="0"/>
        <v>-0.5</v>
      </c>
    </row>
    <row r="83" spans="1:9" x14ac:dyDescent="0.35">
      <c r="A83" s="15">
        <v>40787</v>
      </c>
      <c r="B83" s="14">
        <v>50.1</v>
      </c>
      <c r="C83" s="6">
        <f t="shared" si="0"/>
        <v>-0.29999999999999716</v>
      </c>
    </row>
    <row r="84" spans="1:9" x14ac:dyDescent="0.35">
      <c r="A84" s="15">
        <v>40817</v>
      </c>
      <c r="B84" s="14">
        <v>49.5</v>
      </c>
      <c r="C84" s="6">
        <f t="shared" si="0"/>
        <v>-0.60000000000000142</v>
      </c>
    </row>
    <row r="85" spans="1:9" x14ac:dyDescent="0.35">
      <c r="A85" s="15">
        <v>40848</v>
      </c>
      <c r="B85" s="14">
        <v>49.6</v>
      </c>
      <c r="C85" s="6">
        <f t="shared" si="0"/>
        <v>0.10000000000000142</v>
      </c>
      <c r="G85" s="29" t="s">
        <v>82</v>
      </c>
      <c r="H85" s="30" t="s">
        <v>78</v>
      </c>
      <c r="I85" s="30" t="s">
        <v>79</v>
      </c>
    </row>
    <row r="86" spans="1:9" x14ac:dyDescent="0.35">
      <c r="A86" s="15">
        <v>40878</v>
      </c>
      <c r="B86" s="14">
        <v>50.4</v>
      </c>
      <c r="C86" s="6">
        <f t="shared" si="0"/>
        <v>0.79999999999999716</v>
      </c>
      <c r="G86" s="29" t="s">
        <v>80</v>
      </c>
      <c r="H86" s="31">
        <f>B114</f>
        <v>51.9</v>
      </c>
      <c r="I86" s="31"/>
    </row>
    <row r="87" spans="1:9" x14ac:dyDescent="0.35">
      <c r="A87" s="16">
        <v>40909</v>
      </c>
      <c r="B87" s="17">
        <v>51</v>
      </c>
      <c r="C87" s="17">
        <f t="shared" si="0"/>
        <v>0.60000000000000142</v>
      </c>
      <c r="G87" s="29" t="s">
        <v>81</v>
      </c>
      <c r="H87" s="31">
        <f>B115</f>
        <v>52.2</v>
      </c>
      <c r="I87" s="31">
        <f>(H87-H86)</f>
        <v>0.30000000000000426</v>
      </c>
    </row>
    <row r="88" spans="1:9" x14ac:dyDescent="0.35">
      <c r="A88" s="16">
        <v>40940</v>
      </c>
      <c r="B88" s="17">
        <v>51.2</v>
      </c>
      <c r="C88" s="17">
        <f>B88-B87</f>
        <v>0.20000000000000284</v>
      </c>
    </row>
    <row r="89" spans="1:9" x14ac:dyDescent="0.35">
      <c r="A89" s="16">
        <v>40969</v>
      </c>
      <c r="B89" s="17">
        <v>51.6</v>
      </c>
      <c r="C89" s="17">
        <f t="shared" ref="C89:C114" si="1">B89-B88</f>
        <v>0.39999999999999858</v>
      </c>
    </row>
    <row r="90" spans="1:9" x14ac:dyDescent="0.35">
      <c r="A90" s="16">
        <v>41000</v>
      </c>
      <c r="B90" s="17">
        <v>51.3</v>
      </c>
      <c r="C90" s="17">
        <f t="shared" si="1"/>
        <v>-0.30000000000000426</v>
      </c>
    </row>
    <row r="91" spans="1:9" x14ac:dyDescent="0.35">
      <c r="A91" s="16">
        <v>41030</v>
      </c>
      <c r="B91" s="17">
        <v>50.3</v>
      </c>
      <c r="C91" s="17">
        <f t="shared" si="1"/>
        <v>-1</v>
      </c>
    </row>
    <row r="92" spans="1:9" x14ac:dyDescent="0.35">
      <c r="A92" s="16">
        <v>41061</v>
      </c>
      <c r="B92" s="17">
        <v>49.7</v>
      </c>
      <c r="C92" s="17">
        <f t="shared" si="1"/>
        <v>-0.59999999999999432</v>
      </c>
    </row>
    <row r="93" spans="1:9" x14ac:dyDescent="0.35">
      <c r="A93" s="16">
        <v>41091</v>
      </c>
      <c r="B93" s="17">
        <v>48.8</v>
      </c>
      <c r="C93" s="17">
        <f t="shared" si="1"/>
        <v>-0.90000000000000568</v>
      </c>
    </row>
    <row r="94" spans="1:9" x14ac:dyDescent="0.35">
      <c r="A94" s="16">
        <v>41122</v>
      </c>
      <c r="B94" s="17">
        <v>48.7</v>
      </c>
      <c r="C94" s="17">
        <f t="shared" si="1"/>
        <v>-9.9999999999994316E-2</v>
      </c>
    </row>
    <row r="95" spans="1:9" x14ac:dyDescent="0.35">
      <c r="A95" s="16">
        <v>41153</v>
      </c>
      <c r="B95" s="17">
        <v>48.7</v>
      </c>
      <c r="C95" s="17">
        <f t="shared" si="1"/>
        <v>0</v>
      </c>
    </row>
    <row r="96" spans="1:9" x14ac:dyDescent="0.35">
      <c r="A96" s="16">
        <v>41183</v>
      </c>
      <c r="B96" s="17">
        <v>48.9</v>
      </c>
      <c r="C96" s="17">
        <f t="shared" si="1"/>
        <v>0.19999999999999574</v>
      </c>
    </row>
    <row r="97" spans="1:3" x14ac:dyDescent="0.35">
      <c r="A97" s="16">
        <v>41214</v>
      </c>
      <c r="B97" s="17">
        <v>49.6</v>
      </c>
      <c r="C97" s="17">
        <f t="shared" si="1"/>
        <v>0.70000000000000284</v>
      </c>
    </row>
    <row r="98" spans="1:3" x14ac:dyDescent="0.35">
      <c r="A98" s="16">
        <v>41244</v>
      </c>
      <c r="B98" s="17">
        <v>50</v>
      </c>
      <c r="C98" s="17">
        <f t="shared" si="1"/>
        <v>0.39999999999999858</v>
      </c>
    </row>
    <row r="99" spans="1:3" x14ac:dyDescent="0.35">
      <c r="A99" s="16">
        <v>41275</v>
      </c>
      <c r="B99" s="17">
        <v>51.5</v>
      </c>
      <c r="C99" s="17">
        <f t="shared" si="1"/>
        <v>1.5</v>
      </c>
    </row>
    <row r="100" spans="1:3" x14ac:dyDescent="0.35">
      <c r="A100" s="16">
        <v>41306</v>
      </c>
      <c r="B100" s="17">
        <v>50.9</v>
      </c>
      <c r="C100" s="17">
        <f t="shared" si="1"/>
        <v>-0.60000000000000142</v>
      </c>
    </row>
    <row r="101" spans="1:3" x14ac:dyDescent="0.35">
      <c r="A101" s="16">
        <v>41334</v>
      </c>
      <c r="B101" s="17">
        <v>51.2</v>
      </c>
      <c r="C101" s="17">
        <f t="shared" si="1"/>
        <v>0.30000000000000426</v>
      </c>
    </row>
    <row r="102" spans="1:3" x14ac:dyDescent="0.35">
      <c r="A102" s="16">
        <v>41365</v>
      </c>
      <c r="B102" s="17">
        <v>50.4</v>
      </c>
      <c r="C102" s="17">
        <f t="shared" si="1"/>
        <v>-0.80000000000000426</v>
      </c>
    </row>
    <row r="103" spans="1:3" x14ac:dyDescent="0.35">
      <c r="A103" s="16">
        <v>41395</v>
      </c>
      <c r="B103" s="17">
        <v>50.6</v>
      </c>
      <c r="C103" s="17">
        <f t="shared" si="1"/>
        <v>0.20000000000000284</v>
      </c>
    </row>
    <row r="104" spans="1:3" x14ac:dyDescent="0.35">
      <c r="A104" s="16">
        <v>41426</v>
      </c>
      <c r="B104" s="17">
        <v>50.6</v>
      </c>
      <c r="C104" s="17">
        <f t="shared" si="1"/>
        <v>0</v>
      </c>
    </row>
    <row r="105" spans="1:3" x14ac:dyDescent="0.35">
      <c r="A105" s="16">
        <v>41456</v>
      </c>
      <c r="B105" s="17">
        <v>50.8</v>
      </c>
      <c r="C105" s="17">
        <f t="shared" si="1"/>
        <v>0.19999999999999574</v>
      </c>
    </row>
    <row r="106" spans="1:3" x14ac:dyDescent="0.35">
      <c r="A106" s="16">
        <v>41487</v>
      </c>
      <c r="B106" s="17">
        <v>51.6</v>
      </c>
      <c r="C106" s="17">
        <f t="shared" si="1"/>
        <v>0.80000000000000426</v>
      </c>
    </row>
    <row r="107" spans="1:3" x14ac:dyDescent="0.35">
      <c r="A107" s="16">
        <v>41518</v>
      </c>
      <c r="B107" s="17">
        <v>51.8</v>
      </c>
      <c r="C107" s="17">
        <f t="shared" si="1"/>
        <v>0.19999999999999574</v>
      </c>
    </row>
    <row r="108" spans="1:3" x14ac:dyDescent="0.35">
      <c r="A108" s="16">
        <v>41548</v>
      </c>
      <c r="B108" s="17">
        <v>52.1</v>
      </c>
      <c r="C108" s="17">
        <f t="shared" si="1"/>
        <v>0.30000000000000426</v>
      </c>
    </row>
    <row r="109" spans="1:3" x14ac:dyDescent="0.35">
      <c r="A109" s="16">
        <v>41579</v>
      </c>
      <c r="B109" s="17">
        <v>53.1</v>
      </c>
      <c r="C109" s="17">
        <f t="shared" si="1"/>
        <v>1</v>
      </c>
    </row>
    <row r="110" spans="1:3" x14ac:dyDescent="0.35">
      <c r="A110" s="16">
        <v>41609</v>
      </c>
      <c r="B110" s="17">
        <v>53.3</v>
      </c>
      <c r="C110" s="17">
        <f t="shared" si="1"/>
        <v>0.19999999999999574</v>
      </c>
    </row>
    <row r="111" spans="1:3" x14ac:dyDescent="0.35">
      <c r="A111" s="16">
        <v>41640</v>
      </c>
      <c r="B111" s="18">
        <v>52.9</v>
      </c>
      <c r="C111" s="17">
        <f t="shared" si="1"/>
        <v>-0.39999999999999858</v>
      </c>
    </row>
    <row r="112" spans="1:3" x14ac:dyDescent="0.35">
      <c r="A112" s="16">
        <v>41671</v>
      </c>
      <c r="B112" s="18">
        <v>53.3</v>
      </c>
      <c r="C112" s="17">
        <f t="shared" si="1"/>
        <v>0.39999999999999858</v>
      </c>
    </row>
    <row r="113" spans="1:3" x14ac:dyDescent="0.35">
      <c r="A113" s="16">
        <v>41699</v>
      </c>
      <c r="B113" s="18">
        <v>52.4</v>
      </c>
      <c r="C113" s="17">
        <f t="shared" si="1"/>
        <v>-0.89999999999999858</v>
      </c>
    </row>
    <row r="114" spans="1:3" x14ac:dyDescent="0.35">
      <c r="A114" s="16">
        <v>41730</v>
      </c>
      <c r="B114" s="18">
        <v>51.9</v>
      </c>
      <c r="C114" s="17">
        <f t="shared" si="1"/>
        <v>-0.5</v>
      </c>
    </row>
    <row r="115" spans="1:3" x14ac:dyDescent="0.35">
      <c r="A115" s="16">
        <v>41760</v>
      </c>
      <c r="B115" s="17">
        <v>52.2</v>
      </c>
      <c r="C115" s="17">
        <f t="shared" ref="C115:C118" si="2">B115-B114</f>
        <v>0.30000000000000426</v>
      </c>
    </row>
    <row r="116" spans="1:3" x14ac:dyDescent="0.35">
      <c r="A116" s="16">
        <v>41791</v>
      </c>
      <c r="B116" s="17">
        <v>52.6</v>
      </c>
      <c r="C116" s="17">
        <f t="shared" si="2"/>
        <v>0.39999999999999858</v>
      </c>
    </row>
    <row r="117" spans="1:3" x14ac:dyDescent="0.35">
      <c r="A117" s="16">
        <v>41821</v>
      </c>
      <c r="B117" s="17">
        <v>52.5</v>
      </c>
      <c r="C117" s="17">
        <f t="shared" si="2"/>
        <v>-0.10000000000000142</v>
      </c>
    </row>
    <row r="118" spans="1:3" x14ac:dyDescent="0.35">
      <c r="A118" s="16">
        <v>41852</v>
      </c>
      <c r="B118" s="18">
        <v>52.6</v>
      </c>
      <c r="C118" s="17">
        <f t="shared" si="2"/>
        <v>0.10000000000000142</v>
      </c>
    </row>
    <row r="119" spans="1:3" x14ac:dyDescent="0.35">
      <c r="A119" s="16">
        <v>41883</v>
      </c>
      <c r="B119" s="17">
        <v>52.2</v>
      </c>
      <c r="C119" s="17">
        <f t="shared" ref="C119:C120" si="3">B119-B118</f>
        <v>-0.39999999999999858</v>
      </c>
    </row>
    <row r="120" spans="1:3" x14ac:dyDescent="0.35">
      <c r="A120" s="16">
        <v>41913</v>
      </c>
      <c r="B120" s="18">
        <v>52.2</v>
      </c>
      <c r="C120" s="17">
        <f t="shared" si="3"/>
        <v>0</v>
      </c>
    </row>
    <row r="121" spans="1:3" x14ac:dyDescent="0.35">
      <c r="A121" s="90">
        <v>41944</v>
      </c>
      <c r="B121" s="91">
        <v>51.8</v>
      </c>
      <c r="C121" s="91">
        <f t="shared" ref="C121" si="4">B121-B120</f>
        <v>-0.40000000000000568</v>
      </c>
    </row>
    <row r="122" spans="1:3" x14ac:dyDescent="0.35">
      <c r="A122" s="16">
        <v>41974</v>
      </c>
      <c r="B122" s="17"/>
      <c r="C122" s="17">
        <f t="shared" ref="C122:C154" si="5">B122-B121</f>
        <v>-51.8</v>
      </c>
    </row>
    <row r="123" spans="1:3" x14ac:dyDescent="0.35">
      <c r="A123" s="90">
        <v>42005</v>
      </c>
      <c r="B123" s="17"/>
      <c r="C123" s="17">
        <f t="shared" si="5"/>
        <v>0</v>
      </c>
    </row>
    <row r="124" spans="1:3" x14ac:dyDescent="0.35">
      <c r="A124" s="16">
        <v>42036</v>
      </c>
      <c r="B124" s="17"/>
      <c r="C124" s="17">
        <f t="shared" si="5"/>
        <v>0</v>
      </c>
    </row>
    <row r="125" spans="1:3" x14ac:dyDescent="0.35">
      <c r="A125" s="90">
        <v>42064</v>
      </c>
      <c r="B125" s="17"/>
      <c r="C125" s="17">
        <f t="shared" si="5"/>
        <v>0</v>
      </c>
    </row>
    <row r="126" spans="1:3" x14ac:dyDescent="0.35">
      <c r="A126" s="16">
        <v>42095</v>
      </c>
      <c r="B126" s="17"/>
      <c r="C126" s="17">
        <f t="shared" si="5"/>
        <v>0</v>
      </c>
    </row>
    <row r="127" spans="1:3" x14ac:dyDescent="0.35">
      <c r="A127" s="90">
        <v>42125</v>
      </c>
      <c r="B127" s="17"/>
      <c r="C127" s="17">
        <f t="shared" si="5"/>
        <v>0</v>
      </c>
    </row>
    <row r="128" spans="1:3" x14ac:dyDescent="0.35">
      <c r="A128" s="16">
        <v>42156</v>
      </c>
      <c r="B128" s="17"/>
      <c r="C128" s="17">
        <f t="shared" si="5"/>
        <v>0</v>
      </c>
    </row>
    <row r="129" spans="1:3" x14ac:dyDescent="0.35">
      <c r="A129" s="90">
        <v>42186</v>
      </c>
      <c r="B129" s="17"/>
      <c r="C129" s="17">
        <f t="shared" si="5"/>
        <v>0</v>
      </c>
    </row>
    <row r="130" spans="1:3" x14ac:dyDescent="0.35">
      <c r="A130" s="16">
        <v>42217</v>
      </c>
      <c r="B130" s="17"/>
      <c r="C130" s="17">
        <f t="shared" si="5"/>
        <v>0</v>
      </c>
    </row>
    <row r="131" spans="1:3" x14ac:dyDescent="0.35">
      <c r="A131" s="90">
        <v>42248</v>
      </c>
      <c r="B131" s="17"/>
      <c r="C131" s="17">
        <f t="shared" si="5"/>
        <v>0</v>
      </c>
    </row>
    <row r="132" spans="1:3" x14ac:dyDescent="0.35">
      <c r="A132" s="16">
        <v>42278</v>
      </c>
      <c r="B132" s="17"/>
      <c r="C132" s="17">
        <f t="shared" si="5"/>
        <v>0</v>
      </c>
    </row>
    <row r="133" spans="1:3" x14ac:dyDescent="0.35">
      <c r="A133" s="90">
        <v>42309</v>
      </c>
      <c r="B133" s="17"/>
      <c r="C133" s="17">
        <f t="shared" si="5"/>
        <v>0</v>
      </c>
    </row>
    <row r="134" spans="1:3" x14ac:dyDescent="0.35">
      <c r="A134" s="16">
        <v>42339</v>
      </c>
      <c r="B134" s="17"/>
      <c r="C134" s="17">
        <f t="shared" si="5"/>
        <v>0</v>
      </c>
    </row>
    <row r="135" spans="1:3" x14ac:dyDescent="0.35">
      <c r="A135" s="90">
        <v>42370</v>
      </c>
      <c r="B135" s="17"/>
      <c r="C135" s="17">
        <f t="shared" si="5"/>
        <v>0</v>
      </c>
    </row>
    <row r="136" spans="1:3" x14ac:dyDescent="0.35">
      <c r="A136" s="16">
        <v>42401</v>
      </c>
      <c r="B136" s="17"/>
      <c r="C136" s="17">
        <f t="shared" si="5"/>
        <v>0</v>
      </c>
    </row>
    <row r="137" spans="1:3" x14ac:dyDescent="0.35">
      <c r="A137" s="90">
        <v>42430</v>
      </c>
      <c r="B137" s="17"/>
      <c r="C137" s="17">
        <f t="shared" si="5"/>
        <v>0</v>
      </c>
    </row>
    <row r="138" spans="1:3" x14ac:dyDescent="0.35">
      <c r="A138" s="16">
        <v>42461</v>
      </c>
      <c r="B138" s="17"/>
      <c r="C138" s="17">
        <f t="shared" si="5"/>
        <v>0</v>
      </c>
    </row>
    <row r="139" spans="1:3" x14ac:dyDescent="0.35">
      <c r="A139" s="90">
        <v>42491</v>
      </c>
      <c r="B139" s="17"/>
      <c r="C139" s="17">
        <f t="shared" si="5"/>
        <v>0</v>
      </c>
    </row>
    <row r="140" spans="1:3" x14ac:dyDescent="0.35">
      <c r="A140" s="16">
        <v>42522</v>
      </c>
      <c r="B140" s="17"/>
      <c r="C140" s="17">
        <f t="shared" si="5"/>
        <v>0</v>
      </c>
    </row>
    <row r="141" spans="1:3" x14ac:dyDescent="0.35">
      <c r="A141" s="90">
        <v>42552</v>
      </c>
      <c r="B141" s="17"/>
      <c r="C141" s="17">
        <f t="shared" si="5"/>
        <v>0</v>
      </c>
    </row>
    <row r="142" spans="1:3" x14ac:dyDescent="0.35">
      <c r="A142" s="16">
        <v>42583</v>
      </c>
      <c r="B142" s="17"/>
      <c r="C142" s="17">
        <f t="shared" si="5"/>
        <v>0</v>
      </c>
    </row>
    <row r="143" spans="1:3" x14ac:dyDescent="0.35">
      <c r="A143" s="90">
        <v>42614</v>
      </c>
      <c r="B143" s="17"/>
      <c r="C143" s="17">
        <f t="shared" si="5"/>
        <v>0</v>
      </c>
    </row>
    <row r="144" spans="1:3" x14ac:dyDescent="0.35">
      <c r="A144" s="16">
        <v>42644</v>
      </c>
      <c r="B144" s="17"/>
      <c r="C144" s="17">
        <f t="shared" si="5"/>
        <v>0</v>
      </c>
    </row>
    <row r="145" spans="1:5" x14ac:dyDescent="0.35">
      <c r="A145" s="90">
        <v>42675</v>
      </c>
      <c r="B145" s="17"/>
      <c r="C145" s="17">
        <f t="shared" si="5"/>
        <v>0</v>
      </c>
    </row>
    <row r="146" spans="1:5" x14ac:dyDescent="0.35">
      <c r="A146" s="16">
        <v>42705</v>
      </c>
      <c r="B146" s="17"/>
      <c r="C146" s="17">
        <f t="shared" si="5"/>
        <v>0</v>
      </c>
    </row>
    <row r="147" spans="1:5" x14ac:dyDescent="0.35">
      <c r="A147" s="90">
        <v>42736</v>
      </c>
      <c r="B147" s="17"/>
      <c r="C147" s="17">
        <f t="shared" si="5"/>
        <v>0</v>
      </c>
    </row>
    <row r="148" spans="1:5" x14ac:dyDescent="0.35">
      <c r="A148" s="16">
        <v>42767</v>
      </c>
      <c r="B148" s="17"/>
      <c r="C148" s="17">
        <f t="shared" si="5"/>
        <v>0</v>
      </c>
    </row>
    <row r="149" spans="1:5" x14ac:dyDescent="0.35">
      <c r="A149" s="90">
        <v>42795</v>
      </c>
      <c r="B149" s="17"/>
      <c r="C149" s="17">
        <f t="shared" si="5"/>
        <v>0</v>
      </c>
    </row>
    <row r="150" spans="1:5" x14ac:dyDescent="0.35">
      <c r="A150" s="16">
        <v>42826</v>
      </c>
      <c r="B150" s="17"/>
      <c r="C150" s="17">
        <f t="shared" si="5"/>
        <v>0</v>
      </c>
    </row>
    <row r="151" spans="1:5" x14ac:dyDescent="0.35">
      <c r="A151" s="90">
        <v>42856</v>
      </c>
      <c r="B151" s="17"/>
      <c r="C151" s="17">
        <f t="shared" si="5"/>
        <v>0</v>
      </c>
    </row>
    <row r="152" spans="1:5" x14ac:dyDescent="0.35">
      <c r="A152" s="16">
        <v>42887</v>
      </c>
      <c r="B152" s="17"/>
      <c r="C152" s="17">
        <f t="shared" si="5"/>
        <v>0</v>
      </c>
    </row>
    <row r="153" spans="1:5" x14ac:dyDescent="0.35">
      <c r="A153" s="90">
        <v>42917</v>
      </c>
      <c r="B153" s="17"/>
      <c r="C153" s="17">
        <f t="shared" si="5"/>
        <v>0</v>
      </c>
    </row>
    <row r="154" spans="1:5" x14ac:dyDescent="0.35">
      <c r="A154" s="16">
        <v>42948</v>
      </c>
      <c r="B154" s="17"/>
      <c r="C154" s="17">
        <f t="shared" si="5"/>
        <v>0</v>
      </c>
    </row>
    <row r="155" spans="1:5" x14ac:dyDescent="0.35">
      <c r="A155" s="122">
        <v>46143</v>
      </c>
      <c r="B155" s="91">
        <v>52.7</v>
      </c>
      <c r="C155" s="91">
        <f>B155-B154</f>
        <v>52.7</v>
      </c>
      <c r="E155" t="s">
        <v>324</v>
      </c>
    </row>
    <row r="156" spans="1:5" x14ac:dyDescent="0.35">
      <c r="A156" s="122">
        <v>46174</v>
      </c>
      <c r="B156" s="91">
        <v>52.2</v>
      </c>
      <c r="C156" s="91">
        <v>-0.5</v>
      </c>
    </row>
  </sheetData>
  <conditionalFormatting sqref="B72:B15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87">
    <cfRule type="cellIs" dxfId="2" priority="1" stopIfTrue="1" operator="equal">
      <formula>0</formula>
    </cfRule>
    <cfRule type="cellIs" dxfId="1" priority="2" stopIfTrue="1" operator="lessThan">
      <formula>0</formula>
    </cfRule>
    <cfRule type="cellIs" dxfId="0" priority="3" stopIfTrue="1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71:I156"/>
  <sheetViews>
    <sheetView topLeftCell="A71" zoomScale="70" zoomScaleNormal="70" workbookViewId="0">
      <pane ySplit="1" topLeftCell="A99" activePane="bottomLeft" state="frozen"/>
      <selection activeCell="A71" sqref="A71"/>
      <selection pane="bottomLeft" activeCell="B99" sqref="B99"/>
    </sheetView>
  </sheetViews>
  <sheetFormatPr defaultRowHeight="14.5" x14ac:dyDescent="0.35"/>
  <cols>
    <col min="1" max="1" width="9.6328125" style="13" customWidth="1"/>
    <col min="2" max="2" width="27.54296875" style="13" customWidth="1"/>
    <col min="3" max="3" width="12.36328125" style="26" customWidth="1"/>
    <col min="4" max="4" width="25.36328125" customWidth="1"/>
    <col min="5" max="5" width="13.36328125" customWidth="1"/>
  </cols>
  <sheetData>
    <row r="71" spans="1:5" x14ac:dyDescent="0.35">
      <c r="A71" s="13" t="s">
        <v>0</v>
      </c>
      <c r="B71" s="13" t="s">
        <v>71</v>
      </c>
      <c r="C71" s="26" t="s">
        <v>5</v>
      </c>
      <c r="D71" t="s">
        <v>70</v>
      </c>
      <c r="E71" t="s">
        <v>124</v>
      </c>
    </row>
    <row r="72" spans="1:5" x14ac:dyDescent="0.35">
      <c r="A72" s="15">
        <v>40452</v>
      </c>
      <c r="B72" s="14">
        <v>56.9</v>
      </c>
      <c r="D72" s="7"/>
      <c r="E72">
        <v>109.7</v>
      </c>
    </row>
    <row r="73" spans="1:5" x14ac:dyDescent="0.35">
      <c r="A73" s="15">
        <v>40483</v>
      </c>
      <c r="B73" s="14">
        <v>56.6</v>
      </c>
      <c r="C73" s="27">
        <f t="shared" ref="C73:C87" si="0">B73-B72</f>
        <v>-0.29999999999999716</v>
      </c>
      <c r="D73" s="7"/>
      <c r="E73">
        <v>109.7</v>
      </c>
    </row>
    <row r="74" spans="1:5" x14ac:dyDescent="0.35">
      <c r="A74" s="15">
        <v>40513</v>
      </c>
      <c r="B74" s="14">
        <v>57</v>
      </c>
      <c r="C74" s="27">
        <f t="shared" si="0"/>
        <v>0.39999999999999858</v>
      </c>
      <c r="D74" s="7">
        <v>3.9E-2</v>
      </c>
      <c r="E74">
        <v>117.03</v>
      </c>
    </row>
    <row r="75" spans="1:5" x14ac:dyDescent="0.35">
      <c r="A75" s="15">
        <v>40544</v>
      </c>
      <c r="B75" s="14">
        <v>60.8</v>
      </c>
      <c r="C75" s="27">
        <f t="shared" si="0"/>
        <v>3.7999999999999972</v>
      </c>
      <c r="D75" s="7"/>
      <c r="E75">
        <v>119.76</v>
      </c>
    </row>
    <row r="76" spans="1:5" x14ac:dyDescent="0.35">
      <c r="A76" s="15">
        <v>40575</v>
      </c>
      <c r="B76" s="14">
        <v>61.4</v>
      </c>
      <c r="C76" s="27">
        <f t="shared" si="0"/>
        <v>0.60000000000000142</v>
      </c>
      <c r="D76" s="7"/>
      <c r="E76">
        <v>123.92</v>
      </c>
    </row>
    <row r="77" spans="1:5" x14ac:dyDescent="0.35">
      <c r="A77" s="15">
        <v>40603</v>
      </c>
      <c r="B77" s="14">
        <v>61.2</v>
      </c>
      <c r="C77" s="27">
        <f t="shared" si="0"/>
        <v>-0.19999999999999574</v>
      </c>
      <c r="D77" s="7">
        <v>-1.4999999999999999E-2</v>
      </c>
      <c r="E77">
        <v>123.93</v>
      </c>
    </row>
    <row r="78" spans="1:5" x14ac:dyDescent="0.35">
      <c r="A78" s="15">
        <v>40634</v>
      </c>
      <c r="B78" s="14">
        <v>60.4</v>
      </c>
      <c r="C78" s="27">
        <f t="shared" si="0"/>
        <v>-0.80000000000000426</v>
      </c>
      <c r="D78" s="7"/>
      <c r="E78">
        <v>127.52</v>
      </c>
    </row>
    <row r="79" spans="1:5" x14ac:dyDescent="0.35">
      <c r="A79" s="15">
        <v>40664</v>
      </c>
      <c r="B79" s="14">
        <v>53.5</v>
      </c>
      <c r="C79" s="27">
        <f t="shared" si="0"/>
        <v>-6.8999999999999986</v>
      </c>
      <c r="D79" s="7"/>
      <c r="E79">
        <v>126.09</v>
      </c>
    </row>
    <row r="80" spans="1:5" x14ac:dyDescent="0.35">
      <c r="A80" s="15">
        <v>40695</v>
      </c>
      <c r="B80" s="14">
        <v>55.3</v>
      </c>
      <c r="C80" s="27">
        <f t="shared" si="0"/>
        <v>1.7999999999999972</v>
      </c>
      <c r="D80" s="7">
        <v>2.9000000000000001E-2</v>
      </c>
      <c r="E80">
        <v>123.96</v>
      </c>
    </row>
    <row r="81" spans="1:9" x14ac:dyDescent="0.35">
      <c r="A81" s="15">
        <v>40725</v>
      </c>
      <c r="B81" s="14">
        <v>50.9</v>
      </c>
      <c r="C81" s="27">
        <f t="shared" si="0"/>
        <v>-4.3999999999999986</v>
      </c>
      <c r="D81" s="7"/>
      <c r="E81">
        <v>121.48</v>
      </c>
    </row>
    <row r="82" spans="1:9" x14ac:dyDescent="0.35">
      <c r="A82" s="15">
        <v>40756</v>
      </c>
      <c r="B82" s="14">
        <v>50.6</v>
      </c>
      <c r="C82" s="27">
        <f t="shared" si="0"/>
        <v>-0.29999999999999716</v>
      </c>
      <c r="D82" s="7"/>
      <c r="E82">
        <v>114.8</v>
      </c>
    </row>
    <row r="83" spans="1:9" x14ac:dyDescent="0.35">
      <c r="A83" s="15">
        <v>40787</v>
      </c>
      <c r="B83" s="14">
        <v>51.6</v>
      </c>
      <c r="C83" s="27">
        <f t="shared" si="0"/>
        <v>1</v>
      </c>
      <c r="D83" s="7">
        <v>8.0000000000000002E-3</v>
      </c>
      <c r="E83">
        <v>106.83</v>
      </c>
    </row>
    <row r="84" spans="1:9" x14ac:dyDescent="0.35">
      <c r="A84" s="15">
        <v>40817</v>
      </c>
      <c r="B84" s="14">
        <v>50.8</v>
      </c>
      <c r="C84" s="27">
        <f t="shared" si="0"/>
        <v>-0.80000000000000426</v>
      </c>
      <c r="D84" s="7"/>
      <c r="E84">
        <v>118.5</v>
      </c>
    </row>
    <row r="85" spans="1:9" x14ac:dyDescent="0.35">
      <c r="A85" s="15">
        <v>40848</v>
      </c>
      <c r="B85" s="14">
        <v>52.7</v>
      </c>
      <c r="C85" s="27">
        <f t="shared" si="0"/>
        <v>1.9000000000000057</v>
      </c>
      <c r="D85" s="7"/>
      <c r="E85">
        <v>118.01</v>
      </c>
      <c r="H85" s="64" t="s">
        <v>16</v>
      </c>
      <c r="I85" t="s">
        <v>87</v>
      </c>
    </row>
    <row r="86" spans="1:9" x14ac:dyDescent="0.35">
      <c r="A86" s="15">
        <v>40878</v>
      </c>
      <c r="B86" s="14">
        <v>53.2</v>
      </c>
      <c r="C86" s="27">
        <f t="shared" si="0"/>
        <v>0.5</v>
      </c>
      <c r="D86" s="7">
        <v>4.5999999999999999E-2</v>
      </c>
      <c r="E86">
        <v>119.25</v>
      </c>
    </row>
    <row r="87" spans="1:9" x14ac:dyDescent="0.35">
      <c r="A87" s="16">
        <v>40909</v>
      </c>
      <c r="B87" s="17">
        <v>54.3</v>
      </c>
      <c r="C87" s="28">
        <f t="shared" si="0"/>
        <v>1.0999999999999943</v>
      </c>
      <c r="D87" s="7"/>
      <c r="E87">
        <v>124.78</v>
      </c>
    </row>
    <row r="88" spans="1:9" x14ac:dyDescent="0.35">
      <c r="A88" s="16">
        <v>40940</v>
      </c>
      <c r="B88" s="17">
        <v>53.6</v>
      </c>
      <c r="C88" s="28">
        <f>B88-B87</f>
        <v>-0.69999999999999574</v>
      </c>
      <c r="D88" s="7"/>
      <c r="E88">
        <v>130.19</v>
      </c>
    </row>
    <row r="89" spans="1:9" x14ac:dyDescent="0.35">
      <c r="A89" s="16">
        <v>40969</v>
      </c>
      <c r="B89" s="17">
        <v>56</v>
      </c>
      <c r="C89" s="28">
        <f t="shared" ref="C89:C114" si="1">B89-B88</f>
        <v>2.3999999999999986</v>
      </c>
      <c r="D89" s="7">
        <v>2.3E-2</v>
      </c>
      <c r="E89">
        <v>134.38</v>
      </c>
    </row>
    <row r="90" spans="1:9" x14ac:dyDescent="0.35">
      <c r="A90" s="16">
        <v>41000</v>
      </c>
      <c r="B90" s="17">
        <v>56</v>
      </c>
      <c r="C90" s="28">
        <f t="shared" si="1"/>
        <v>0</v>
      </c>
      <c r="D90" s="7"/>
      <c r="E90">
        <v>133.47999999999999</v>
      </c>
    </row>
    <row r="91" spans="1:9" x14ac:dyDescent="0.35">
      <c r="A91" s="16">
        <v>41030</v>
      </c>
      <c r="B91" s="17">
        <v>54</v>
      </c>
      <c r="C91" s="28">
        <f t="shared" si="1"/>
        <v>-2</v>
      </c>
      <c r="D91" s="7"/>
      <c r="E91">
        <v>125.47</v>
      </c>
    </row>
    <row r="92" spans="1:9" x14ac:dyDescent="0.35">
      <c r="A92" s="16">
        <v>41061</v>
      </c>
      <c r="B92" s="17">
        <v>52.5</v>
      </c>
      <c r="C92" s="28">
        <f t="shared" si="1"/>
        <v>-1.5</v>
      </c>
      <c r="D92" s="7">
        <v>1.6E-2</v>
      </c>
      <c r="E92">
        <v>130.56</v>
      </c>
    </row>
    <row r="93" spans="1:9" x14ac:dyDescent="0.35">
      <c r="A93" s="16">
        <v>41091</v>
      </c>
      <c r="B93" s="17">
        <v>51.4</v>
      </c>
      <c r="C93" s="28">
        <f t="shared" si="1"/>
        <v>-1.1000000000000014</v>
      </c>
      <c r="D93" s="7"/>
      <c r="E93">
        <v>132.1</v>
      </c>
    </row>
    <row r="94" spans="1:9" x14ac:dyDescent="0.35">
      <c r="A94" s="16">
        <v>41122</v>
      </c>
      <c r="B94" s="17">
        <v>51.5</v>
      </c>
      <c r="C94" s="28">
        <f t="shared" si="1"/>
        <v>0.10000000000000142</v>
      </c>
      <c r="D94" s="7"/>
      <c r="E94">
        <v>135.41</v>
      </c>
    </row>
    <row r="95" spans="1:9" x14ac:dyDescent="0.35">
      <c r="A95" s="16">
        <v>41153</v>
      </c>
      <c r="B95" s="17">
        <v>51.1</v>
      </c>
      <c r="C95" s="28">
        <f t="shared" si="1"/>
        <v>-0.39999999999999858</v>
      </c>
      <c r="D95" s="7">
        <v>2.5000000000000001E-2</v>
      </c>
      <c r="E95">
        <v>138.85</v>
      </c>
    </row>
    <row r="96" spans="1:9" x14ac:dyDescent="0.35">
      <c r="A96" s="16">
        <v>41183</v>
      </c>
      <c r="B96" s="17">
        <v>51</v>
      </c>
      <c r="C96" s="28">
        <f t="shared" si="1"/>
        <v>-0.10000000000000142</v>
      </c>
      <c r="D96" s="7"/>
      <c r="E96">
        <v>136.32</v>
      </c>
    </row>
    <row r="97" spans="1:5" x14ac:dyDescent="0.35">
      <c r="A97" s="16">
        <v>41214</v>
      </c>
      <c r="B97" s="17">
        <v>52.8</v>
      </c>
      <c r="C97" s="28">
        <f t="shared" si="1"/>
        <v>1.7999999999999972</v>
      </c>
      <c r="D97" s="7"/>
      <c r="E97">
        <v>137.09</v>
      </c>
    </row>
    <row r="98" spans="1:5" x14ac:dyDescent="0.35">
      <c r="A98" s="16">
        <v>41244</v>
      </c>
      <c r="B98" s="17">
        <v>54</v>
      </c>
      <c r="C98" s="28">
        <f t="shared" si="1"/>
        <v>1.2000000000000028</v>
      </c>
      <c r="D98" s="7">
        <v>1E-3</v>
      </c>
      <c r="E98">
        <v>138.32</v>
      </c>
    </row>
    <row r="99" spans="1:5" x14ac:dyDescent="0.35">
      <c r="A99" s="16">
        <v>41275</v>
      </c>
      <c r="B99" s="17">
        <v>55.8</v>
      </c>
      <c r="C99" s="28">
        <f t="shared" si="1"/>
        <v>1.7999999999999972</v>
      </c>
      <c r="D99" s="7"/>
      <c r="E99">
        <v>145.4</v>
      </c>
    </row>
    <row r="100" spans="1:5" x14ac:dyDescent="0.35">
      <c r="A100" s="16">
        <v>41306</v>
      </c>
      <c r="B100" s="17">
        <v>54.3</v>
      </c>
      <c r="C100" s="28">
        <f t="shared" si="1"/>
        <v>-1.5</v>
      </c>
      <c r="D100" s="7"/>
      <c r="E100">
        <v>147.25</v>
      </c>
    </row>
    <row r="101" spans="1:5" x14ac:dyDescent="0.35">
      <c r="A101" s="16">
        <v>41334</v>
      </c>
      <c r="B101" s="17">
        <v>54.6</v>
      </c>
      <c r="C101" s="28">
        <f t="shared" si="1"/>
        <v>0.30000000000000426</v>
      </c>
      <c r="D101" s="7">
        <v>2.7E-2</v>
      </c>
      <c r="E101">
        <v>152.84</v>
      </c>
    </row>
    <row r="102" spans="1:5" x14ac:dyDescent="0.35">
      <c r="A102" s="16">
        <v>41365</v>
      </c>
      <c r="B102" s="17">
        <v>52.1</v>
      </c>
      <c r="C102" s="28">
        <f t="shared" si="1"/>
        <v>-2.5</v>
      </c>
      <c r="D102" s="7"/>
      <c r="E102">
        <v>155.78</v>
      </c>
    </row>
    <row r="103" spans="1:5" x14ac:dyDescent="0.35">
      <c r="A103" s="16">
        <v>41395</v>
      </c>
      <c r="B103" s="17">
        <v>52.3</v>
      </c>
      <c r="C103" s="28">
        <f t="shared" si="1"/>
        <v>0.19999999999999574</v>
      </c>
      <c r="D103" s="7"/>
      <c r="E103">
        <v>159.46</v>
      </c>
    </row>
    <row r="104" spans="1:5" x14ac:dyDescent="0.35">
      <c r="A104" s="16">
        <v>41426</v>
      </c>
      <c r="B104" s="17">
        <v>51.9</v>
      </c>
      <c r="C104" s="28">
        <f t="shared" si="1"/>
        <v>-0.39999999999999858</v>
      </c>
      <c r="D104" s="7">
        <v>1.7999999999999999E-2</v>
      </c>
      <c r="E104">
        <v>157.33000000000001</v>
      </c>
    </row>
    <row r="105" spans="1:5" x14ac:dyDescent="0.35">
      <c r="A105" s="16">
        <v>41456</v>
      </c>
      <c r="B105" s="17">
        <v>53.7</v>
      </c>
      <c r="C105" s="28">
        <f t="shared" si="1"/>
        <v>1.8000000000000043</v>
      </c>
      <c r="D105" s="7"/>
      <c r="E105">
        <v>165.46</v>
      </c>
    </row>
    <row r="106" spans="1:5" x14ac:dyDescent="0.35">
      <c r="A106" s="16">
        <v>41487</v>
      </c>
      <c r="B106" s="17">
        <v>53.7</v>
      </c>
      <c r="C106" s="28">
        <f t="shared" si="1"/>
        <v>0</v>
      </c>
      <c r="D106" s="7"/>
      <c r="E106">
        <v>160.5</v>
      </c>
    </row>
    <row r="107" spans="1:5" x14ac:dyDescent="0.35">
      <c r="A107" s="16">
        <v>41518</v>
      </c>
      <c r="B107" s="17">
        <v>52.8</v>
      </c>
      <c r="C107" s="28">
        <f t="shared" si="1"/>
        <v>-0.90000000000000568</v>
      </c>
      <c r="D107" s="7">
        <v>4.4999999999999998E-2</v>
      </c>
      <c r="E107">
        <v>165.58</v>
      </c>
    </row>
    <row r="108" spans="1:5" x14ac:dyDescent="0.35">
      <c r="A108" s="16">
        <v>41548</v>
      </c>
      <c r="B108" s="17">
        <v>51.8</v>
      </c>
      <c r="C108" s="28">
        <f t="shared" si="1"/>
        <v>-1</v>
      </c>
      <c r="D108" s="7"/>
      <c r="E108">
        <v>173.24</v>
      </c>
    </row>
    <row r="109" spans="1:5" x14ac:dyDescent="0.35">
      <c r="A109" s="16">
        <v>41579</v>
      </c>
      <c r="B109" s="17">
        <v>54.7</v>
      </c>
      <c r="C109" s="28">
        <f t="shared" si="1"/>
        <v>2.9000000000000057</v>
      </c>
      <c r="D109" s="7"/>
      <c r="E109">
        <v>178.38</v>
      </c>
    </row>
    <row r="110" spans="1:5" x14ac:dyDescent="0.35">
      <c r="A110" s="16">
        <v>41609</v>
      </c>
      <c r="B110" s="17">
        <v>55</v>
      </c>
      <c r="C110" s="28">
        <f t="shared" si="1"/>
        <v>0.29999999999999716</v>
      </c>
      <c r="D110" s="7">
        <v>3.5000000000000003E-2</v>
      </c>
      <c r="E110">
        <v>183</v>
      </c>
    </row>
    <row r="111" spans="1:5" x14ac:dyDescent="0.35">
      <c r="A111" s="16">
        <v>41640</v>
      </c>
      <c r="B111" s="17">
        <v>53.7</v>
      </c>
      <c r="C111" s="28">
        <f t="shared" si="1"/>
        <v>-1.2999999999999972</v>
      </c>
      <c r="D111" s="7"/>
      <c r="E111">
        <v>176.55</v>
      </c>
    </row>
    <row r="112" spans="1:5" x14ac:dyDescent="0.35">
      <c r="A112" s="16">
        <v>41671</v>
      </c>
      <c r="B112" s="17">
        <v>57.1</v>
      </c>
      <c r="C112" s="28">
        <f t="shared" si="1"/>
        <v>3.3999999999999986</v>
      </c>
      <c r="D112" s="7"/>
      <c r="E112">
        <v>184.59</v>
      </c>
    </row>
    <row r="113" spans="1:5" x14ac:dyDescent="0.35">
      <c r="A113" s="16">
        <v>41699</v>
      </c>
      <c r="B113" s="17">
        <v>55.5</v>
      </c>
      <c r="C113" s="28">
        <f t="shared" si="1"/>
        <v>-1.6000000000000014</v>
      </c>
      <c r="D113" s="7">
        <v>-2.1000000000000001E-2</v>
      </c>
      <c r="E113">
        <v>186.12</v>
      </c>
    </row>
    <row r="114" spans="1:5" x14ac:dyDescent="0.35">
      <c r="A114" s="16">
        <v>41730</v>
      </c>
      <c r="B114" s="17">
        <v>55.4</v>
      </c>
      <c r="C114" s="28">
        <f t="shared" si="1"/>
        <v>-0.10000000000000142</v>
      </c>
      <c r="D114" s="7"/>
      <c r="E114">
        <v>187.41</v>
      </c>
    </row>
    <row r="115" spans="1:5" x14ac:dyDescent="0.35">
      <c r="A115" s="16">
        <v>41760</v>
      </c>
      <c r="B115" s="17">
        <v>56.4</v>
      </c>
      <c r="C115" s="28">
        <f t="shared" ref="C115:C118" si="2">B115-B114</f>
        <v>1</v>
      </c>
      <c r="E115">
        <v>191.76</v>
      </c>
    </row>
    <row r="116" spans="1:5" x14ac:dyDescent="0.35">
      <c r="A116" s="16">
        <v>41791</v>
      </c>
      <c r="B116" s="17">
        <v>57.3</v>
      </c>
      <c r="C116" s="28">
        <f t="shared" si="2"/>
        <v>0.89999999999999858</v>
      </c>
      <c r="D116" s="50">
        <v>4.5999999999999999E-2</v>
      </c>
      <c r="E116">
        <v>195.72</v>
      </c>
    </row>
    <row r="117" spans="1:5" x14ac:dyDescent="0.35">
      <c r="A117" s="16">
        <v>41821</v>
      </c>
      <c r="B117" s="17">
        <v>55.8</v>
      </c>
      <c r="C117" s="28">
        <f t="shared" si="2"/>
        <v>-1.5</v>
      </c>
      <c r="E117">
        <v>193.09</v>
      </c>
    </row>
    <row r="118" spans="1:5" x14ac:dyDescent="0.35">
      <c r="A118" s="16">
        <v>41852</v>
      </c>
      <c r="B118" s="17">
        <v>57.9</v>
      </c>
      <c r="C118" s="28">
        <f t="shared" si="2"/>
        <v>2.1000000000000014</v>
      </c>
      <c r="E118">
        <v>199.19</v>
      </c>
    </row>
    <row r="119" spans="1:5" x14ac:dyDescent="0.35">
      <c r="A119" s="16">
        <v>41883</v>
      </c>
      <c r="B119" s="17">
        <v>57.5</v>
      </c>
      <c r="C119" s="28">
        <f>IFERROR(B119-B118,"")</f>
        <v>-0.39999999999999858</v>
      </c>
      <c r="D119" s="7">
        <f>IF(VLOOKUP(I85,Data!$O$51:$V$152,7,FALSE)=A118,VLOOKUP(I85,Data!$O$51:$V$152,2,FALSE)/100,"")</f>
        <v>3.9E-2</v>
      </c>
      <c r="E119">
        <v>197.02</v>
      </c>
    </row>
    <row r="120" spans="1:5" x14ac:dyDescent="0.35">
      <c r="A120" s="16">
        <v>41913</v>
      </c>
      <c r="B120" s="17">
        <v>55.9</v>
      </c>
      <c r="C120" s="28">
        <v>-1.6000000000000014</v>
      </c>
      <c r="E120">
        <v>201.66</v>
      </c>
    </row>
    <row r="121" spans="1:5" x14ac:dyDescent="0.35">
      <c r="A121" s="16">
        <v>41944</v>
      </c>
      <c r="B121" s="17">
        <f>IF(A121=Data!$C$1,VLOOKUP($H$85,Data!$A$2:$C$36,3,FALSE),"N/A")</f>
        <v>54.8</v>
      </c>
      <c r="C121" s="28">
        <f t="shared" ref="C121" si="3">B121-B120</f>
        <v>-1.1000000000000014</v>
      </c>
      <c r="E121">
        <v>207.2</v>
      </c>
    </row>
    <row r="122" spans="1:5" x14ac:dyDescent="0.35">
      <c r="A122" s="105">
        <v>41974</v>
      </c>
      <c r="B122" s="17"/>
      <c r="C122" s="28"/>
    </row>
    <row r="123" spans="1:5" x14ac:dyDescent="0.35">
      <c r="A123" s="105">
        <v>42005</v>
      </c>
      <c r="B123" s="17"/>
      <c r="C123" s="28"/>
    </row>
    <row r="124" spans="1:5" x14ac:dyDescent="0.35">
      <c r="A124" s="105">
        <v>42036</v>
      </c>
      <c r="B124" s="17"/>
      <c r="C124" s="28"/>
    </row>
    <row r="125" spans="1:5" x14ac:dyDescent="0.35">
      <c r="A125" s="105">
        <v>42064</v>
      </c>
      <c r="B125" s="17"/>
      <c r="C125" s="28"/>
    </row>
    <row r="126" spans="1:5" x14ac:dyDescent="0.35">
      <c r="A126" s="105">
        <v>42095</v>
      </c>
      <c r="B126" s="17"/>
      <c r="C126" s="28"/>
    </row>
    <row r="127" spans="1:5" x14ac:dyDescent="0.35">
      <c r="A127" s="105">
        <v>42125</v>
      </c>
      <c r="B127" s="17"/>
      <c r="C127" s="28"/>
    </row>
    <row r="128" spans="1:5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55.1</v>
      </c>
      <c r="C155" s="107"/>
      <c r="E155" t="s">
        <v>324</v>
      </c>
    </row>
    <row r="156" spans="1:5" x14ac:dyDescent="0.35">
      <c r="A156" s="122">
        <v>46174</v>
      </c>
      <c r="B156" s="91">
        <v>53.9</v>
      </c>
      <c r="C156" s="107">
        <v>-1.2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77:I156"/>
  <sheetViews>
    <sheetView topLeftCell="A76" zoomScale="70" zoomScaleNormal="70" workbookViewId="0">
      <pane ySplit="2" topLeftCell="A99" activePane="bottomLeft" state="frozen"/>
      <selection activeCell="D119" sqref="D119"/>
      <selection pane="bottomLeft" activeCell="B115" sqref="B115"/>
    </sheetView>
  </sheetViews>
  <sheetFormatPr defaultRowHeight="14.5" x14ac:dyDescent="0.35"/>
  <cols>
    <col min="1" max="1" width="11.453125" style="13" bestFit="1" customWidth="1"/>
    <col min="2" max="2" width="17" style="13" customWidth="1"/>
    <col min="3" max="3" width="12.36328125" style="26" customWidth="1"/>
    <col min="4" max="4" width="30.90625" customWidth="1"/>
    <col min="5" max="5" width="13.453125" customWidth="1"/>
  </cols>
  <sheetData>
    <row r="77" spans="1:5" x14ac:dyDescent="0.35">
      <c r="A77" s="13" t="s">
        <v>0</v>
      </c>
      <c r="B77" s="13" t="s">
        <v>7</v>
      </c>
      <c r="C77" s="26" t="s">
        <v>5</v>
      </c>
      <c r="D77" t="s">
        <v>54</v>
      </c>
      <c r="E77" t="s">
        <v>125</v>
      </c>
    </row>
    <row r="78" spans="1:5" x14ac:dyDescent="0.35">
      <c r="A78" s="15">
        <v>40634</v>
      </c>
      <c r="B78" s="6">
        <v>56.3</v>
      </c>
      <c r="C78" s="27"/>
      <c r="D78" s="5"/>
      <c r="E78">
        <v>31.27</v>
      </c>
    </row>
    <row r="79" spans="1:5" x14ac:dyDescent="0.35">
      <c r="A79" s="15">
        <v>40664</v>
      </c>
      <c r="B79" s="6">
        <v>54.8</v>
      </c>
      <c r="C79" s="27">
        <f t="shared" ref="C79:C87" si="0">B79-B78</f>
        <v>-1.5</v>
      </c>
      <c r="D79" s="5"/>
      <c r="E79">
        <v>30.53</v>
      </c>
    </row>
    <row r="80" spans="1:5" x14ac:dyDescent="0.35">
      <c r="A80" s="15">
        <v>40695</v>
      </c>
      <c r="B80" s="6">
        <v>52.8</v>
      </c>
      <c r="C80" s="27">
        <f t="shared" si="0"/>
        <v>-2</v>
      </c>
      <c r="D80" s="5">
        <v>-1E-3</v>
      </c>
      <c r="E80">
        <v>29.58</v>
      </c>
    </row>
    <row r="81" spans="1:9" x14ac:dyDescent="0.35">
      <c r="A81" s="15">
        <v>40725</v>
      </c>
      <c r="B81" s="6">
        <v>53.1</v>
      </c>
      <c r="C81" s="27">
        <f t="shared" si="0"/>
        <v>0.30000000000000426</v>
      </c>
      <c r="D81" s="5"/>
      <c r="E81">
        <v>28.9</v>
      </c>
    </row>
    <row r="82" spans="1:9" x14ac:dyDescent="0.35">
      <c r="A82" s="15">
        <v>40756</v>
      </c>
      <c r="B82" s="6">
        <v>54.9</v>
      </c>
      <c r="C82" s="27">
        <f t="shared" si="0"/>
        <v>1.7999999999999972</v>
      </c>
      <c r="D82" s="5"/>
      <c r="E82">
        <v>27.92</v>
      </c>
    </row>
    <row r="83" spans="1:9" x14ac:dyDescent="0.35">
      <c r="A83" s="15">
        <v>40787</v>
      </c>
      <c r="B83" s="6">
        <v>55</v>
      </c>
      <c r="C83" s="27">
        <f t="shared" si="0"/>
        <v>0.10000000000000142</v>
      </c>
      <c r="D83" s="5">
        <v>1.4E-2</v>
      </c>
      <c r="E83">
        <v>23.81</v>
      </c>
    </row>
    <row r="84" spans="1:9" x14ac:dyDescent="0.35">
      <c r="A84" s="15">
        <v>40817</v>
      </c>
      <c r="B84" s="6">
        <v>53.7</v>
      </c>
      <c r="C84" s="27">
        <f t="shared" si="0"/>
        <v>-1.2999999999999972</v>
      </c>
      <c r="D84" s="5"/>
      <c r="E84">
        <v>26.38</v>
      </c>
    </row>
    <row r="85" spans="1:9" x14ac:dyDescent="0.35">
      <c r="A85" s="15">
        <v>40848</v>
      </c>
      <c r="B85" s="6">
        <v>53.3</v>
      </c>
      <c r="C85" s="27">
        <f t="shared" si="0"/>
        <v>-0.40000000000000568</v>
      </c>
      <c r="D85" s="5"/>
      <c r="E85">
        <v>25.65</v>
      </c>
      <c r="H85" s="64" t="s">
        <v>101</v>
      </c>
      <c r="I85" t="s">
        <v>35</v>
      </c>
    </row>
    <row r="86" spans="1:9" x14ac:dyDescent="0.35">
      <c r="A86" s="15">
        <v>40878</v>
      </c>
      <c r="B86" s="6">
        <v>54</v>
      </c>
      <c r="C86" s="27">
        <f t="shared" si="0"/>
        <v>0.70000000000000284</v>
      </c>
      <c r="D86" s="5">
        <v>5.0000000000000001E-3</v>
      </c>
      <c r="E86">
        <v>25.2</v>
      </c>
    </row>
    <row r="87" spans="1:9" x14ac:dyDescent="0.35">
      <c r="A87" s="16">
        <v>40909</v>
      </c>
      <c r="B87" s="17">
        <v>50.6</v>
      </c>
      <c r="C87" s="28">
        <f t="shared" si="0"/>
        <v>-3.3999999999999986</v>
      </c>
      <c r="D87" s="5"/>
      <c r="E87">
        <v>26.63</v>
      </c>
    </row>
    <row r="88" spans="1:9" x14ac:dyDescent="0.35">
      <c r="A88" s="16">
        <v>40940</v>
      </c>
      <c r="B88" s="17">
        <v>51.8</v>
      </c>
      <c r="C88" s="28">
        <f>B88-B87</f>
        <v>1.1999999999999957</v>
      </c>
      <c r="D88" s="5"/>
      <c r="E88">
        <v>27.49</v>
      </c>
    </row>
    <row r="89" spans="1:9" x14ac:dyDescent="0.35">
      <c r="A89" s="16">
        <v>40969</v>
      </c>
      <c r="B89" s="17">
        <v>52.4</v>
      </c>
      <c r="C89" s="28">
        <f t="shared" ref="C89:C114" si="1">B89-B88</f>
        <v>0.60000000000000142</v>
      </c>
      <c r="D89" s="5">
        <v>2E-3</v>
      </c>
      <c r="E89">
        <v>26.84</v>
      </c>
    </row>
    <row r="90" spans="1:9" x14ac:dyDescent="0.35">
      <c r="A90" s="16">
        <v>41000</v>
      </c>
      <c r="B90" s="17">
        <v>53.3</v>
      </c>
      <c r="C90" s="28">
        <f t="shared" si="1"/>
        <v>0.89999999999999858</v>
      </c>
      <c r="D90" s="5"/>
      <c r="E90">
        <v>26.86</v>
      </c>
    </row>
    <row r="91" spans="1:9" x14ac:dyDescent="0.35">
      <c r="A91" s="16">
        <v>41030</v>
      </c>
      <c r="B91" s="17">
        <v>54.7</v>
      </c>
      <c r="C91" s="28">
        <f t="shared" si="1"/>
        <v>1.4000000000000057</v>
      </c>
      <c r="D91" s="5"/>
      <c r="E91">
        <v>23.98</v>
      </c>
    </row>
    <row r="92" spans="1:9" x14ac:dyDescent="0.35">
      <c r="A92" s="16">
        <v>41061</v>
      </c>
      <c r="B92" s="17">
        <v>54.8</v>
      </c>
      <c r="C92" s="28">
        <f t="shared" si="1"/>
        <v>9.9999999999994316E-2</v>
      </c>
      <c r="D92" s="5">
        <v>4.0000000000000001E-3</v>
      </c>
      <c r="E92">
        <v>24.68</v>
      </c>
    </row>
    <row r="93" spans="1:9" x14ac:dyDescent="0.35">
      <c r="A93" s="16">
        <v>41091</v>
      </c>
      <c r="B93" s="17">
        <v>53</v>
      </c>
      <c r="C93" s="28">
        <f t="shared" si="1"/>
        <v>-1.7999999999999972</v>
      </c>
      <c r="D93" s="5"/>
      <c r="E93">
        <v>25.11</v>
      </c>
    </row>
    <row r="94" spans="1:9" x14ac:dyDescent="0.35">
      <c r="A94" s="16">
        <v>41122</v>
      </c>
      <c r="B94" s="17">
        <v>53</v>
      </c>
      <c r="C94" s="28">
        <f t="shared" si="1"/>
        <v>0</v>
      </c>
      <c r="D94" s="5"/>
      <c r="E94">
        <v>26.26</v>
      </c>
    </row>
    <row r="95" spans="1:9" x14ac:dyDescent="0.35">
      <c r="A95" s="16">
        <v>41153</v>
      </c>
      <c r="B95" s="17">
        <v>52.4</v>
      </c>
      <c r="C95" s="28">
        <f t="shared" si="1"/>
        <v>-0.60000000000000142</v>
      </c>
      <c r="D95" s="5">
        <v>2E-3</v>
      </c>
      <c r="E95">
        <v>27.21</v>
      </c>
    </row>
    <row r="96" spans="1:9" x14ac:dyDescent="0.35">
      <c r="A96" s="16">
        <v>41183</v>
      </c>
      <c r="B96" s="17">
        <v>51.4</v>
      </c>
      <c r="C96" s="28">
        <f t="shared" si="1"/>
        <v>-1</v>
      </c>
      <c r="D96" s="5"/>
      <c r="E96">
        <v>27.21</v>
      </c>
    </row>
    <row r="97" spans="1:5" x14ac:dyDescent="0.35">
      <c r="A97" s="16">
        <v>41214</v>
      </c>
      <c r="B97" s="17">
        <v>50.4</v>
      </c>
      <c r="C97" s="28">
        <f t="shared" si="1"/>
        <v>-1</v>
      </c>
      <c r="D97" s="5"/>
      <c r="E97">
        <v>26.85</v>
      </c>
    </row>
    <row r="98" spans="1:5" x14ac:dyDescent="0.35">
      <c r="A98" s="16">
        <v>41244</v>
      </c>
      <c r="B98" s="17">
        <v>50.4</v>
      </c>
      <c r="C98" s="28">
        <f t="shared" si="1"/>
        <v>0</v>
      </c>
      <c r="D98" s="5">
        <v>2E-3</v>
      </c>
      <c r="E98">
        <v>27.49</v>
      </c>
    </row>
    <row r="99" spans="1:5" x14ac:dyDescent="0.35">
      <c r="A99" s="16">
        <v>41275</v>
      </c>
      <c r="B99" s="17">
        <v>50.5</v>
      </c>
      <c r="C99" s="28">
        <f t="shared" si="1"/>
        <v>0.10000000000000142</v>
      </c>
      <c r="D99" s="5"/>
      <c r="E99">
        <v>27.94</v>
      </c>
    </row>
    <row r="100" spans="1:5" x14ac:dyDescent="0.35">
      <c r="A100" s="16">
        <v>41306</v>
      </c>
      <c r="B100" s="17">
        <v>51.7</v>
      </c>
      <c r="C100" s="28">
        <f t="shared" si="1"/>
        <v>1.2000000000000028</v>
      </c>
      <c r="D100" s="5"/>
      <c r="E100">
        <v>27.31</v>
      </c>
    </row>
    <row r="101" spans="1:5" x14ac:dyDescent="0.35">
      <c r="A101" s="16">
        <v>41334</v>
      </c>
      <c r="B101" s="17">
        <v>49.3</v>
      </c>
      <c r="C101" s="28">
        <f t="shared" si="1"/>
        <v>-2.4000000000000057</v>
      </c>
      <c r="D101" s="5">
        <v>8.9999999999999993E-3</v>
      </c>
      <c r="E101">
        <v>27.59</v>
      </c>
    </row>
    <row r="102" spans="1:5" x14ac:dyDescent="0.35">
      <c r="A102" s="16">
        <v>41365</v>
      </c>
      <c r="B102" s="17">
        <v>50.1</v>
      </c>
      <c r="C102" s="28">
        <f t="shared" si="1"/>
        <v>0.80000000000000426</v>
      </c>
      <c r="D102" s="5"/>
      <c r="E102">
        <v>27.12</v>
      </c>
    </row>
    <row r="103" spans="1:5" x14ac:dyDescent="0.35">
      <c r="A103" s="16">
        <v>41395</v>
      </c>
      <c r="B103" s="17">
        <v>53.2</v>
      </c>
      <c r="C103" s="28">
        <f t="shared" si="1"/>
        <v>3.1000000000000014</v>
      </c>
      <c r="D103" s="5"/>
      <c r="E103">
        <v>26.84</v>
      </c>
    </row>
    <row r="104" spans="1:5" x14ac:dyDescent="0.35">
      <c r="A104" s="16">
        <v>41426</v>
      </c>
      <c r="B104" s="17">
        <v>52.4</v>
      </c>
      <c r="C104" s="28">
        <f t="shared" si="1"/>
        <v>-0.80000000000000426</v>
      </c>
      <c r="D104" s="5">
        <v>5.0000000000000001E-3</v>
      </c>
      <c r="E104">
        <v>25.6</v>
      </c>
    </row>
    <row r="105" spans="1:5" x14ac:dyDescent="0.35">
      <c r="A105" s="16">
        <v>41456</v>
      </c>
      <c r="B105" s="17">
        <v>52</v>
      </c>
      <c r="C105" s="28">
        <f t="shared" si="1"/>
        <v>-0.39999999999999858</v>
      </c>
      <c r="D105" s="5"/>
      <c r="E105">
        <v>27.05</v>
      </c>
    </row>
    <row r="106" spans="1:5" x14ac:dyDescent="0.35">
      <c r="A106" s="16">
        <v>41487</v>
      </c>
      <c r="B106" s="17">
        <v>52.1</v>
      </c>
      <c r="C106" s="28">
        <f t="shared" si="1"/>
        <v>0.10000000000000142</v>
      </c>
      <c r="D106" s="5"/>
      <c r="E106">
        <v>26.82</v>
      </c>
    </row>
    <row r="107" spans="1:5" x14ac:dyDescent="0.35">
      <c r="A107" s="16">
        <v>41518</v>
      </c>
      <c r="B107" s="17">
        <v>54.2</v>
      </c>
      <c r="C107" s="28">
        <f t="shared" si="1"/>
        <v>2.1000000000000014</v>
      </c>
      <c r="D107" s="5">
        <v>7.0000000000000001E-3</v>
      </c>
      <c r="E107">
        <v>27.72</v>
      </c>
    </row>
    <row r="108" spans="1:5" x14ac:dyDescent="0.35">
      <c r="A108" s="16">
        <v>41548</v>
      </c>
      <c r="B108" s="17">
        <v>55.6</v>
      </c>
      <c r="C108" s="28">
        <f t="shared" si="1"/>
        <v>1.3999999999999986</v>
      </c>
      <c r="D108" s="5"/>
      <c r="E108">
        <v>28.75</v>
      </c>
    </row>
    <row r="109" spans="1:5" x14ac:dyDescent="0.35">
      <c r="A109" s="16">
        <v>41579</v>
      </c>
      <c r="B109" s="17">
        <v>55.3</v>
      </c>
      <c r="C109" s="28">
        <f t="shared" si="1"/>
        <v>-0.30000000000000426</v>
      </c>
      <c r="D109" s="5"/>
      <c r="E109">
        <v>28.48</v>
      </c>
    </row>
    <row r="110" spans="1:5" x14ac:dyDescent="0.35">
      <c r="A110" s="16">
        <v>41609</v>
      </c>
      <c r="B110" s="17">
        <v>53.5</v>
      </c>
      <c r="C110" s="28">
        <f t="shared" si="1"/>
        <v>-1.7999999999999972</v>
      </c>
      <c r="D110" s="5">
        <v>7.0000000000000001E-3</v>
      </c>
      <c r="E110">
        <v>28.94</v>
      </c>
    </row>
    <row r="111" spans="1:5" x14ac:dyDescent="0.35">
      <c r="A111" s="16">
        <v>41640</v>
      </c>
      <c r="B111" s="18">
        <v>51.7</v>
      </c>
      <c r="C111" s="28">
        <f t="shared" si="1"/>
        <v>-1.7999999999999972</v>
      </c>
      <c r="E111">
        <v>27.72</v>
      </c>
    </row>
    <row r="112" spans="1:5" x14ac:dyDescent="0.35">
      <c r="A112" s="16">
        <v>41671</v>
      </c>
      <c r="B112" s="18">
        <v>52.9</v>
      </c>
      <c r="C112" s="28">
        <f t="shared" si="1"/>
        <v>1.1999999999999957</v>
      </c>
      <c r="E112">
        <v>28.96</v>
      </c>
    </row>
    <row r="113" spans="1:5" x14ac:dyDescent="0.35">
      <c r="A113" s="16">
        <v>41699</v>
      </c>
      <c r="B113" s="18">
        <v>53.3</v>
      </c>
      <c r="C113" s="28">
        <f t="shared" si="1"/>
        <v>0.39999999999999858</v>
      </c>
      <c r="D113" s="7">
        <v>3.0000000000000001E-3</v>
      </c>
      <c r="E113">
        <v>29.33</v>
      </c>
    </row>
    <row r="114" spans="1:5" x14ac:dyDescent="0.35">
      <c r="A114" s="16">
        <v>41730</v>
      </c>
      <c r="B114" s="18">
        <v>52.9</v>
      </c>
      <c r="C114" s="28">
        <f t="shared" si="1"/>
        <v>-0.39999999999999858</v>
      </c>
      <c r="E114">
        <v>30.31</v>
      </c>
    </row>
    <row r="115" spans="1:5" x14ac:dyDescent="0.35">
      <c r="A115" s="16">
        <v>41760</v>
      </c>
      <c r="B115" s="17">
        <v>52.2</v>
      </c>
      <c r="C115" s="28">
        <f t="shared" ref="C115:C118" si="2">B115-B114</f>
        <v>-0.69999999999999574</v>
      </c>
      <c r="E115">
        <v>30.47</v>
      </c>
    </row>
    <row r="116" spans="1:5" x14ac:dyDescent="0.35">
      <c r="A116" s="16">
        <v>41791</v>
      </c>
      <c r="B116" s="17">
        <v>53.5</v>
      </c>
      <c r="C116" s="28">
        <f t="shared" si="2"/>
        <v>1.2999999999999972</v>
      </c>
      <c r="D116" s="7">
        <v>8.0000000000000002E-3</v>
      </c>
      <c r="E116">
        <v>32.21</v>
      </c>
    </row>
    <row r="117" spans="1:5" x14ac:dyDescent="0.35">
      <c r="A117" s="16">
        <v>41821</v>
      </c>
      <c r="B117" s="17">
        <v>54.3</v>
      </c>
      <c r="C117" s="28">
        <f t="shared" si="2"/>
        <v>0.79999999999999716</v>
      </c>
      <c r="D117" s="7"/>
      <c r="E117">
        <v>32.159999999999997</v>
      </c>
    </row>
    <row r="118" spans="1:5" x14ac:dyDescent="0.35">
      <c r="A118" s="16">
        <v>41852</v>
      </c>
      <c r="B118" s="18">
        <v>54.8</v>
      </c>
      <c r="C118" s="28">
        <f t="shared" si="2"/>
        <v>0.5</v>
      </c>
      <c r="D118" s="7"/>
      <c r="E118">
        <v>32.44</v>
      </c>
    </row>
    <row r="119" spans="1:5" x14ac:dyDescent="0.35">
      <c r="A119" s="16">
        <v>41883</v>
      </c>
      <c r="B119" s="17">
        <v>53.5</v>
      </c>
      <c r="C119" s="28">
        <f>IFERROR(B119-B118,"")</f>
        <v>-1.2999999999999972</v>
      </c>
      <c r="D119" s="7">
        <f>IF(VLOOKUP(I85,Data!$O$51:$V$152,7,FALSE)=A118,VLOOKUP(I85,Data!$O$51:$V$152,2,FALSE)/100,"")</f>
        <v>6.9999999999999993E-3</v>
      </c>
      <c r="E119">
        <v>30.69</v>
      </c>
    </row>
    <row r="120" spans="1:5" x14ac:dyDescent="0.35">
      <c r="A120" s="16">
        <v>41913</v>
      </c>
      <c r="B120" s="17">
        <v>55.3</v>
      </c>
      <c r="C120" s="28">
        <v>1.7999999999999972</v>
      </c>
      <c r="D120" s="7"/>
      <c r="E120">
        <v>29.92</v>
      </c>
    </row>
    <row r="121" spans="1:5" x14ac:dyDescent="0.35">
      <c r="A121" s="16">
        <v>41944</v>
      </c>
      <c r="B121" s="17">
        <f>IF(A121=Data!$C$1,VLOOKUP($H$85,Data!$A$2:$C$36,3,FALSE),"N/A")</f>
        <v>55.3</v>
      </c>
      <c r="C121" s="28">
        <f t="shared" ref="C121" si="3">B121-B120</f>
        <v>0</v>
      </c>
      <c r="D121" s="7"/>
      <c r="E121">
        <v>29.94</v>
      </c>
    </row>
    <row r="122" spans="1:5" x14ac:dyDescent="0.35">
      <c r="A122" s="105">
        <v>41974</v>
      </c>
      <c r="B122" s="17"/>
      <c r="C122" s="28"/>
    </row>
    <row r="123" spans="1:5" x14ac:dyDescent="0.35">
      <c r="A123" s="105">
        <v>42005</v>
      </c>
      <c r="B123" s="17"/>
      <c r="C123" s="28"/>
    </row>
    <row r="124" spans="1:5" x14ac:dyDescent="0.35">
      <c r="A124" s="105">
        <v>42036</v>
      </c>
      <c r="B124" s="17"/>
      <c r="C124" s="28"/>
    </row>
    <row r="125" spans="1:5" x14ac:dyDescent="0.35">
      <c r="A125" s="105">
        <v>42064</v>
      </c>
      <c r="B125" s="17"/>
      <c r="C125" s="28"/>
    </row>
    <row r="126" spans="1:5" x14ac:dyDescent="0.35">
      <c r="A126" s="105">
        <v>42095</v>
      </c>
      <c r="B126" s="17"/>
      <c r="C126" s="28"/>
    </row>
    <row r="127" spans="1:5" x14ac:dyDescent="0.35">
      <c r="A127" s="105">
        <v>42125</v>
      </c>
      <c r="B127" s="17"/>
      <c r="C127" s="28"/>
    </row>
    <row r="128" spans="1:5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52.9</v>
      </c>
      <c r="C155" s="107"/>
      <c r="E155" t="s">
        <v>324</v>
      </c>
    </row>
    <row r="156" spans="1:5" x14ac:dyDescent="0.35">
      <c r="A156" s="122">
        <v>46174</v>
      </c>
      <c r="B156" s="91">
        <v>53</v>
      </c>
      <c r="C156" s="107">
        <v>0.1</v>
      </c>
    </row>
  </sheetData>
  <conditionalFormatting sqref="B78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9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J156"/>
  <sheetViews>
    <sheetView zoomScale="70" zoomScaleNormal="70" workbookViewId="0">
      <pane ySplit="1" topLeftCell="A107" activePane="bottomLeft" state="frozen"/>
      <selection activeCell="D119" sqref="D119"/>
      <selection pane="bottomLeft" activeCell="B103" sqref="B103"/>
    </sheetView>
  </sheetViews>
  <sheetFormatPr defaultRowHeight="14.5" x14ac:dyDescent="0.35"/>
  <cols>
    <col min="1" max="1" width="9.6328125" style="13" customWidth="1"/>
    <col min="2" max="2" width="11.453125" style="13" customWidth="1"/>
    <col min="3" max="3" width="12.36328125" style="26" customWidth="1"/>
    <col min="4" max="4" width="24.90625" customWidth="1"/>
    <col min="5" max="5" width="11" customWidth="1"/>
  </cols>
  <sheetData>
    <row r="1" spans="1:10" x14ac:dyDescent="0.35">
      <c r="A1" s="13" t="s">
        <v>0</v>
      </c>
      <c r="B1" s="13" t="s">
        <v>1</v>
      </c>
      <c r="C1" s="26" t="s">
        <v>5</v>
      </c>
      <c r="D1" t="s">
        <v>311</v>
      </c>
      <c r="E1" t="s">
        <v>51</v>
      </c>
    </row>
    <row r="2" spans="1:10" x14ac:dyDescent="0.35">
      <c r="A2" s="21">
        <v>38322</v>
      </c>
      <c r="B2" s="6">
        <v>53.7</v>
      </c>
      <c r="D2" s="5">
        <f>J8</f>
        <v>6.9999999999999993E-3</v>
      </c>
      <c r="E2">
        <v>110.4</v>
      </c>
    </row>
    <row r="3" spans="1:10" x14ac:dyDescent="0.35">
      <c r="A3" s="21">
        <v>38353</v>
      </c>
      <c r="B3" s="6">
        <v>51.8</v>
      </c>
      <c r="C3" s="27">
        <f>B3-B2</f>
        <v>-1.9000000000000057</v>
      </c>
      <c r="E3">
        <v>109.8</v>
      </c>
    </row>
    <row r="4" spans="1:10" x14ac:dyDescent="0.35">
      <c r="A4" s="21">
        <v>38384</v>
      </c>
      <c r="B4" s="6">
        <v>51.8</v>
      </c>
      <c r="C4" s="27">
        <f t="shared" ref="C4:C67" si="0">B4-B3</f>
        <v>0</v>
      </c>
      <c r="E4">
        <v>109.8</v>
      </c>
    </row>
    <row r="5" spans="1:10" x14ac:dyDescent="0.35">
      <c r="A5" s="21">
        <v>38412</v>
      </c>
      <c r="B5" s="6">
        <v>52</v>
      </c>
      <c r="C5" s="27">
        <f t="shared" si="0"/>
        <v>0.20000000000000284</v>
      </c>
      <c r="D5" s="5">
        <f>J9</f>
        <v>8.0000000000000002E-3</v>
      </c>
      <c r="E5">
        <v>105.4</v>
      </c>
    </row>
    <row r="6" spans="1:10" x14ac:dyDescent="0.35">
      <c r="A6" s="21">
        <v>38443</v>
      </c>
      <c r="B6" s="6">
        <v>49.5</v>
      </c>
      <c r="C6" s="27">
        <f t="shared" si="0"/>
        <v>-2.5</v>
      </c>
      <c r="E6">
        <v>102.8</v>
      </c>
    </row>
    <row r="7" spans="1:10" x14ac:dyDescent="0.35">
      <c r="A7" s="21">
        <v>38473</v>
      </c>
      <c r="B7" s="6">
        <v>47.3</v>
      </c>
      <c r="C7" s="27">
        <f t="shared" si="0"/>
        <v>-2.2000000000000028</v>
      </c>
      <c r="E7">
        <v>100.8</v>
      </c>
    </row>
    <row r="8" spans="1:10" x14ac:dyDescent="0.35">
      <c r="A8" s="21">
        <v>38504</v>
      </c>
      <c r="B8" s="6">
        <v>49.6</v>
      </c>
      <c r="C8" s="27">
        <f t="shared" si="0"/>
        <v>2.3000000000000043</v>
      </c>
      <c r="D8" s="5">
        <f>J10</f>
        <v>1.3000000000000001E-2</v>
      </c>
      <c r="E8">
        <v>96.3</v>
      </c>
      <c r="I8" s="4">
        <v>0.7</v>
      </c>
      <c r="J8" s="5">
        <f>I8/100</f>
        <v>6.9999999999999993E-3</v>
      </c>
    </row>
    <row r="9" spans="1:10" x14ac:dyDescent="0.35">
      <c r="A9" s="21">
        <v>38534</v>
      </c>
      <c r="B9" s="6">
        <v>49.2</v>
      </c>
      <c r="C9" s="27">
        <f t="shared" si="0"/>
        <v>-0.39999999999999858</v>
      </c>
      <c r="E9">
        <v>101.7</v>
      </c>
      <c r="I9" s="4">
        <v>0.8</v>
      </c>
      <c r="J9" s="5">
        <f t="shared" ref="J9:J44" si="1">I9/100</f>
        <v>8.0000000000000002E-3</v>
      </c>
    </row>
    <row r="10" spans="1:10" x14ac:dyDescent="0.35">
      <c r="A10" s="21">
        <v>38565</v>
      </c>
      <c r="B10" s="6">
        <v>50.1</v>
      </c>
      <c r="C10" s="27">
        <f t="shared" si="0"/>
        <v>0.89999999999999858</v>
      </c>
      <c r="E10">
        <v>98</v>
      </c>
      <c r="I10" s="4">
        <v>1.3</v>
      </c>
      <c r="J10" s="5">
        <f t="shared" si="1"/>
        <v>1.3000000000000001E-2</v>
      </c>
    </row>
    <row r="11" spans="1:10" x14ac:dyDescent="0.35">
      <c r="A11" s="21">
        <v>38596</v>
      </c>
      <c r="B11" s="6">
        <v>51.5</v>
      </c>
      <c r="C11" s="27">
        <f t="shared" si="0"/>
        <v>1.3999999999999986</v>
      </c>
      <c r="D11" s="5">
        <f>J11</f>
        <v>0.01</v>
      </c>
      <c r="E11">
        <v>102</v>
      </c>
      <c r="I11" s="4">
        <v>1</v>
      </c>
      <c r="J11" s="5">
        <f t="shared" si="1"/>
        <v>0.01</v>
      </c>
    </row>
    <row r="12" spans="1:10" x14ac:dyDescent="0.35">
      <c r="A12" s="21">
        <v>38626</v>
      </c>
      <c r="B12" s="6">
        <v>51.7</v>
      </c>
      <c r="C12" s="27">
        <f t="shared" si="0"/>
        <v>0.20000000000000284</v>
      </c>
      <c r="E12">
        <v>101.5</v>
      </c>
      <c r="I12" s="4">
        <v>1.3</v>
      </c>
      <c r="J12" s="5">
        <f t="shared" si="1"/>
        <v>1.3000000000000001E-2</v>
      </c>
    </row>
    <row r="13" spans="1:10" x14ac:dyDescent="0.35">
      <c r="A13" s="21">
        <v>38657</v>
      </c>
      <c r="B13" s="6">
        <v>51</v>
      </c>
      <c r="C13" s="27">
        <f t="shared" si="0"/>
        <v>-0.70000000000000284</v>
      </c>
      <c r="E13">
        <v>98.4</v>
      </c>
      <c r="I13" s="4">
        <v>0.4</v>
      </c>
      <c r="J13" s="5">
        <f t="shared" si="1"/>
        <v>4.0000000000000001E-3</v>
      </c>
    </row>
    <row r="14" spans="1:10" x14ac:dyDescent="0.35">
      <c r="A14" s="21">
        <v>38687</v>
      </c>
      <c r="B14" s="6">
        <v>51.1</v>
      </c>
      <c r="C14" s="27">
        <f t="shared" si="0"/>
        <v>0.10000000000000142</v>
      </c>
      <c r="D14" s="5">
        <f>J12</f>
        <v>1.3000000000000001E-2</v>
      </c>
      <c r="E14">
        <v>97.5</v>
      </c>
      <c r="I14" s="4">
        <v>0.3</v>
      </c>
      <c r="J14" s="5">
        <f t="shared" si="1"/>
        <v>3.0000000000000001E-3</v>
      </c>
    </row>
    <row r="15" spans="1:10" x14ac:dyDescent="0.35">
      <c r="A15" s="21">
        <v>38718</v>
      </c>
      <c r="B15" s="6">
        <v>51.7</v>
      </c>
      <c r="C15" s="27">
        <f t="shared" si="0"/>
        <v>0.60000000000000142</v>
      </c>
      <c r="E15">
        <v>95.9</v>
      </c>
      <c r="I15" s="4">
        <v>0.2</v>
      </c>
      <c r="J15" s="5">
        <f t="shared" si="1"/>
        <v>2E-3</v>
      </c>
    </row>
    <row r="16" spans="1:10" x14ac:dyDescent="0.35">
      <c r="A16" s="21">
        <v>38749</v>
      </c>
      <c r="B16" s="6">
        <v>51.7</v>
      </c>
      <c r="C16" s="27">
        <f t="shared" si="0"/>
        <v>0</v>
      </c>
      <c r="E16">
        <v>103.5</v>
      </c>
      <c r="I16" s="4">
        <v>0.8</v>
      </c>
      <c r="J16" s="5">
        <f t="shared" si="1"/>
        <v>8.0000000000000002E-3</v>
      </c>
    </row>
    <row r="17" spans="1:10" x14ac:dyDescent="0.35">
      <c r="A17" s="21">
        <v>38777</v>
      </c>
      <c r="B17" s="6">
        <v>50.8</v>
      </c>
      <c r="C17" s="27">
        <f t="shared" si="0"/>
        <v>-0.90000000000000568</v>
      </c>
      <c r="D17" s="5">
        <f>J13</f>
        <v>4.0000000000000001E-3</v>
      </c>
      <c r="E17">
        <v>100.9</v>
      </c>
      <c r="I17" s="4">
        <v>1</v>
      </c>
      <c r="J17" s="5">
        <f t="shared" si="1"/>
        <v>0.01</v>
      </c>
    </row>
    <row r="18" spans="1:10" x14ac:dyDescent="0.35">
      <c r="A18" s="21">
        <v>38808</v>
      </c>
      <c r="B18" s="6">
        <v>54.1</v>
      </c>
      <c r="C18" s="27">
        <f t="shared" si="0"/>
        <v>3.3000000000000043</v>
      </c>
      <c r="E18">
        <v>110.3</v>
      </c>
      <c r="I18" s="4">
        <v>1.3</v>
      </c>
      <c r="J18" s="5">
        <f t="shared" si="1"/>
        <v>1.3000000000000001E-2</v>
      </c>
    </row>
    <row r="19" spans="1:10" x14ac:dyDescent="0.35">
      <c r="A19" s="15">
        <v>38838</v>
      </c>
      <c r="B19" s="6">
        <v>53.2</v>
      </c>
      <c r="C19" s="27">
        <f t="shared" si="0"/>
        <v>-0.89999999999999858</v>
      </c>
      <c r="E19">
        <v>107.6</v>
      </c>
      <c r="I19" s="4">
        <v>1.2</v>
      </c>
      <c r="J19" s="5">
        <f t="shared" si="1"/>
        <v>1.2E-2</v>
      </c>
    </row>
    <row r="20" spans="1:10" x14ac:dyDescent="0.35">
      <c r="A20" s="15">
        <v>38869</v>
      </c>
      <c r="B20" s="6">
        <v>55.1</v>
      </c>
      <c r="C20" s="27">
        <f t="shared" si="0"/>
        <v>1.8999999999999986</v>
      </c>
      <c r="D20" s="5">
        <f>J14</f>
        <v>3.0000000000000001E-3</v>
      </c>
      <c r="E20">
        <v>108.4</v>
      </c>
      <c r="I20" s="4">
        <v>0.1</v>
      </c>
      <c r="J20" s="5">
        <f t="shared" si="1"/>
        <v>1E-3</v>
      </c>
    </row>
    <row r="21" spans="1:10" x14ac:dyDescent="0.35">
      <c r="A21" s="15">
        <v>38899</v>
      </c>
      <c r="B21" s="6">
        <v>53.8</v>
      </c>
      <c r="C21" s="27">
        <f t="shared" si="0"/>
        <v>-1.3000000000000043</v>
      </c>
      <c r="E21">
        <v>109.4</v>
      </c>
      <c r="I21" s="4">
        <v>0.1</v>
      </c>
      <c r="J21" s="5">
        <f t="shared" si="1"/>
        <v>1E-3</v>
      </c>
    </row>
    <row r="22" spans="1:10" x14ac:dyDescent="0.35">
      <c r="A22" s="15">
        <v>38930</v>
      </c>
      <c r="B22" s="6">
        <v>53.1</v>
      </c>
      <c r="C22" s="27">
        <f t="shared" si="0"/>
        <v>-0.69999999999999574</v>
      </c>
      <c r="E22">
        <v>106.1</v>
      </c>
      <c r="I22" s="4">
        <v>-0.9</v>
      </c>
      <c r="J22" s="5">
        <f t="shared" si="1"/>
        <v>-9.0000000000000011E-3</v>
      </c>
    </row>
    <row r="23" spans="1:10" x14ac:dyDescent="0.35">
      <c r="A23" s="15">
        <v>38961</v>
      </c>
      <c r="B23" s="6">
        <v>54.4</v>
      </c>
      <c r="C23" s="27">
        <f t="shared" si="0"/>
        <v>1.2999999999999972</v>
      </c>
      <c r="D23" s="5">
        <f>J15</f>
        <v>2E-3</v>
      </c>
      <c r="E23">
        <v>109.4</v>
      </c>
      <c r="I23" s="4">
        <v>-1.4</v>
      </c>
      <c r="J23" s="5">
        <f t="shared" si="1"/>
        <v>-1.3999999999999999E-2</v>
      </c>
    </row>
    <row r="24" spans="1:10" x14ac:dyDescent="0.35">
      <c r="A24" s="15">
        <v>38991</v>
      </c>
      <c r="B24" s="6">
        <v>53.7</v>
      </c>
      <c r="C24" s="27">
        <f t="shared" si="0"/>
        <v>-0.69999999999999574</v>
      </c>
      <c r="E24">
        <v>107.9</v>
      </c>
      <c r="I24" s="4">
        <v>-2.1</v>
      </c>
      <c r="J24" s="5">
        <f t="shared" si="1"/>
        <v>-2.1000000000000001E-2</v>
      </c>
    </row>
    <row r="25" spans="1:10" x14ac:dyDescent="0.35">
      <c r="A25" s="15">
        <v>39022</v>
      </c>
      <c r="B25" s="6">
        <v>53.6</v>
      </c>
      <c r="C25" s="27">
        <f t="shared" si="0"/>
        <v>-0.10000000000000142</v>
      </c>
      <c r="E25">
        <v>111.7</v>
      </c>
      <c r="I25" s="4">
        <v>-2.5</v>
      </c>
      <c r="J25" s="5">
        <f t="shared" si="1"/>
        <v>-2.5000000000000001E-2</v>
      </c>
    </row>
    <row r="26" spans="1:10" x14ac:dyDescent="0.35">
      <c r="A26" s="15">
        <v>39052</v>
      </c>
      <c r="B26" s="6">
        <v>51.9</v>
      </c>
      <c r="C26" s="27">
        <f t="shared" si="0"/>
        <v>-1.7000000000000028</v>
      </c>
      <c r="D26" s="5">
        <f>J16</f>
        <v>8.0000000000000002E-3</v>
      </c>
      <c r="E26">
        <v>112.6</v>
      </c>
      <c r="I26" s="4">
        <v>-0.4</v>
      </c>
      <c r="J26" s="5">
        <f t="shared" si="1"/>
        <v>-4.0000000000000001E-3</v>
      </c>
    </row>
    <row r="27" spans="1:10" x14ac:dyDescent="0.35">
      <c r="A27" s="15">
        <v>39083</v>
      </c>
      <c r="B27" s="6">
        <v>52.8</v>
      </c>
      <c r="C27" s="27">
        <f t="shared" si="0"/>
        <v>0.89999999999999858</v>
      </c>
      <c r="E27">
        <v>110.7</v>
      </c>
      <c r="I27" s="4">
        <v>0</v>
      </c>
      <c r="J27" s="5">
        <f t="shared" si="1"/>
        <v>0</v>
      </c>
    </row>
    <row r="28" spans="1:10" x14ac:dyDescent="0.35">
      <c r="A28" s="15">
        <v>39114</v>
      </c>
      <c r="B28" s="6">
        <v>55.4</v>
      </c>
      <c r="C28" s="27">
        <f t="shared" si="0"/>
        <v>2.6000000000000014</v>
      </c>
      <c r="E28">
        <v>110.8</v>
      </c>
      <c r="I28" s="4">
        <v>0.4</v>
      </c>
      <c r="J28" s="5">
        <f t="shared" si="1"/>
        <v>4.0000000000000001E-3</v>
      </c>
    </row>
    <row r="29" spans="1:10" x14ac:dyDescent="0.35">
      <c r="A29" s="15">
        <v>39142</v>
      </c>
      <c r="B29" s="6">
        <v>54.4</v>
      </c>
      <c r="C29" s="27">
        <f t="shared" si="0"/>
        <v>-1</v>
      </c>
      <c r="D29" s="5">
        <f>J17</f>
        <v>0.01</v>
      </c>
      <c r="E29">
        <v>113.3</v>
      </c>
      <c r="I29" s="4">
        <v>0.5</v>
      </c>
      <c r="J29" s="5">
        <f t="shared" si="1"/>
        <v>5.0000000000000001E-3</v>
      </c>
    </row>
    <row r="30" spans="1:10" x14ac:dyDescent="0.35">
      <c r="A30" s="15">
        <v>39173</v>
      </c>
      <c r="B30" s="6">
        <v>53.9</v>
      </c>
      <c r="C30" s="27">
        <f t="shared" si="0"/>
        <v>-0.5</v>
      </c>
      <c r="E30">
        <v>109.9</v>
      </c>
      <c r="I30" s="4">
        <v>1</v>
      </c>
      <c r="J30" s="5">
        <f t="shared" si="1"/>
        <v>0.01</v>
      </c>
    </row>
    <row r="31" spans="1:10" x14ac:dyDescent="0.35">
      <c r="A31" s="15">
        <v>39203</v>
      </c>
      <c r="B31" s="6">
        <v>54.9</v>
      </c>
      <c r="C31" s="27">
        <f t="shared" si="0"/>
        <v>1</v>
      </c>
      <c r="E31">
        <v>113.7</v>
      </c>
      <c r="I31" s="4">
        <v>0.4</v>
      </c>
      <c r="J31" s="5">
        <f t="shared" si="1"/>
        <v>4.0000000000000001E-3</v>
      </c>
    </row>
    <row r="32" spans="1:10" x14ac:dyDescent="0.35">
      <c r="A32" s="15">
        <v>39234</v>
      </c>
      <c r="B32" s="6">
        <v>54.3</v>
      </c>
      <c r="C32" s="27">
        <f t="shared" si="0"/>
        <v>-0.60000000000000142</v>
      </c>
      <c r="D32" s="5">
        <f>J18</f>
        <v>1.3000000000000001E-2</v>
      </c>
      <c r="E32">
        <v>115</v>
      </c>
      <c r="I32" s="4">
        <v>-0.2</v>
      </c>
      <c r="J32" s="5">
        <f t="shared" si="1"/>
        <v>-2E-3</v>
      </c>
    </row>
    <row r="33" spans="1:10" x14ac:dyDescent="0.35">
      <c r="A33" s="15">
        <v>39264</v>
      </c>
      <c r="B33" s="6">
        <v>55.7</v>
      </c>
      <c r="C33" s="27">
        <f t="shared" si="0"/>
        <v>1.4000000000000057</v>
      </c>
      <c r="E33">
        <v>109.5</v>
      </c>
      <c r="I33" s="4">
        <v>0.5</v>
      </c>
      <c r="J33" s="5">
        <f t="shared" si="1"/>
        <v>5.0000000000000001E-3</v>
      </c>
    </row>
    <row r="34" spans="1:10" x14ac:dyDescent="0.35">
      <c r="A34" s="15">
        <v>39295</v>
      </c>
      <c r="B34" s="6">
        <v>56.3</v>
      </c>
      <c r="C34" s="27">
        <f t="shared" si="0"/>
        <v>0.59999999999999432</v>
      </c>
      <c r="E34">
        <v>110</v>
      </c>
      <c r="I34" s="4">
        <v>0.1</v>
      </c>
      <c r="J34" s="5">
        <f t="shared" si="1"/>
        <v>1E-3</v>
      </c>
    </row>
    <row r="35" spans="1:10" x14ac:dyDescent="0.35">
      <c r="A35" s="15">
        <v>39326</v>
      </c>
      <c r="B35" s="6">
        <v>55.1</v>
      </c>
      <c r="C35" s="27">
        <f t="shared" si="0"/>
        <v>-1.1999999999999957</v>
      </c>
      <c r="D35" s="5">
        <f>J19</f>
        <v>1.2E-2</v>
      </c>
      <c r="E35">
        <v>113.1</v>
      </c>
      <c r="I35" s="4">
        <v>0.6</v>
      </c>
      <c r="J35" s="5">
        <f t="shared" si="1"/>
        <v>6.0000000000000001E-3</v>
      </c>
    </row>
    <row r="36" spans="1:10" x14ac:dyDescent="0.35">
      <c r="A36" s="15">
        <v>39356</v>
      </c>
      <c r="B36" s="6">
        <v>52.9</v>
      </c>
      <c r="C36" s="27">
        <f t="shared" si="0"/>
        <v>-2.2000000000000028</v>
      </c>
      <c r="E36">
        <v>112.4</v>
      </c>
      <c r="I36" s="4">
        <v>-0.1</v>
      </c>
      <c r="J36" s="5">
        <f t="shared" si="1"/>
        <v>-1E-3</v>
      </c>
    </row>
    <row r="37" spans="1:10" x14ac:dyDescent="0.35">
      <c r="A37" s="15">
        <v>39387</v>
      </c>
      <c r="B37" s="6">
        <v>54.4</v>
      </c>
      <c r="C37" s="27">
        <f t="shared" si="0"/>
        <v>1.5</v>
      </c>
      <c r="E37">
        <v>108.1</v>
      </c>
      <c r="I37" s="4">
        <v>0</v>
      </c>
      <c r="J37" s="5">
        <f t="shared" si="1"/>
        <v>0</v>
      </c>
    </row>
    <row r="38" spans="1:10" x14ac:dyDescent="0.35">
      <c r="A38" s="15">
        <v>39417</v>
      </c>
      <c r="B38" s="6">
        <v>52.9</v>
      </c>
      <c r="C38" s="27">
        <f t="shared" si="0"/>
        <v>-1.5</v>
      </c>
      <c r="D38" s="5">
        <f>J21</f>
        <v>1E-3</v>
      </c>
      <c r="E38">
        <v>107.7</v>
      </c>
      <c r="I38" s="4">
        <v>-0.4</v>
      </c>
      <c r="J38" s="5">
        <f t="shared" si="1"/>
        <v>-4.0000000000000001E-3</v>
      </c>
    </row>
    <row r="39" spans="1:10" x14ac:dyDescent="0.35">
      <c r="A39" s="15">
        <v>39448</v>
      </c>
      <c r="B39" s="6">
        <v>50.6</v>
      </c>
      <c r="C39" s="27">
        <f t="shared" si="0"/>
        <v>-2.2999999999999972</v>
      </c>
      <c r="E39">
        <v>107.7</v>
      </c>
      <c r="I39" s="4">
        <v>0.8</v>
      </c>
      <c r="J39" s="5">
        <f t="shared" si="1"/>
        <v>8.0000000000000002E-3</v>
      </c>
    </row>
    <row r="40" spans="1:10" x14ac:dyDescent="0.35">
      <c r="A40" s="15">
        <v>39479</v>
      </c>
      <c r="B40" s="6">
        <v>51.3</v>
      </c>
      <c r="C40" s="27">
        <f t="shared" si="0"/>
        <v>0.69999999999999574</v>
      </c>
      <c r="E40">
        <v>99.7</v>
      </c>
      <c r="I40" s="4">
        <v>-0.1</v>
      </c>
      <c r="J40" s="5">
        <f t="shared" si="1"/>
        <v>-1E-3</v>
      </c>
    </row>
    <row r="41" spans="1:10" x14ac:dyDescent="0.35">
      <c r="A41" s="15">
        <v>39508</v>
      </c>
      <c r="B41" s="6">
        <v>51.3</v>
      </c>
      <c r="C41" s="27">
        <f t="shared" si="0"/>
        <v>0</v>
      </c>
      <c r="D41" s="5">
        <v>1E-3</v>
      </c>
      <c r="E41">
        <v>106.5</v>
      </c>
      <c r="I41" s="4">
        <v>0.5</v>
      </c>
      <c r="J41" s="5">
        <f t="shared" si="1"/>
        <v>5.0000000000000001E-3</v>
      </c>
    </row>
    <row r="42" spans="1:10" x14ac:dyDescent="0.35">
      <c r="A42" s="15">
        <v>39539</v>
      </c>
      <c r="B42" s="6">
        <v>51</v>
      </c>
      <c r="C42" s="27">
        <f t="shared" si="0"/>
        <v>-0.29999999999999716</v>
      </c>
      <c r="E42">
        <v>100</v>
      </c>
      <c r="I42" s="4">
        <v>0.8</v>
      </c>
      <c r="J42" s="5">
        <f t="shared" si="1"/>
        <v>8.0000000000000002E-3</v>
      </c>
    </row>
    <row r="43" spans="1:10" x14ac:dyDescent="0.35">
      <c r="A43" s="15">
        <v>39569</v>
      </c>
      <c r="B43" s="6">
        <v>50</v>
      </c>
      <c r="C43" s="27">
        <f t="shared" si="0"/>
        <v>-1</v>
      </c>
      <c r="E43">
        <v>94.3</v>
      </c>
      <c r="I43" s="4">
        <v>0.8</v>
      </c>
      <c r="J43" s="5">
        <f t="shared" si="1"/>
        <v>8.0000000000000002E-3</v>
      </c>
    </row>
    <row r="44" spans="1:10" x14ac:dyDescent="0.35">
      <c r="A44" s="15">
        <v>39600</v>
      </c>
      <c r="B44" s="6">
        <v>45.8</v>
      </c>
      <c r="C44" s="27">
        <f t="shared" si="0"/>
        <v>-4.2000000000000028</v>
      </c>
      <c r="D44" s="5">
        <f>J22</f>
        <v>-9.0000000000000011E-3</v>
      </c>
      <c r="E44">
        <v>95.1</v>
      </c>
      <c r="I44" s="4">
        <v>0.7</v>
      </c>
      <c r="J44" s="5">
        <f t="shared" si="1"/>
        <v>6.9999999999999993E-3</v>
      </c>
    </row>
    <row r="45" spans="1:10" x14ac:dyDescent="0.35">
      <c r="A45" s="15">
        <v>39630</v>
      </c>
      <c r="B45" s="6">
        <v>44.3</v>
      </c>
      <c r="C45" s="27">
        <f t="shared" si="0"/>
        <v>-1.5</v>
      </c>
      <c r="E45">
        <v>90.5</v>
      </c>
    </row>
    <row r="46" spans="1:10" x14ac:dyDescent="0.35">
      <c r="A46" s="15">
        <v>39661</v>
      </c>
      <c r="B46" s="6">
        <v>45.9</v>
      </c>
      <c r="C46" s="27">
        <f t="shared" si="0"/>
        <v>1.6000000000000014</v>
      </c>
      <c r="E46">
        <v>88</v>
      </c>
    </row>
    <row r="47" spans="1:10" x14ac:dyDescent="0.35">
      <c r="A47" s="15">
        <v>39692</v>
      </c>
      <c r="B47" s="6">
        <v>41</v>
      </c>
      <c r="C47" s="27">
        <f t="shared" si="0"/>
        <v>-4.8999999999999986</v>
      </c>
      <c r="D47" s="5">
        <f>J23</f>
        <v>-1.3999999999999999E-2</v>
      </c>
      <c r="E47">
        <v>85.6</v>
      </c>
    </row>
    <row r="48" spans="1:10" x14ac:dyDescent="0.35">
      <c r="A48" s="15">
        <v>39722</v>
      </c>
      <c r="B48" s="6">
        <v>41.5</v>
      </c>
      <c r="C48" s="27">
        <f t="shared" si="0"/>
        <v>0.5</v>
      </c>
      <c r="E48">
        <v>79</v>
      </c>
    </row>
    <row r="49" spans="1:5" x14ac:dyDescent="0.35">
      <c r="A49" s="15">
        <v>39753</v>
      </c>
      <c r="B49" s="6">
        <v>34.4</v>
      </c>
      <c r="C49" s="27">
        <f t="shared" si="0"/>
        <v>-7.1000000000000014</v>
      </c>
      <c r="E49">
        <v>77.5</v>
      </c>
    </row>
    <row r="50" spans="1:5" x14ac:dyDescent="0.35">
      <c r="A50" s="15">
        <v>39783</v>
      </c>
      <c r="B50" s="6">
        <v>34.9</v>
      </c>
      <c r="C50" s="27">
        <f t="shared" si="0"/>
        <v>0.5</v>
      </c>
      <c r="D50" s="5">
        <f>J24</f>
        <v>-2.1000000000000001E-2</v>
      </c>
      <c r="E50">
        <v>73.599999999999994</v>
      </c>
    </row>
    <row r="51" spans="1:5" x14ac:dyDescent="0.35">
      <c r="A51" s="15">
        <v>39814</v>
      </c>
      <c r="B51" s="6">
        <v>35.799999999999997</v>
      </c>
      <c r="C51" s="27">
        <f t="shared" si="0"/>
        <v>0.89999999999999858</v>
      </c>
      <c r="E51">
        <v>69.3</v>
      </c>
    </row>
    <row r="52" spans="1:5" x14ac:dyDescent="0.35">
      <c r="A52" s="15">
        <v>39845</v>
      </c>
      <c r="B52" s="6">
        <v>34.700000000000003</v>
      </c>
      <c r="C52" s="27">
        <f t="shared" si="0"/>
        <v>-1.0999999999999943</v>
      </c>
      <c r="E52">
        <v>66.2</v>
      </c>
    </row>
    <row r="53" spans="1:5" x14ac:dyDescent="0.35">
      <c r="A53" s="15">
        <v>39873</v>
      </c>
      <c r="B53" s="6">
        <v>39.1</v>
      </c>
      <c r="C53" s="27">
        <f t="shared" si="0"/>
        <v>4.3999999999999986</v>
      </c>
      <c r="D53" s="5">
        <f>J25</f>
        <v>-2.5000000000000001E-2</v>
      </c>
      <c r="E53">
        <v>64.3</v>
      </c>
    </row>
    <row r="54" spans="1:5" x14ac:dyDescent="0.35">
      <c r="A54" s="15">
        <v>39904</v>
      </c>
      <c r="B54" s="6">
        <v>42.9</v>
      </c>
      <c r="C54" s="27">
        <f t="shared" si="0"/>
        <v>3.7999999999999972</v>
      </c>
      <c r="E54">
        <v>69.3</v>
      </c>
    </row>
    <row r="55" spans="1:5" x14ac:dyDescent="0.35">
      <c r="A55" s="15">
        <v>39934</v>
      </c>
      <c r="B55" s="6">
        <v>45.4</v>
      </c>
      <c r="C55" s="27">
        <f t="shared" si="0"/>
        <v>2.5</v>
      </c>
      <c r="E55">
        <v>74.5</v>
      </c>
    </row>
    <row r="56" spans="1:5" x14ac:dyDescent="0.35">
      <c r="A56" s="15">
        <v>39965</v>
      </c>
      <c r="B56" s="6">
        <v>47</v>
      </c>
      <c r="C56" s="27">
        <f t="shared" si="0"/>
        <v>1.6000000000000014</v>
      </c>
      <c r="D56" s="5">
        <f>J26</f>
        <v>-4.0000000000000001E-3</v>
      </c>
      <c r="E56">
        <v>76.7</v>
      </c>
    </row>
    <row r="57" spans="1:5" x14ac:dyDescent="0.35">
      <c r="A57" s="15">
        <v>39995</v>
      </c>
      <c r="B57" s="6">
        <v>50.8</v>
      </c>
      <c r="C57" s="27">
        <f t="shared" si="0"/>
        <v>3.7999999999999972</v>
      </c>
      <c r="E57">
        <v>77.7</v>
      </c>
    </row>
    <row r="58" spans="1:5" x14ac:dyDescent="0.35">
      <c r="A58" s="15">
        <v>40026</v>
      </c>
      <c r="B58" s="6">
        <v>49.7</v>
      </c>
      <c r="C58" s="27">
        <f t="shared" si="0"/>
        <v>-1.0999999999999943</v>
      </c>
      <c r="E58">
        <v>86.9</v>
      </c>
    </row>
    <row r="59" spans="1:5" x14ac:dyDescent="0.35">
      <c r="A59" s="15">
        <v>40057</v>
      </c>
      <c r="B59" s="6">
        <v>49.5</v>
      </c>
      <c r="C59" s="27">
        <f t="shared" si="0"/>
        <v>-0.20000000000000284</v>
      </c>
      <c r="D59" s="5">
        <f>J27</f>
        <v>0</v>
      </c>
      <c r="E59">
        <v>87.8</v>
      </c>
    </row>
    <row r="60" spans="1:5" x14ac:dyDescent="0.35">
      <c r="A60" s="15">
        <v>40087</v>
      </c>
      <c r="B60" s="6">
        <v>53.7</v>
      </c>
      <c r="C60" s="27">
        <f t="shared" si="0"/>
        <v>4.2000000000000028</v>
      </c>
      <c r="E60">
        <v>92.7</v>
      </c>
    </row>
    <row r="61" spans="1:5" x14ac:dyDescent="0.35">
      <c r="A61" s="15">
        <v>40118</v>
      </c>
      <c r="B61" s="6">
        <v>51.8</v>
      </c>
      <c r="C61" s="27">
        <f t="shared" si="0"/>
        <v>-1.9000000000000057</v>
      </c>
      <c r="E61">
        <v>93.3</v>
      </c>
    </row>
    <row r="62" spans="1:5" x14ac:dyDescent="0.35">
      <c r="A62" s="15">
        <v>40148</v>
      </c>
      <c r="B62" s="6">
        <v>54.1</v>
      </c>
      <c r="C62" s="27">
        <f t="shared" si="0"/>
        <v>2.3000000000000043</v>
      </c>
      <c r="D62" s="5">
        <f>J28</f>
        <v>4.0000000000000001E-3</v>
      </c>
      <c r="E62">
        <v>95.2</v>
      </c>
    </row>
    <row r="63" spans="1:5" x14ac:dyDescent="0.35">
      <c r="A63" s="15">
        <v>40179</v>
      </c>
      <c r="B63" s="6">
        <v>56.7</v>
      </c>
      <c r="C63" s="27">
        <f t="shared" si="0"/>
        <v>2.6000000000000014</v>
      </c>
      <c r="E63">
        <v>97.3</v>
      </c>
    </row>
    <row r="64" spans="1:5" x14ac:dyDescent="0.35">
      <c r="A64" s="15">
        <v>40210</v>
      </c>
      <c r="B64" s="6">
        <v>56.6</v>
      </c>
      <c r="C64" s="27">
        <f t="shared" si="0"/>
        <v>-0.10000000000000142</v>
      </c>
      <c r="E64">
        <v>102</v>
      </c>
    </row>
    <row r="65" spans="1:5" x14ac:dyDescent="0.35">
      <c r="A65" s="15">
        <v>40238</v>
      </c>
      <c r="B65" s="6">
        <v>57.2</v>
      </c>
      <c r="C65" s="27">
        <f t="shared" si="0"/>
        <v>0.60000000000000142</v>
      </c>
      <c r="D65" s="5">
        <f>J29</f>
        <v>5.0000000000000001E-3</v>
      </c>
      <c r="E65">
        <v>103</v>
      </c>
    </row>
    <row r="66" spans="1:5" x14ac:dyDescent="0.35">
      <c r="A66" s="15">
        <v>40269</v>
      </c>
      <c r="B66" s="6">
        <v>58</v>
      </c>
      <c r="C66" s="27">
        <f t="shared" si="0"/>
        <v>0.79999999999999716</v>
      </c>
      <c r="E66">
        <v>101.9</v>
      </c>
    </row>
    <row r="67" spans="1:5" x14ac:dyDescent="0.35">
      <c r="A67" s="15">
        <v>40299</v>
      </c>
      <c r="B67" s="6">
        <v>58</v>
      </c>
      <c r="C67" s="27">
        <f t="shared" si="0"/>
        <v>0</v>
      </c>
      <c r="E67">
        <v>102.9</v>
      </c>
    </row>
    <row r="68" spans="1:5" x14ac:dyDescent="0.35">
      <c r="A68" s="15">
        <v>40330</v>
      </c>
      <c r="B68" s="6">
        <v>57.5</v>
      </c>
      <c r="C68" s="27">
        <f t="shared" ref="C68:C111" si="2">B68-B67</f>
        <v>-0.5</v>
      </c>
      <c r="D68" s="5">
        <f>J30</f>
        <v>0.01</v>
      </c>
      <c r="E68">
        <v>100.1</v>
      </c>
    </row>
    <row r="69" spans="1:5" x14ac:dyDescent="0.35">
      <c r="A69" s="15">
        <v>40360</v>
      </c>
      <c r="B69" s="6">
        <v>57.3</v>
      </c>
      <c r="C69" s="27">
        <f t="shared" si="2"/>
        <v>-0.20000000000000284</v>
      </c>
      <c r="E69">
        <v>102.3</v>
      </c>
    </row>
    <row r="70" spans="1:5" x14ac:dyDescent="0.35">
      <c r="A70" s="15">
        <v>40391</v>
      </c>
      <c r="B70" s="6">
        <v>54.3</v>
      </c>
      <c r="C70" s="27">
        <f t="shared" si="2"/>
        <v>-3</v>
      </c>
      <c r="E70">
        <v>103.4</v>
      </c>
    </row>
    <row r="71" spans="1:5" x14ac:dyDescent="0.35">
      <c r="A71" s="15">
        <v>40422</v>
      </c>
      <c r="B71" s="6">
        <v>53.4</v>
      </c>
      <c r="C71" s="27">
        <f t="shared" si="2"/>
        <v>-0.89999999999999858</v>
      </c>
      <c r="D71" s="5">
        <f>J31</f>
        <v>4.0000000000000001E-3</v>
      </c>
      <c r="E71">
        <v>100.9</v>
      </c>
    </row>
    <row r="72" spans="1:5" x14ac:dyDescent="0.35">
      <c r="A72" s="15">
        <v>40452</v>
      </c>
      <c r="B72" s="6">
        <v>54.9</v>
      </c>
      <c r="C72" s="27">
        <f t="shared" si="2"/>
        <v>1.5</v>
      </c>
      <c r="E72">
        <v>100.4</v>
      </c>
    </row>
    <row r="73" spans="1:5" x14ac:dyDescent="0.35">
      <c r="A73" s="15">
        <v>40483</v>
      </c>
      <c r="B73" s="6">
        <v>58</v>
      </c>
      <c r="C73" s="27">
        <f t="shared" si="2"/>
        <v>3.1000000000000014</v>
      </c>
      <c r="E73">
        <v>101.3</v>
      </c>
    </row>
    <row r="74" spans="1:5" x14ac:dyDescent="0.35">
      <c r="A74" s="15">
        <v>40513</v>
      </c>
      <c r="B74" s="6">
        <v>58.3</v>
      </c>
      <c r="C74" s="27">
        <f t="shared" si="2"/>
        <v>0.29999999999999716</v>
      </c>
      <c r="D74" s="5">
        <f>J32</f>
        <v>-2E-3</v>
      </c>
      <c r="E74">
        <v>102.5</v>
      </c>
    </row>
    <row r="75" spans="1:5" x14ac:dyDescent="0.35">
      <c r="A75" s="15">
        <v>40544</v>
      </c>
      <c r="B75" s="6">
        <v>62</v>
      </c>
      <c r="C75" s="27">
        <f t="shared" si="2"/>
        <v>3.7000000000000028</v>
      </c>
      <c r="E75">
        <v>99.6</v>
      </c>
    </row>
    <row r="76" spans="1:5" x14ac:dyDescent="0.35">
      <c r="A76" s="15">
        <v>40575</v>
      </c>
      <c r="B76" s="6">
        <v>64.5</v>
      </c>
      <c r="C76" s="27">
        <f t="shared" si="2"/>
        <v>2.5</v>
      </c>
      <c r="E76">
        <v>102.8</v>
      </c>
    </row>
    <row r="77" spans="1:5" x14ac:dyDescent="0.35">
      <c r="A77" s="15">
        <v>40603</v>
      </c>
      <c r="B77" s="6">
        <v>57.1</v>
      </c>
      <c r="C77" s="27">
        <f t="shared" si="2"/>
        <v>-7.3999999999999986</v>
      </c>
      <c r="D77" s="5">
        <f>J33</f>
        <v>5.0000000000000001E-3</v>
      </c>
      <c r="E77">
        <v>105.5</v>
      </c>
    </row>
    <row r="78" spans="1:5" x14ac:dyDescent="0.35">
      <c r="A78" s="15">
        <v>40634</v>
      </c>
      <c r="B78" s="6">
        <v>54.6</v>
      </c>
      <c r="C78" s="27">
        <f t="shared" si="2"/>
        <v>-2.5</v>
      </c>
      <c r="E78">
        <v>100.4</v>
      </c>
    </row>
    <row r="79" spans="1:5" x14ac:dyDescent="0.35">
      <c r="A79" s="15">
        <v>40664</v>
      </c>
      <c r="B79" s="6">
        <v>52.1</v>
      </c>
      <c r="C79" s="27">
        <f t="shared" si="2"/>
        <v>-2.5</v>
      </c>
      <c r="E79">
        <v>102.9</v>
      </c>
    </row>
    <row r="80" spans="1:5" x14ac:dyDescent="0.35">
      <c r="A80" s="15">
        <v>40695</v>
      </c>
      <c r="B80" s="6">
        <v>51.3</v>
      </c>
      <c r="C80" s="27">
        <f t="shared" si="2"/>
        <v>-0.80000000000000426</v>
      </c>
      <c r="D80" s="5">
        <f>J34</f>
        <v>1E-3</v>
      </c>
      <c r="E80">
        <v>100.6</v>
      </c>
    </row>
    <row r="81" spans="1:9" x14ac:dyDescent="0.35">
      <c r="A81" s="15">
        <v>40725</v>
      </c>
      <c r="B81" s="6">
        <v>49.1</v>
      </c>
      <c r="C81" s="27">
        <f t="shared" si="2"/>
        <v>-2.1999999999999957</v>
      </c>
      <c r="E81">
        <v>99.2</v>
      </c>
    </row>
    <row r="82" spans="1:9" x14ac:dyDescent="0.35">
      <c r="A82" s="15">
        <v>40756</v>
      </c>
      <c r="B82" s="6">
        <v>49</v>
      </c>
      <c r="C82" s="27">
        <f t="shared" si="2"/>
        <v>-0.10000000000000142</v>
      </c>
      <c r="E82">
        <v>93.6</v>
      </c>
    </row>
    <row r="83" spans="1:9" x14ac:dyDescent="0.35">
      <c r="A83" s="15">
        <v>40787</v>
      </c>
      <c r="B83" s="6">
        <v>51.1</v>
      </c>
      <c r="C83" s="27">
        <f t="shared" si="2"/>
        <v>2.1000000000000014</v>
      </c>
      <c r="D83" s="5">
        <f>J35</f>
        <v>6.0000000000000001E-3</v>
      </c>
      <c r="E83">
        <v>90.2</v>
      </c>
    </row>
    <row r="84" spans="1:9" x14ac:dyDescent="0.35">
      <c r="A84" s="15">
        <v>40817</v>
      </c>
      <c r="B84" s="6">
        <v>47.4</v>
      </c>
      <c r="C84" s="27">
        <f t="shared" si="2"/>
        <v>-3.7000000000000028</v>
      </c>
      <c r="E84">
        <v>90.2</v>
      </c>
    </row>
    <row r="85" spans="1:9" x14ac:dyDescent="0.35">
      <c r="A85" s="15">
        <v>40848</v>
      </c>
      <c r="B85" s="6">
        <v>47.6</v>
      </c>
      <c r="C85" s="27">
        <f t="shared" si="2"/>
        <v>0.20000000000000284</v>
      </c>
      <c r="E85">
        <v>89.5</v>
      </c>
      <c r="H85" s="66" t="s">
        <v>17</v>
      </c>
      <c r="I85" t="s">
        <v>83</v>
      </c>
    </row>
    <row r="86" spans="1:9" x14ac:dyDescent="0.35">
      <c r="A86" s="15">
        <v>40878</v>
      </c>
      <c r="B86" s="6">
        <v>49.6</v>
      </c>
      <c r="C86" s="27">
        <f t="shared" si="2"/>
        <v>2</v>
      </c>
      <c r="D86" s="5">
        <f>J36</f>
        <v>-1E-3</v>
      </c>
      <c r="E86">
        <v>88.9</v>
      </c>
    </row>
    <row r="87" spans="1:9" x14ac:dyDescent="0.35">
      <c r="A87" s="16">
        <v>40909</v>
      </c>
      <c r="B87" s="17">
        <v>50.8</v>
      </c>
      <c r="C87" s="28">
        <f t="shared" si="2"/>
        <v>1.1999999999999957</v>
      </c>
      <c r="E87">
        <v>94</v>
      </c>
    </row>
    <row r="88" spans="1:9" x14ac:dyDescent="0.35">
      <c r="A88" s="16">
        <v>40940</v>
      </c>
      <c r="B88" s="17">
        <v>51.1</v>
      </c>
      <c r="C88" s="28">
        <f t="shared" si="2"/>
        <v>0.30000000000000426</v>
      </c>
      <c r="E88">
        <v>94.3</v>
      </c>
    </row>
    <row r="89" spans="1:9" x14ac:dyDescent="0.35">
      <c r="A89" s="16">
        <v>40969</v>
      </c>
      <c r="B89" s="17">
        <v>52</v>
      </c>
      <c r="C89" s="28">
        <f t="shared" si="2"/>
        <v>0.89999999999999858</v>
      </c>
      <c r="D89" s="5">
        <f>J37</f>
        <v>0</v>
      </c>
      <c r="E89">
        <v>91.8</v>
      </c>
    </row>
    <row r="90" spans="1:9" x14ac:dyDescent="0.35">
      <c r="A90" s="16">
        <v>41000</v>
      </c>
      <c r="B90" s="17">
        <v>50.2</v>
      </c>
      <c r="C90" s="28">
        <f t="shared" si="2"/>
        <v>-1.7999999999999972</v>
      </c>
      <c r="E90">
        <v>96.1</v>
      </c>
    </row>
    <row r="91" spans="1:9" x14ac:dyDescent="0.35">
      <c r="A91" s="16">
        <v>41030</v>
      </c>
      <c r="B91" s="17">
        <v>46.8</v>
      </c>
      <c r="C91" s="28">
        <f t="shared" si="2"/>
        <v>-3.4000000000000057</v>
      </c>
      <c r="E91">
        <v>91.3</v>
      </c>
    </row>
    <row r="92" spans="1:9" x14ac:dyDescent="0.35">
      <c r="A92" s="16">
        <v>41061</v>
      </c>
      <c r="B92" s="17">
        <v>48.8</v>
      </c>
      <c r="C92" s="28">
        <f t="shared" si="2"/>
        <v>2</v>
      </c>
      <c r="D92" s="5">
        <f>J38</f>
        <v>-4.0000000000000001E-3</v>
      </c>
      <c r="E92">
        <v>93.3</v>
      </c>
    </row>
    <row r="93" spans="1:9" x14ac:dyDescent="0.35">
      <c r="A93" s="16">
        <v>41091</v>
      </c>
      <c r="B93" s="17">
        <v>45.5</v>
      </c>
      <c r="C93" s="28">
        <f t="shared" si="2"/>
        <v>-3.2999999999999972</v>
      </c>
      <c r="E93">
        <v>95</v>
      </c>
    </row>
    <row r="94" spans="1:9" x14ac:dyDescent="0.35">
      <c r="A94" s="16">
        <v>41122</v>
      </c>
      <c r="B94" s="17">
        <v>49.1</v>
      </c>
      <c r="C94" s="28">
        <f t="shared" si="2"/>
        <v>3.6000000000000014</v>
      </c>
      <c r="E94">
        <v>91.8</v>
      </c>
    </row>
    <row r="95" spans="1:9" x14ac:dyDescent="0.35">
      <c r="A95" s="16">
        <v>41153</v>
      </c>
      <c r="B95" s="17">
        <v>48.2</v>
      </c>
      <c r="C95" s="28">
        <f t="shared" si="2"/>
        <v>-0.89999999999999858</v>
      </c>
      <c r="D95" s="5">
        <f>J39</f>
        <v>8.0000000000000002E-3</v>
      </c>
      <c r="E95">
        <v>92.3</v>
      </c>
    </row>
    <row r="96" spans="1:9" x14ac:dyDescent="0.35">
      <c r="A96" s="16">
        <v>41183</v>
      </c>
      <c r="B96" s="17">
        <v>48</v>
      </c>
      <c r="C96" s="28">
        <f t="shared" si="2"/>
        <v>-0.20000000000000284</v>
      </c>
      <c r="E96">
        <v>97.6</v>
      </c>
    </row>
    <row r="97" spans="1:5" x14ac:dyDescent="0.35">
      <c r="A97" s="16">
        <v>41214</v>
      </c>
      <c r="B97" s="17">
        <v>48.4</v>
      </c>
      <c r="C97" s="28">
        <f t="shared" si="2"/>
        <v>0.39999999999999858</v>
      </c>
      <c r="E97">
        <v>100.6</v>
      </c>
    </row>
    <row r="98" spans="1:5" x14ac:dyDescent="0.35">
      <c r="A98" s="16">
        <v>41244</v>
      </c>
      <c r="B98" s="17">
        <v>50.7</v>
      </c>
      <c r="C98" s="28">
        <f t="shared" si="2"/>
        <v>2.3000000000000043</v>
      </c>
      <c r="D98" s="5">
        <f>J40</f>
        <v>-1E-3</v>
      </c>
      <c r="E98">
        <v>97.1</v>
      </c>
    </row>
    <row r="99" spans="1:5" x14ac:dyDescent="0.35">
      <c r="A99" s="16">
        <v>41275</v>
      </c>
      <c r="B99" s="17">
        <v>50.9</v>
      </c>
      <c r="C99" s="28">
        <f t="shared" si="2"/>
        <v>0.19999999999999574</v>
      </c>
      <c r="E99">
        <v>97.6</v>
      </c>
    </row>
    <row r="100" spans="1:5" x14ac:dyDescent="0.35">
      <c r="A100" s="16">
        <v>41306</v>
      </c>
      <c r="B100" s="17">
        <v>48.2</v>
      </c>
      <c r="C100" s="28">
        <f t="shared" si="2"/>
        <v>-2.6999999999999957</v>
      </c>
      <c r="E100">
        <v>97.1</v>
      </c>
    </row>
    <row r="101" spans="1:5" x14ac:dyDescent="0.35">
      <c r="A101" s="16">
        <v>41334</v>
      </c>
      <c r="B101" s="17">
        <v>49.3</v>
      </c>
      <c r="C101" s="28">
        <f t="shared" si="2"/>
        <v>1.0999999999999943</v>
      </c>
      <c r="D101" s="5">
        <f>J41</f>
        <v>5.0000000000000001E-3</v>
      </c>
      <c r="E101">
        <v>98.2</v>
      </c>
    </row>
    <row r="102" spans="1:5" x14ac:dyDescent="0.35">
      <c r="A102" s="16">
        <v>41365</v>
      </c>
      <c r="B102" s="17">
        <v>50.6</v>
      </c>
      <c r="C102" s="28">
        <f t="shared" si="2"/>
        <v>1.3000000000000043</v>
      </c>
      <c r="E102">
        <v>96.2</v>
      </c>
    </row>
    <row r="103" spans="1:5" x14ac:dyDescent="0.35">
      <c r="A103" s="16">
        <v>41395</v>
      </c>
      <c r="B103" s="17">
        <v>52.1</v>
      </c>
      <c r="C103" s="28">
        <f t="shared" si="2"/>
        <v>1.5</v>
      </c>
      <c r="E103">
        <v>98</v>
      </c>
    </row>
    <row r="104" spans="1:5" x14ac:dyDescent="0.35">
      <c r="A104" s="16">
        <v>41426</v>
      </c>
      <c r="B104" s="17">
        <v>53</v>
      </c>
      <c r="C104" s="28">
        <f t="shared" si="2"/>
        <v>0.89999999999999858</v>
      </c>
      <c r="D104" s="5">
        <f>J42</f>
        <v>8.0000000000000002E-3</v>
      </c>
      <c r="E104">
        <v>97.3</v>
      </c>
    </row>
    <row r="105" spans="1:5" x14ac:dyDescent="0.35">
      <c r="A105" s="16">
        <v>41456</v>
      </c>
      <c r="B105" s="17">
        <v>54.7</v>
      </c>
      <c r="C105" s="28">
        <f t="shared" si="2"/>
        <v>1.7000000000000028</v>
      </c>
      <c r="E105">
        <v>104.2</v>
      </c>
    </row>
    <row r="106" spans="1:5" x14ac:dyDescent="0.35">
      <c r="A106" s="16">
        <v>41487</v>
      </c>
      <c r="B106" s="17">
        <v>57.3</v>
      </c>
      <c r="C106" s="28">
        <f t="shared" si="2"/>
        <v>2.5999999999999943</v>
      </c>
      <c r="E106">
        <v>108.5</v>
      </c>
    </row>
    <row r="107" spans="1:5" x14ac:dyDescent="0.35">
      <c r="A107" s="16">
        <v>41518</v>
      </c>
      <c r="B107" s="17">
        <v>56.7</v>
      </c>
      <c r="C107" s="28">
        <f t="shared" si="2"/>
        <v>-0.59999999999999432</v>
      </c>
      <c r="D107" s="5">
        <f>J43</f>
        <v>8.0000000000000002E-3</v>
      </c>
      <c r="E107">
        <v>115.4</v>
      </c>
    </row>
    <row r="108" spans="1:5" x14ac:dyDescent="0.35">
      <c r="A108" s="16">
        <v>41548</v>
      </c>
      <c r="B108" s="17">
        <v>56.5</v>
      </c>
      <c r="C108" s="28">
        <f t="shared" si="2"/>
        <v>-0.20000000000000284</v>
      </c>
      <c r="E108">
        <v>115.1</v>
      </c>
    </row>
    <row r="109" spans="1:5" x14ac:dyDescent="0.35">
      <c r="A109" s="16">
        <v>41579</v>
      </c>
      <c r="B109" s="17">
        <v>58.1</v>
      </c>
      <c r="C109" s="28">
        <f t="shared" si="2"/>
        <v>1.6000000000000014</v>
      </c>
      <c r="E109">
        <v>115.2</v>
      </c>
    </row>
    <row r="110" spans="1:5" x14ac:dyDescent="0.35">
      <c r="A110" s="16">
        <v>41609</v>
      </c>
      <c r="B110" s="17">
        <v>57.3</v>
      </c>
      <c r="C110" s="28">
        <f t="shared" si="2"/>
        <v>-0.80000000000000426</v>
      </c>
      <c r="D110" s="5">
        <f>J44</f>
        <v>6.9999999999999993E-3</v>
      </c>
      <c r="E110">
        <v>115.1</v>
      </c>
    </row>
    <row r="111" spans="1:5" x14ac:dyDescent="0.35">
      <c r="A111" s="16">
        <v>41640</v>
      </c>
      <c r="B111" s="17">
        <v>56.7</v>
      </c>
      <c r="C111" s="28">
        <f t="shared" si="2"/>
        <v>-0.59999999999999432</v>
      </c>
      <c r="E111">
        <v>115.9</v>
      </c>
    </row>
    <row r="112" spans="1:5" x14ac:dyDescent="0.35">
      <c r="A112" s="16">
        <v>41671</v>
      </c>
      <c r="B112" s="17">
        <v>56.9</v>
      </c>
      <c r="C112" s="28">
        <f t="shared" ref="C112:C117" si="3">B112-B111</f>
        <v>0.19999999999999574</v>
      </c>
      <c r="E112">
        <v>116.9</v>
      </c>
    </row>
    <row r="113" spans="1:5" x14ac:dyDescent="0.35">
      <c r="A113" s="16">
        <v>41699</v>
      </c>
      <c r="B113" s="17">
        <v>55.3</v>
      </c>
      <c r="C113" s="28">
        <f t="shared" si="3"/>
        <v>-1.6000000000000014</v>
      </c>
      <c r="D113" s="7">
        <v>8.0000000000000002E-3</v>
      </c>
      <c r="E113">
        <v>112.8</v>
      </c>
    </row>
    <row r="114" spans="1:5" x14ac:dyDescent="0.35">
      <c r="A114" s="16">
        <v>41730</v>
      </c>
      <c r="B114" s="17">
        <v>57.3</v>
      </c>
      <c r="C114" s="28">
        <f t="shared" si="3"/>
        <v>2</v>
      </c>
      <c r="E114">
        <v>119.5</v>
      </c>
    </row>
    <row r="115" spans="1:5" x14ac:dyDescent="0.35">
      <c r="A115" s="16">
        <v>41760</v>
      </c>
      <c r="B115" s="17">
        <v>57</v>
      </c>
      <c r="C115" s="28">
        <f t="shared" si="3"/>
        <v>-0.29999999999999716</v>
      </c>
      <c r="D115" s="7"/>
      <c r="E115">
        <v>119.3</v>
      </c>
    </row>
    <row r="116" spans="1:5" x14ac:dyDescent="0.35">
      <c r="A116" s="16">
        <v>41791</v>
      </c>
      <c r="B116" s="17">
        <v>57.5</v>
      </c>
      <c r="C116" s="28">
        <f t="shared" si="3"/>
        <v>0.5</v>
      </c>
      <c r="D116" s="7">
        <v>8.0000000000000002E-3</v>
      </c>
      <c r="E116">
        <v>117.7</v>
      </c>
    </row>
    <row r="117" spans="1:5" x14ac:dyDescent="0.35">
      <c r="A117" s="16">
        <v>41821</v>
      </c>
      <c r="B117" s="17">
        <v>55.4</v>
      </c>
      <c r="C117" s="28">
        <f t="shared" si="3"/>
        <v>-2.1000000000000014</v>
      </c>
      <c r="D117" s="7"/>
      <c r="E117">
        <v>117.7</v>
      </c>
    </row>
    <row r="118" spans="1:5" x14ac:dyDescent="0.35">
      <c r="A118" s="16">
        <v>41852</v>
      </c>
      <c r="B118" s="17">
        <v>52.5</v>
      </c>
      <c r="C118" s="28">
        <f t="shared" ref="C118" si="4">B118-B117</f>
        <v>-2.8999999999999986</v>
      </c>
      <c r="D118" s="7"/>
      <c r="E118">
        <v>116.9</v>
      </c>
    </row>
    <row r="119" spans="1:5" x14ac:dyDescent="0.35">
      <c r="A119" s="16">
        <v>41883</v>
      </c>
      <c r="B119" s="17">
        <v>51.6</v>
      </c>
      <c r="C119" s="28">
        <f>IFERROR(B119-B118,"")</f>
        <v>-0.89999999999999858</v>
      </c>
      <c r="D119" s="7">
        <f>IF(VLOOKUP(I85,Data!$O$51:$V$152,7,FALSE)=A118,VLOOKUP(I85,Data!$O$51:$V$152,2,FALSE)/100,"")</f>
        <v>6.9999999999999993E-3</v>
      </c>
      <c r="E119">
        <v>116</v>
      </c>
    </row>
    <row r="120" spans="1:5" x14ac:dyDescent="0.35">
      <c r="A120" s="16">
        <v>41913</v>
      </c>
      <c r="B120" s="17">
        <v>53.2</v>
      </c>
      <c r="C120" s="28">
        <v>1.6000000000000014</v>
      </c>
      <c r="D120" s="7"/>
      <c r="E120">
        <v>114.2</v>
      </c>
    </row>
    <row r="121" spans="1:5" x14ac:dyDescent="0.35">
      <c r="A121" s="16">
        <v>41944</v>
      </c>
      <c r="B121" s="17">
        <f>IF(A121=Data!$C$1,VLOOKUP($H$85,Data!$A$2:$C$36,3,FALSE),"N/A")</f>
        <v>53.5</v>
      </c>
      <c r="C121" s="28">
        <f t="shared" ref="C121" si="5">B121-B120</f>
        <v>0.29999999999999716</v>
      </c>
      <c r="D121" s="7"/>
      <c r="E121">
        <v>114.5</v>
      </c>
    </row>
    <row r="122" spans="1:5" x14ac:dyDescent="0.35">
      <c r="A122" s="105">
        <v>41974</v>
      </c>
      <c r="B122" s="17"/>
      <c r="C122" s="28"/>
    </row>
    <row r="123" spans="1:5" x14ac:dyDescent="0.35">
      <c r="A123" s="105">
        <v>42005</v>
      </c>
      <c r="B123" s="17"/>
      <c r="C123" s="28"/>
    </row>
    <row r="124" spans="1:5" x14ac:dyDescent="0.35">
      <c r="A124" s="105">
        <v>42036</v>
      </c>
      <c r="B124" s="17"/>
      <c r="C124" s="28"/>
    </row>
    <row r="125" spans="1:5" x14ac:dyDescent="0.35">
      <c r="A125" s="105">
        <v>42064</v>
      </c>
      <c r="B125" s="17"/>
      <c r="C125" s="28"/>
    </row>
    <row r="126" spans="1:5" x14ac:dyDescent="0.35">
      <c r="A126" s="105">
        <v>42095</v>
      </c>
      <c r="B126" s="17"/>
      <c r="C126" s="28"/>
    </row>
    <row r="127" spans="1:5" x14ac:dyDescent="0.35">
      <c r="A127" s="105">
        <v>42125</v>
      </c>
      <c r="B127" s="17"/>
      <c r="C127" s="28"/>
    </row>
    <row r="128" spans="1:5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53.9</v>
      </c>
      <c r="C155" s="107"/>
      <c r="E155" t="s">
        <v>324</v>
      </c>
    </row>
    <row r="156" spans="1:5" x14ac:dyDescent="0.35">
      <c r="A156" s="122">
        <v>46174</v>
      </c>
      <c r="B156" s="91">
        <v>52.5</v>
      </c>
      <c r="C156" s="107">
        <v>-1.4</v>
      </c>
    </row>
  </sheetData>
  <conditionalFormatting sqref="B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32:M156"/>
  <sheetViews>
    <sheetView topLeftCell="A23" zoomScale="55" zoomScaleNormal="55" workbookViewId="0">
      <pane ySplit="10" topLeftCell="A96" activePane="bottomLeft" state="frozen"/>
      <selection activeCell="D119" sqref="D119"/>
      <selection pane="bottomLeft" activeCell="B117" sqref="B117"/>
    </sheetView>
  </sheetViews>
  <sheetFormatPr defaultRowHeight="14.5" x14ac:dyDescent="0.35"/>
  <cols>
    <col min="1" max="1" width="9.6328125" style="13" customWidth="1"/>
    <col min="2" max="2" width="20.6328125" style="14" customWidth="1"/>
    <col min="3" max="3" width="12.08984375" style="26" customWidth="1"/>
    <col min="4" max="4" width="28.54296875" style="5" customWidth="1"/>
    <col min="12" max="12" width="12.36328125" customWidth="1"/>
  </cols>
  <sheetData>
    <row r="32" spans="1:5" x14ac:dyDescent="0.35">
      <c r="A32" s="13" t="s">
        <v>0</v>
      </c>
      <c r="B32" s="14" t="s">
        <v>43</v>
      </c>
      <c r="C32" s="26" t="s">
        <v>5</v>
      </c>
      <c r="D32" s="5" t="s">
        <v>45</v>
      </c>
      <c r="E32" t="s">
        <v>325</v>
      </c>
    </row>
    <row r="33" spans="1:4" x14ac:dyDescent="0.35">
      <c r="A33" s="21">
        <v>39264</v>
      </c>
      <c r="B33" s="14">
        <v>55.6</v>
      </c>
    </row>
    <row r="34" spans="1:4" x14ac:dyDescent="0.35">
      <c r="A34" s="21">
        <v>39295</v>
      </c>
      <c r="B34" s="14">
        <v>54.3</v>
      </c>
      <c r="C34" s="27">
        <f t="shared" ref="C34:C39" si="0">B34-B33</f>
        <v>-1.3000000000000043</v>
      </c>
    </row>
    <row r="35" spans="1:4" x14ac:dyDescent="0.35">
      <c r="A35" s="21">
        <v>39326</v>
      </c>
      <c r="B35" s="14">
        <v>53.2</v>
      </c>
      <c r="C35" s="27">
        <f t="shared" si="0"/>
        <v>-1.0999999999999943</v>
      </c>
      <c r="D35" s="5">
        <v>6.0000000000000001E-3</v>
      </c>
    </row>
    <row r="36" spans="1:4" x14ac:dyDescent="0.35">
      <c r="A36" s="21">
        <v>39356</v>
      </c>
      <c r="B36" s="14">
        <v>51.5</v>
      </c>
      <c r="C36" s="27">
        <f t="shared" si="0"/>
        <v>-1.7000000000000028</v>
      </c>
    </row>
    <row r="37" spans="1:4" x14ac:dyDescent="0.35">
      <c r="A37" s="21">
        <v>39387</v>
      </c>
      <c r="B37" s="14">
        <v>52.8</v>
      </c>
      <c r="C37" s="27">
        <f t="shared" si="0"/>
        <v>1.2999999999999972</v>
      </c>
    </row>
    <row r="38" spans="1:4" x14ac:dyDescent="0.35">
      <c r="A38" s="21">
        <v>39417</v>
      </c>
      <c r="B38" s="14">
        <v>52.6</v>
      </c>
      <c r="C38" s="27">
        <f t="shared" si="0"/>
        <v>-0.19999999999999574</v>
      </c>
      <c r="D38" s="5">
        <v>4.0000000000000001E-3</v>
      </c>
    </row>
    <row r="39" spans="1:4" x14ac:dyDescent="0.35">
      <c r="A39" s="21">
        <v>39448</v>
      </c>
      <c r="B39" s="14">
        <v>52.8</v>
      </c>
      <c r="C39" s="27">
        <f t="shared" si="0"/>
        <v>0.19999999999999574</v>
      </c>
    </row>
    <row r="40" spans="1:4" x14ac:dyDescent="0.35">
      <c r="A40" s="21">
        <v>39479</v>
      </c>
      <c r="B40" s="6">
        <v>52.3</v>
      </c>
      <c r="C40" s="27">
        <f>B40-B39</f>
        <v>-0.5</v>
      </c>
    </row>
    <row r="41" spans="1:4" x14ac:dyDescent="0.35">
      <c r="A41" s="21">
        <v>39508</v>
      </c>
      <c r="B41" s="6">
        <v>52</v>
      </c>
      <c r="C41" s="27">
        <f>B41-B40</f>
        <v>-0.29999999999999716</v>
      </c>
      <c r="D41" s="5">
        <v>6.0000000000000001E-3</v>
      </c>
    </row>
    <row r="42" spans="1:4" x14ac:dyDescent="0.35">
      <c r="A42" s="21">
        <v>39539</v>
      </c>
      <c r="B42" s="6">
        <v>50.7</v>
      </c>
      <c r="C42" s="27">
        <f t="shared" ref="C42:C105" si="1">B42-B41</f>
        <v>-1.2999999999999972</v>
      </c>
    </row>
    <row r="43" spans="1:4" x14ac:dyDescent="0.35">
      <c r="A43" s="21">
        <v>39569</v>
      </c>
      <c r="B43" s="6">
        <v>50.6</v>
      </c>
      <c r="C43" s="27">
        <f t="shared" si="1"/>
        <v>-0.10000000000000142</v>
      </c>
    </row>
    <row r="44" spans="1:4" x14ac:dyDescent="0.35">
      <c r="A44" s="21">
        <v>39600</v>
      </c>
      <c r="B44" s="6">
        <v>49.2</v>
      </c>
      <c r="C44" s="27">
        <f t="shared" si="1"/>
        <v>-1.3999999999999986</v>
      </c>
      <c r="D44" s="5">
        <v>-4.0000000000000001E-3</v>
      </c>
    </row>
    <row r="45" spans="1:4" x14ac:dyDescent="0.35">
      <c r="A45" s="21">
        <v>39630</v>
      </c>
      <c r="B45" s="6">
        <v>47.4</v>
      </c>
      <c r="C45" s="27">
        <f t="shared" si="1"/>
        <v>-1.8000000000000043</v>
      </c>
    </row>
    <row r="46" spans="1:4" x14ac:dyDescent="0.35">
      <c r="A46" s="21">
        <v>39661</v>
      </c>
      <c r="B46" s="6">
        <v>47.6</v>
      </c>
      <c r="C46" s="27">
        <f t="shared" si="1"/>
        <v>0.20000000000000284</v>
      </c>
    </row>
    <row r="47" spans="1:4" x14ac:dyDescent="0.35">
      <c r="A47" s="21">
        <v>39692</v>
      </c>
      <c r="B47" s="6">
        <v>45</v>
      </c>
      <c r="C47" s="27">
        <f t="shared" si="1"/>
        <v>-2.6000000000000014</v>
      </c>
      <c r="D47" s="5">
        <v>-6.0000000000000001E-3</v>
      </c>
    </row>
    <row r="48" spans="1:4" x14ac:dyDescent="0.35">
      <c r="A48" s="21">
        <v>39722</v>
      </c>
      <c r="B48" s="6">
        <v>38.9</v>
      </c>
      <c r="C48" s="27">
        <f t="shared" si="1"/>
        <v>-6.1000000000000014</v>
      </c>
    </row>
    <row r="49" spans="1:11" x14ac:dyDescent="0.35">
      <c r="A49" s="21">
        <v>39753</v>
      </c>
      <c r="B49" s="6">
        <v>35.6</v>
      </c>
      <c r="C49" s="27">
        <f t="shared" si="1"/>
        <v>-3.2999999999999972</v>
      </c>
    </row>
    <row r="50" spans="1:11" x14ac:dyDescent="0.35">
      <c r="A50" s="21">
        <v>39783</v>
      </c>
      <c r="B50" s="6">
        <v>33.9</v>
      </c>
      <c r="C50" s="27">
        <f t="shared" si="1"/>
        <v>-1.7000000000000028</v>
      </c>
      <c r="D50" s="5">
        <v>-1.7000000000000001E-2</v>
      </c>
    </row>
    <row r="51" spans="1:11" x14ac:dyDescent="0.35">
      <c r="A51" s="21">
        <v>39814</v>
      </c>
      <c r="B51" s="6">
        <v>34.4</v>
      </c>
      <c r="C51" s="27">
        <f t="shared" si="1"/>
        <v>0.5</v>
      </c>
    </row>
    <row r="52" spans="1:11" x14ac:dyDescent="0.35">
      <c r="A52" s="21">
        <v>39845</v>
      </c>
      <c r="B52" s="6">
        <v>33.5</v>
      </c>
      <c r="C52" s="27">
        <f t="shared" si="1"/>
        <v>-0.89999999999999858</v>
      </c>
    </row>
    <row r="53" spans="1:11" x14ac:dyDescent="0.35">
      <c r="A53" s="21">
        <v>39873</v>
      </c>
      <c r="B53" s="6">
        <v>33.9</v>
      </c>
      <c r="C53" s="27">
        <f t="shared" si="1"/>
        <v>0.39999999999999858</v>
      </c>
      <c r="D53" s="5">
        <v>-2.8000000000000001E-2</v>
      </c>
    </row>
    <row r="54" spans="1:11" x14ac:dyDescent="0.35">
      <c r="A54" s="21">
        <v>39904</v>
      </c>
      <c r="B54" s="6">
        <v>36.799999999999997</v>
      </c>
      <c r="C54" s="27">
        <f t="shared" si="1"/>
        <v>2.8999999999999986</v>
      </c>
      <c r="K54" s="5">
        <v>7.0000000000000001E-3</v>
      </c>
    </row>
    <row r="55" spans="1:11" x14ac:dyDescent="0.35">
      <c r="A55" s="21">
        <v>39934</v>
      </c>
      <c r="B55" s="6">
        <v>40.700000000000003</v>
      </c>
      <c r="C55" s="27">
        <f t="shared" si="1"/>
        <v>3.9000000000000057</v>
      </c>
      <c r="K55" s="5">
        <v>-2E-3</v>
      </c>
    </row>
    <row r="56" spans="1:11" x14ac:dyDescent="0.35">
      <c r="A56" s="21">
        <v>39965</v>
      </c>
      <c r="B56" s="6">
        <v>42.6</v>
      </c>
      <c r="C56" s="27">
        <f t="shared" si="1"/>
        <v>1.8999999999999986</v>
      </c>
      <c r="D56" s="5">
        <v>-3.0000000000000001E-3</v>
      </c>
      <c r="K56" s="5">
        <v>-2E-3</v>
      </c>
    </row>
    <row r="57" spans="1:11" x14ac:dyDescent="0.35">
      <c r="A57" s="21">
        <v>39995</v>
      </c>
      <c r="B57" s="6">
        <v>46.3</v>
      </c>
      <c r="C57" s="27">
        <f t="shared" si="1"/>
        <v>3.6999999999999957</v>
      </c>
      <c r="K57" s="5">
        <v>-1.4999999999999999E-2</v>
      </c>
    </row>
    <row r="58" spans="1:11" x14ac:dyDescent="0.35">
      <c r="A58" s="21">
        <v>40026</v>
      </c>
      <c r="B58" s="6">
        <v>48.2</v>
      </c>
      <c r="C58" s="27">
        <f t="shared" si="1"/>
        <v>1.9000000000000057</v>
      </c>
      <c r="K58" s="5">
        <v>-2.5000000000000001E-2</v>
      </c>
    </row>
    <row r="59" spans="1:11" x14ac:dyDescent="0.35">
      <c r="A59" s="21">
        <v>40057</v>
      </c>
      <c r="B59" s="6">
        <v>49.3</v>
      </c>
      <c r="C59" s="27">
        <f t="shared" si="1"/>
        <v>1.0999999999999943</v>
      </c>
      <c r="D59" s="5">
        <v>4.0000000000000001E-3</v>
      </c>
      <c r="K59" s="5">
        <v>-1E-3</v>
      </c>
    </row>
    <row r="60" spans="1:11" x14ac:dyDescent="0.35">
      <c r="A60" s="21">
        <v>40087</v>
      </c>
      <c r="B60" s="6">
        <v>50.7</v>
      </c>
      <c r="C60" s="27">
        <f t="shared" si="1"/>
        <v>1.4000000000000057</v>
      </c>
      <c r="K60" s="5">
        <v>4.0000000000000001E-3</v>
      </c>
    </row>
    <row r="61" spans="1:11" x14ac:dyDescent="0.35">
      <c r="A61" s="21">
        <v>40118</v>
      </c>
      <c r="B61" s="6">
        <v>51.2</v>
      </c>
      <c r="C61" s="27">
        <f t="shared" si="1"/>
        <v>0.5</v>
      </c>
      <c r="K61" s="5">
        <v>1E-3</v>
      </c>
    </row>
    <row r="62" spans="1:11" x14ac:dyDescent="0.35">
      <c r="A62" s="21">
        <v>40148</v>
      </c>
      <c r="B62" s="6">
        <v>51.6</v>
      </c>
      <c r="C62" s="27">
        <f t="shared" si="1"/>
        <v>0.39999999999999858</v>
      </c>
      <c r="D62" s="5">
        <v>5.0000000000000001E-3</v>
      </c>
      <c r="K62" s="5">
        <v>2E-3</v>
      </c>
    </row>
    <row r="63" spans="1:11" x14ac:dyDescent="0.35">
      <c r="A63" s="21">
        <v>40179</v>
      </c>
      <c r="B63" s="6">
        <v>52.4</v>
      </c>
      <c r="C63" s="27">
        <f t="shared" si="1"/>
        <v>0.79999999999999716</v>
      </c>
      <c r="K63" s="5">
        <v>0.01</v>
      </c>
    </row>
    <row r="64" spans="1:11" x14ac:dyDescent="0.35">
      <c r="A64" s="21">
        <v>40210</v>
      </c>
      <c r="B64" s="6">
        <v>54.2</v>
      </c>
      <c r="C64" s="27">
        <f t="shared" si="1"/>
        <v>1.8000000000000043</v>
      </c>
      <c r="K64" s="5">
        <v>4.0000000000000001E-3</v>
      </c>
    </row>
    <row r="65" spans="1:12" x14ac:dyDescent="0.35">
      <c r="A65" s="21">
        <v>40238</v>
      </c>
      <c r="B65" s="6">
        <v>56.6</v>
      </c>
      <c r="C65" s="27">
        <f t="shared" si="1"/>
        <v>2.3999999999999986</v>
      </c>
      <c r="D65" s="5">
        <v>4.0000000000000001E-3</v>
      </c>
      <c r="K65" s="5">
        <v>3.0000000000000001E-3</v>
      </c>
    </row>
    <row r="66" spans="1:12" x14ac:dyDescent="0.35">
      <c r="A66" s="21">
        <v>40269</v>
      </c>
      <c r="B66" s="6">
        <v>57.6</v>
      </c>
      <c r="C66" s="27">
        <f t="shared" si="1"/>
        <v>1</v>
      </c>
      <c r="K66" s="5">
        <v>8.0000000000000002E-3</v>
      </c>
    </row>
    <row r="67" spans="1:12" x14ac:dyDescent="0.35">
      <c r="A67" s="21">
        <v>40299</v>
      </c>
      <c r="B67" s="6">
        <v>55.8</v>
      </c>
      <c r="C67" s="27">
        <f t="shared" si="1"/>
        <v>-1.8000000000000043</v>
      </c>
      <c r="K67" s="5">
        <v>2E-3</v>
      </c>
    </row>
    <row r="68" spans="1:12" x14ac:dyDescent="0.35">
      <c r="A68" s="21">
        <v>40330</v>
      </c>
      <c r="B68" s="6">
        <v>55.6</v>
      </c>
      <c r="C68" s="27">
        <f t="shared" si="1"/>
        <v>-0.19999999999999574</v>
      </c>
      <c r="D68" s="5">
        <v>8.9999999999999993E-3</v>
      </c>
      <c r="K68" s="5">
        <v>2E-3</v>
      </c>
    </row>
    <row r="69" spans="1:12" x14ac:dyDescent="0.35">
      <c r="A69" s="21">
        <v>40360</v>
      </c>
      <c r="B69" s="6">
        <v>56.7</v>
      </c>
      <c r="C69" s="27">
        <f t="shared" si="1"/>
        <v>1.1000000000000014</v>
      </c>
      <c r="K69" s="5">
        <v>-3.0000000000000001E-3</v>
      </c>
    </row>
    <row r="70" spans="1:12" x14ac:dyDescent="0.35">
      <c r="A70" s="21">
        <v>40391</v>
      </c>
      <c r="B70" s="6">
        <v>55.1</v>
      </c>
      <c r="C70" s="27">
        <f t="shared" si="1"/>
        <v>-1.6000000000000014</v>
      </c>
      <c r="K70" s="5">
        <v>0</v>
      </c>
      <c r="L70" s="3"/>
    </row>
    <row r="71" spans="1:12" x14ac:dyDescent="0.35">
      <c r="A71" s="21">
        <v>40422</v>
      </c>
      <c r="B71" s="6">
        <v>53.7</v>
      </c>
      <c r="C71" s="27">
        <f t="shared" si="1"/>
        <v>-1.3999999999999986</v>
      </c>
      <c r="D71" s="5">
        <f>K64</f>
        <v>4.0000000000000001E-3</v>
      </c>
      <c r="K71" s="5">
        <v>-2E-3</v>
      </c>
      <c r="L71" s="3"/>
    </row>
    <row r="72" spans="1:12" x14ac:dyDescent="0.35">
      <c r="A72" s="21">
        <v>40452</v>
      </c>
      <c r="B72" s="6">
        <v>54.6</v>
      </c>
      <c r="C72" s="27">
        <f t="shared" si="1"/>
        <v>0.89999999999999858</v>
      </c>
      <c r="K72" s="5">
        <v>-1E-3</v>
      </c>
      <c r="L72" s="3"/>
    </row>
    <row r="73" spans="1:12" x14ac:dyDescent="0.35">
      <c r="A73" s="21">
        <v>40483</v>
      </c>
      <c r="B73" s="6">
        <v>55.3</v>
      </c>
      <c r="C73" s="27">
        <f t="shared" si="1"/>
        <v>0.69999999999999574</v>
      </c>
      <c r="K73" s="5">
        <v>-6.0000000000000001E-3</v>
      </c>
      <c r="L73" s="3"/>
    </row>
    <row r="74" spans="1:12" x14ac:dyDescent="0.35">
      <c r="A74" s="21">
        <v>40513</v>
      </c>
      <c r="B74" s="6">
        <v>57.1</v>
      </c>
      <c r="C74" s="27">
        <f t="shared" si="1"/>
        <v>1.8000000000000043</v>
      </c>
      <c r="D74" s="5">
        <v>5.0000000000000001E-3</v>
      </c>
      <c r="K74" s="5">
        <v>-2E-3</v>
      </c>
      <c r="L74" s="3"/>
    </row>
    <row r="75" spans="1:12" x14ac:dyDescent="0.35">
      <c r="A75" s="21">
        <v>40544</v>
      </c>
      <c r="B75" s="6">
        <v>57.3</v>
      </c>
      <c r="C75" s="27">
        <f t="shared" si="1"/>
        <v>0.19999999999999574</v>
      </c>
      <c r="K75" s="5">
        <v>3.0000000000000001E-3</v>
      </c>
      <c r="L75" s="3"/>
    </row>
    <row r="76" spans="1:12" x14ac:dyDescent="0.35">
      <c r="A76" s="21">
        <v>40575</v>
      </c>
      <c r="B76" s="6">
        <v>59</v>
      </c>
      <c r="C76" s="27">
        <f t="shared" si="1"/>
        <v>1.7000000000000028</v>
      </c>
      <c r="K76" s="5">
        <v>1E-3</v>
      </c>
      <c r="L76" s="3"/>
    </row>
    <row r="77" spans="1:12" x14ac:dyDescent="0.35">
      <c r="A77" s="21">
        <v>40603</v>
      </c>
      <c r="B77" s="6">
        <v>57.5</v>
      </c>
      <c r="C77" s="27">
        <f t="shared" si="1"/>
        <v>-1.5</v>
      </c>
      <c r="D77" s="5">
        <f>K66</f>
        <v>8.0000000000000002E-3</v>
      </c>
      <c r="L77" s="3"/>
    </row>
    <row r="78" spans="1:12" x14ac:dyDescent="0.35">
      <c r="A78" s="21">
        <v>40634</v>
      </c>
      <c r="B78" s="6">
        <v>58</v>
      </c>
      <c r="C78" s="27">
        <f t="shared" si="1"/>
        <v>0.5</v>
      </c>
      <c r="L78" s="3"/>
    </row>
    <row r="79" spans="1:12" x14ac:dyDescent="0.35">
      <c r="A79" s="21">
        <v>40664</v>
      </c>
      <c r="B79" s="6">
        <v>54.6</v>
      </c>
      <c r="C79" s="27">
        <f t="shared" si="1"/>
        <v>-3.3999999999999986</v>
      </c>
      <c r="L79" s="3"/>
    </row>
    <row r="80" spans="1:12" x14ac:dyDescent="0.35">
      <c r="A80" s="21">
        <v>40695</v>
      </c>
      <c r="B80" s="6">
        <v>52</v>
      </c>
      <c r="C80" s="27">
        <f t="shared" si="1"/>
        <v>-2.6000000000000014</v>
      </c>
      <c r="D80" s="5">
        <f>K67</f>
        <v>2E-3</v>
      </c>
      <c r="L80" s="3"/>
    </row>
    <row r="81" spans="1:12" x14ac:dyDescent="0.35">
      <c r="A81" s="21">
        <v>40725</v>
      </c>
      <c r="B81" s="6">
        <v>50.4</v>
      </c>
      <c r="C81" s="27">
        <f t="shared" si="1"/>
        <v>-1.6000000000000014</v>
      </c>
      <c r="L81" s="3"/>
    </row>
    <row r="82" spans="1:12" x14ac:dyDescent="0.35">
      <c r="A82" s="21">
        <v>40756</v>
      </c>
      <c r="B82" s="6">
        <v>49</v>
      </c>
      <c r="C82" s="27">
        <f t="shared" si="1"/>
        <v>-1.3999999999999986</v>
      </c>
      <c r="L82" s="3"/>
    </row>
    <row r="83" spans="1:12" x14ac:dyDescent="0.35">
      <c r="A83" s="21">
        <v>40787</v>
      </c>
      <c r="B83" s="6">
        <v>48.5</v>
      </c>
      <c r="C83" s="27">
        <f t="shared" si="1"/>
        <v>-0.5</v>
      </c>
      <c r="D83" s="5">
        <f>K68</f>
        <v>2E-3</v>
      </c>
      <c r="L83" s="3"/>
    </row>
    <row r="84" spans="1:12" x14ac:dyDescent="0.35">
      <c r="A84" s="21">
        <v>40817</v>
      </c>
      <c r="B84" s="6">
        <v>47.1</v>
      </c>
      <c r="C84" s="27">
        <f t="shared" si="1"/>
        <v>-1.3999999999999986</v>
      </c>
      <c r="L84" s="3"/>
    </row>
    <row r="85" spans="1:12" x14ac:dyDescent="0.35">
      <c r="A85" s="21">
        <v>40848</v>
      </c>
      <c r="B85" s="6">
        <v>46.4</v>
      </c>
      <c r="C85" s="27">
        <f t="shared" si="1"/>
        <v>-0.70000000000000284</v>
      </c>
      <c r="H85" s="64" t="s">
        <v>102</v>
      </c>
      <c r="I85" t="s">
        <v>130</v>
      </c>
      <c r="L85" s="3"/>
    </row>
    <row r="86" spans="1:12" x14ac:dyDescent="0.35">
      <c r="A86" s="21">
        <v>40878</v>
      </c>
      <c r="B86" s="6">
        <v>46.9</v>
      </c>
      <c r="C86" s="27">
        <f t="shared" si="1"/>
        <v>0.5</v>
      </c>
      <c r="D86" s="5">
        <v>-2E-3</v>
      </c>
      <c r="L86" s="3"/>
    </row>
    <row r="87" spans="1:12" x14ac:dyDescent="0.35">
      <c r="A87" s="22">
        <v>40909</v>
      </c>
      <c r="B87" s="17">
        <v>48.8</v>
      </c>
      <c r="C87" s="28">
        <f t="shared" si="1"/>
        <v>1.8999999999999986</v>
      </c>
      <c r="L87" s="3"/>
    </row>
    <row r="88" spans="1:12" x14ac:dyDescent="0.35">
      <c r="A88" s="22">
        <v>40940</v>
      </c>
      <c r="B88" s="17">
        <v>49</v>
      </c>
      <c r="C88" s="28">
        <f t="shared" si="1"/>
        <v>0.20000000000000284</v>
      </c>
      <c r="L88" s="3"/>
    </row>
    <row r="89" spans="1:12" x14ac:dyDescent="0.35">
      <c r="A89" s="22">
        <v>40969</v>
      </c>
      <c r="B89" s="17">
        <v>47.7</v>
      </c>
      <c r="C89" s="28">
        <f t="shared" si="1"/>
        <v>-1.2999999999999972</v>
      </c>
      <c r="D89" s="5">
        <v>-1E-3</v>
      </c>
      <c r="L89" s="3"/>
    </row>
    <row r="90" spans="1:12" x14ac:dyDescent="0.35">
      <c r="A90" s="22">
        <v>41000</v>
      </c>
      <c r="B90" s="17">
        <v>45.9</v>
      </c>
      <c r="C90" s="28">
        <f t="shared" si="1"/>
        <v>-1.8000000000000043</v>
      </c>
      <c r="L90" s="3"/>
    </row>
    <row r="91" spans="1:12" x14ac:dyDescent="0.35">
      <c r="A91" s="22">
        <v>41030</v>
      </c>
      <c r="B91" s="17">
        <v>45.1</v>
      </c>
      <c r="C91" s="28">
        <f t="shared" si="1"/>
        <v>-0.79999999999999716</v>
      </c>
      <c r="L91" s="3"/>
    </row>
    <row r="92" spans="1:12" x14ac:dyDescent="0.35">
      <c r="A92" s="22">
        <v>41061</v>
      </c>
      <c r="B92" s="17">
        <v>45.1</v>
      </c>
      <c r="C92" s="28">
        <f t="shared" si="1"/>
        <v>0</v>
      </c>
      <c r="D92" s="5">
        <v>-3.0000000000000001E-3</v>
      </c>
      <c r="L92" s="3"/>
    </row>
    <row r="93" spans="1:12" x14ac:dyDescent="0.35">
      <c r="A93" s="22">
        <v>41091</v>
      </c>
      <c r="B93" s="17">
        <v>44</v>
      </c>
      <c r="C93" s="28">
        <f t="shared" si="1"/>
        <v>-1.1000000000000014</v>
      </c>
      <c r="L93" s="3"/>
    </row>
    <row r="94" spans="1:12" x14ac:dyDescent="0.35">
      <c r="A94" s="22">
        <v>41122</v>
      </c>
      <c r="B94" s="17">
        <v>45.1</v>
      </c>
      <c r="C94" s="28">
        <f t="shared" si="1"/>
        <v>1.1000000000000014</v>
      </c>
      <c r="L94" s="3"/>
    </row>
    <row r="95" spans="1:12" x14ac:dyDescent="0.35">
      <c r="A95" s="22">
        <v>41153</v>
      </c>
      <c r="B95" s="17">
        <v>46.1</v>
      </c>
      <c r="C95" s="28">
        <f t="shared" si="1"/>
        <v>1</v>
      </c>
      <c r="D95" s="5">
        <v>-2E-3</v>
      </c>
      <c r="L95" s="3"/>
    </row>
    <row r="96" spans="1:12" x14ac:dyDescent="0.35">
      <c r="A96" s="22">
        <v>41183</v>
      </c>
      <c r="B96" s="17">
        <v>45.4</v>
      </c>
      <c r="C96" s="28">
        <f t="shared" si="1"/>
        <v>-0.70000000000000284</v>
      </c>
      <c r="L96" s="3"/>
    </row>
    <row r="97" spans="1:12" x14ac:dyDescent="0.35">
      <c r="A97" s="22">
        <v>41214</v>
      </c>
      <c r="B97" s="17">
        <v>46.2</v>
      </c>
      <c r="C97" s="28">
        <f t="shared" si="1"/>
        <v>0.80000000000000426</v>
      </c>
      <c r="L97" s="3"/>
    </row>
    <row r="98" spans="1:12" x14ac:dyDescent="0.35">
      <c r="A98" s="22">
        <v>41244</v>
      </c>
      <c r="B98" s="17">
        <v>46.1</v>
      </c>
      <c r="C98" s="28">
        <f t="shared" si="1"/>
        <v>-0.10000000000000142</v>
      </c>
      <c r="D98" s="5">
        <v>-5.0000000000000001E-3</v>
      </c>
      <c r="L98" s="3"/>
    </row>
    <row r="99" spans="1:12" x14ac:dyDescent="0.35">
      <c r="A99" s="22">
        <v>41275</v>
      </c>
      <c r="B99" s="17">
        <v>47.9</v>
      </c>
      <c r="C99" s="28">
        <f t="shared" si="1"/>
        <v>1.7999999999999972</v>
      </c>
      <c r="L99" s="3"/>
    </row>
    <row r="100" spans="1:12" x14ac:dyDescent="0.35">
      <c r="A100" s="22">
        <v>41306</v>
      </c>
      <c r="B100" s="17">
        <v>47.9</v>
      </c>
      <c r="C100" s="28">
        <f t="shared" si="1"/>
        <v>0</v>
      </c>
      <c r="L100" s="3"/>
    </row>
    <row r="101" spans="1:12" x14ac:dyDescent="0.35">
      <c r="A101" s="22">
        <v>41334</v>
      </c>
      <c r="B101" s="17">
        <v>46.8</v>
      </c>
      <c r="C101" s="28">
        <f t="shared" si="1"/>
        <v>-1.1000000000000014</v>
      </c>
      <c r="D101" s="5">
        <f>K74</f>
        <v>-2E-3</v>
      </c>
      <c r="L101" s="3"/>
    </row>
    <row r="102" spans="1:12" x14ac:dyDescent="0.35">
      <c r="A102" s="22">
        <v>41365</v>
      </c>
      <c r="B102" s="17">
        <v>46.7</v>
      </c>
      <c r="C102" s="28">
        <f t="shared" si="1"/>
        <v>-9.9999999999994316E-2</v>
      </c>
      <c r="L102" s="3"/>
    </row>
    <row r="103" spans="1:12" x14ac:dyDescent="0.35">
      <c r="A103" s="22">
        <v>41395</v>
      </c>
      <c r="B103" s="17">
        <v>48.3</v>
      </c>
      <c r="C103" s="28">
        <f t="shared" si="1"/>
        <v>1.5999999999999943</v>
      </c>
      <c r="L103" s="3"/>
    </row>
    <row r="104" spans="1:12" x14ac:dyDescent="0.35">
      <c r="A104" s="22">
        <v>41426</v>
      </c>
      <c r="B104" s="17">
        <v>48.8</v>
      </c>
      <c r="C104" s="28">
        <f t="shared" si="1"/>
        <v>0.5</v>
      </c>
      <c r="D104" s="5">
        <f>K75</f>
        <v>3.0000000000000001E-3</v>
      </c>
      <c r="L104" s="3"/>
    </row>
    <row r="105" spans="1:12" x14ac:dyDescent="0.35">
      <c r="A105" s="22">
        <v>41456</v>
      </c>
      <c r="B105" s="17">
        <v>50.3</v>
      </c>
      <c r="C105" s="28">
        <f t="shared" si="1"/>
        <v>1.5</v>
      </c>
      <c r="L105" s="3"/>
    </row>
    <row r="106" spans="1:12" x14ac:dyDescent="0.35">
      <c r="A106" s="22">
        <v>41487</v>
      </c>
      <c r="B106" s="17">
        <v>51.4</v>
      </c>
      <c r="C106" s="28">
        <f t="shared" ref="C106:C112" si="2">B106-B105</f>
        <v>1.1000000000000014</v>
      </c>
      <c r="L106" s="3"/>
    </row>
    <row r="107" spans="1:12" x14ac:dyDescent="0.35">
      <c r="A107" s="22">
        <v>41518</v>
      </c>
      <c r="B107" s="17">
        <v>51.1</v>
      </c>
      <c r="C107" s="28">
        <f t="shared" si="2"/>
        <v>-0.29999999999999716</v>
      </c>
      <c r="D107" s="5">
        <f>K76</f>
        <v>1E-3</v>
      </c>
      <c r="L107" s="3"/>
    </row>
    <row r="108" spans="1:12" x14ac:dyDescent="0.35">
      <c r="A108" s="22">
        <v>41548</v>
      </c>
      <c r="B108" s="17">
        <v>51.3</v>
      </c>
      <c r="C108" s="28">
        <f t="shared" si="2"/>
        <v>0.19999999999999574</v>
      </c>
      <c r="L108" s="3"/>
    </row>
    <row r="109" spans="1:12" x14ac:dyDescent="0.35">
      <c r="A109" s="22">
        <v>41579</v>
      </c>
      <c r="B109" s="17">
        <v>51.6</v>
      </c>
      <c r="C109" s="28">
        <f t="shared" si="2"/>
        <v>0.30000000000000426</v>
      </c>
      <c r="L109" s="3"/>
    </row>
    <row r="110" spans="1:12" x14ac:dyDescent="0.35">
      <c r="A110" s="22">
        <v>41609</v>
      </c>
      <c r="B110" s="17">
        <v>52.7</v>
      </c>
      <c r="C110" s="28">
        <f t="shared" si="2"/>
        <v>1.1000000000000014</v>
      </c>
      <c r="D110" s="5">
        <v>2E-3</v>
      </c>
      <c r="L110" s="3"/>
    </row>
    <row r="111" spans="1:12" x14ac:dyDescent="0.35">
      <c r="A111" s="22">
        <v>41640</v>
      </c>
      <c r="B111" s="17">
        <v>54</v>
      </c>
      <c r="C111" s="28">
        <f t="shared" si="2"/>
        <v>1.2999999999999972</v>
      </c>
      <c r="L111" s="3"/>
    </row>
    <row r="112" spans="1:12" x14ac:dyDescent="0.35">
      <c r="A112" s="22">
        <v>41671</v>
      </c>
      <c r="B112" s="17">
        <v>53.2</v>
      </c>
      <c r="C112" s="28">
        <f t="shared" si="2"/>
        <v>-0.79999999999999716</v>
      </c>
      <c r="L112" s="3"/>
    </row>
    <row r="113" spans="1:13" x14ac:dyDescent="0.35">
      <c r="A113" s="22">
        <v>41699</v>
      </c>
      <c r="B113" s="17">
        <v>53</v>
      </c>
      <c r="C113" s="28">
        <f t="shared" ref="C113:C117" si="3">B113-B112</f>
        <v>-0.20000000000000284</v>
      </c>
      <c r="D113" s="5">
        <v>2E-3</v>
      </c>
      <c r="L113" s="3"/>
    </row>
    <row r="114" spans="1:13" x14ac:dyDescent="0.35">
      <c r="A114" s="22">
        <v>41730</v>
      </c>
      <c r="B114" s="17">
        <v>54</v>
      </c>
      <c r="C114" s="28">
        <f t="shared" si="3"/>
        <v>1</v>
      </c>
      <c r="L114" s="3"/>
    </row>
    <row r="115" spans="1:13" x14ac:dyDescent="0.35">
      <c r="A115" s="22">
        <v>41760</v>
      </c>
      <c r="B115" s="17">
        <v>52.2</v>
      </c>
      <c r="C115" s="28">
        <f t="shared" si="3"/>
        <v>-1.7999999999999972</v>
      </c>
      <c r="L115" s="3"/>
    </row>
    <row r="116" spans="1:13" x14ac:dyDescent="0.35">
      <c r="A116" s="22">
        <v>41791</v>
      </c>
      <c r="B116" s="17">
        <v>51.8</v>
      </c>
      <c r="C116" s="28">
        <f t="shared" si="3"/>
        <v>-0.40000000000000568</v>
      </c>
      <c r="D116" s="5">
        <v>0</v>
      </c>
      <c r="L116" s="3"/>
    </row>
    <row r="117" spans="1:13" x14ac:dyDescent="0.35">
      <c r="A117" s="22">
        <v>41821</v>
      </c>
      <c r="B117" s="17">
        <v>51.8</v>
      </c>
      <c r="C117" s="28">
        <f t="shared" si="3"/>
        <v>0</v>
      </c>
      <c r="L117" s="1"/>
      <c r="M117" s="2"/>
    </row>
    <row r="118" spans="1:13" x14ac:dyDescent="0.35">
      <c r="A118" s="22">
        <v>41852</v>
      </c>
      <c r="B118" s="17">
        <v>50.7</v>
      </c>
      <c r="C118" s="28">
        <f t="shared" ref="C118" si="4">B118-B117</f>
        <v>-1.0999999999999943</v>
      </c>
      <c r="L118" s="1"/>
      <c r="M118" s="2"/>
    </row>
    <row r="119" spans="1:13" x14ac:dyDescent="0.35">
      <c r="A119" s="22">
        <v>41883</v>
      </c>
      <c r="B119" s="17">
        <v>50.3</v>
      </c>
      <c r="C119" s="28">
        <f>IFERROR(B119-B118,"")</f>
        <v>-0.40000000000000568</v>
      </c>
      <c r="D119" s="7">
        <f>IF(VLOOKUP(I85,Data!$O$51:$V$152,7,FALSE)=A118,VLOOKUP(I85,Data!$O$51:$V$152,2,FALSE)/100,"")</f>
        <v>2E-3</v>
      </c>
      <c r="L119" s="1"/>
      <c r="M119" s="2"/>
    </row>
    <row r="120" spans="1:13" x14ac:dyDescent="0.35">
      <c r="A120" s="22">
        <v>41913</v>
      </c>
      <c r="B120" s="17">
        <v>50.6</v>
      </c>
      <c r="C120" s="28">
        <v>0.30000000000000426</v>
      </c>
      <c r="L120" s="1"/>
      <c r="M120" s="2"/>
    </row>
    <row r="121" spans="1:13" x14ac:dyDescent="0.35">
      <c r="A121" s="22">
        <v>41944</v>
      </c>
      <c r="B121" s="17">
        <f>IF(A121=Data!$C$1,VLOOKUP($H$85,Data!$A$2:$C$36,3,FALSE),"N/A")</f>
        <v>50.1</v>
      </c>
      <c r="C121" s="28">
        <f t="shared" ref="C121" si="5">B121-B120</f>
        <v>-0.5</v>
      </c>
      <c r="L121" s="1"/>
      <c r="M121" s="2"/>
    </row>
    <row r="122" spans="1:13" x14ac:dyDescent="0.35">
      <c r="A122" s="108">
        <v>41974</v>
      </c>
      <c r="B122" s="17"/>
      <c r="C122" s="28"/>
      <c r="L122" s="1"/>
      <c r="M122" s="2"/>
    </row>
    <row r="123" spans="1:13" x14ac:dyDescent="0.35">
      <c r="A123" s="108">
        <v>42005</v>
      </c>
      <c r="B123" s="17"/>
      <c r="C123" s="28"/>
      <c r="L123" s="1"/>
      <c r="M123" s="2"/>
    </row>
    <row r="124" spans="1:13" x14ac:dyDescent="0.35">
      <c r="A124" s="108">
        <v>42036</v>
      </c>
      <c r="B124" s="17"/>
      <c r="C124" s="28"/>
      <c r="L124" s="1"/>
      <c r="M124" s="2"/>
    </row>
    <row r="125" spans="1:13" x14ac:dyDescent="0.35">
      <c r="A125" s="108">
        <v>42064</v>
      </c>
      <c r="B125" s="17"/>
      <c r="C125" s="28"/>
      <c r="L125" s="1"/>
      <c r="M125" s="2"/>
    </row>
    <row r="126" spans="1:13" x14ac:dyDescent="0.35">
      <c r="A126" s="108">
        <v>42095</v>
      </c>
      <c r="B126" s="17"/>
      <c r="C126" s="28"/>
      <c r="L126" s="1"/>
      <c r="M126" s="2"/>
    </row>
    <row r="127" spans="1:13" x14ac:dyDescent="0.35">
      <c r="A127" s="108">
        <v>42125</v>
      </c>
      <c r="B127" s="17"/>
      <c r="C127" s="28"/>
      <c r="L127" s="1"/>
      <c r="M127" s="2"/>
    </row>
    <row r="128" spans="1:13" x14ac:dyDescent="0.35">
      <c r="A128" s="108">
        <v>42156</v>
      </c>
      <c r="B128" s="17"/>
      <c r="C128" s="28"/>
      <c r="L128" s="1"/>
      <c r="M128" s="2"/>
    </row>
    <row r="129" spans="1:13" x14ac:dyDescent="0.35">
      <c r="A129" s="108">
        <v>42186</v>
      </c>
      <c r="B129" s="17"/>
      <c r="C129" s="28"/>
      <c r="L129" s="1"/>
      <c r="M129" s="2"/>
    </row>
    <row r="130" spans="1:13" x14ac:dyDescent="0.35">
      <c r="A130" s="108">
        <v>42217</v>
      </c>
      <c r="B130" s="17"/>
      <c r="C130" s="28"/>
      <c r="L130" s="1"/>
      <c r="M130" s="2"/>
    </row>
    <row r="131" spans="1:13" x14ac:dyDescent="0.35">
      <c r="A131" s="108">
        <v>42248</v>
      </c>
      <c r="B131" s="17"/>
      <c r="C131" s="28"/>
      <c r="L131" s="1"/>
      <c r="M131" s="2"/>
    </row>
    <row r="132" spans="1:13" x14ac:dyDescent="0.35">
      <c r="A132" s="108">
        <v>42278</v>
      </c>
      <c r="B132" s="17"/>
      <c r="C132" s="28"/>
      <c r="L132" s="1"/>
      <c r="M132" s="2"/>
    </row>
    <row r="133" spans="1:13" x14ac:dyDescent="0.35">
      <c r="A133" s="108">
        <v>42309</v>
      </c>
      <c r="B133" s="17"/>
      <c r="C133" s="28"/>
      <c r="L133" s="1"/>
      <c r="M133" s="2"/>
    </row>
    <row r="134" spans="1:13" x14ac:dyDescent="0.35">
      <c r="A134" s="108">
        <v>42339</v>
      </c>
      <c r="B134" s="17"/>
      <c r="C134" s="28"/>
      <c r="L134" s="1"/>
      <c r="M134" s="2"/>
    </row>
    <row r="135" spans="1:13" x14ac:dyDescent="0.35">
      <c r="A135" s="108">
        <v>42370</v>
      </c>
      <c r="B135" s="17"/>
      <c r="C135" s="28"/>
      <c r="L135" s="1"/>
      <c r="M135" s="2"/>
    </row>
    <row r="136" spans="1:13" x14ac:dyDescent="0.35">
      <c r="A136" s="108">
        <v>42401</v>
      </c>
      <c r="B136" s="17"/>
      <c r="C136" s="28"/>
      <c r="L136" s="1"/>
      <c r="M136" s="2"/>
    </row>
    <row r="137" spans="1:13" x14ac:dyDescent="0.35">
      <c r="A137" s="108">
        <v>42430</v>
      </c>
      <c r="B137" s="17"/>
      <c r="C137" s="28"/>
      <c r="L137" s="1"/>
      <c r="M137" s="2"/>
    </row>
    <row r="138" spans="1:13" x14ac:dyDescent="0.35">
      <c r="A138" s="108">
        <v>42461</v>
      </c>
      <c r="B138" s="17"/>
      <c r="C138" s="28"/>
      <c r="L138" s="1"/>
      <c r="M138" s="2"/>
    </row>
    <row r="139" spans="1:13" x14ac:dyDescent="0.35">
      <c r="A139" s="108">
        <v>42491</v>
      </c>
      <c r="B139" s="17"/>
      <c r="C139" s="28"/>
      <c r="L139" s="1"/>
      <c r="M139" s="2"/>
    </row>
    <row r="140" spans="1:13" x14ac:dyDescent="0.35">
      <c r="A140" s="108">
        <v>42522</v>
      </c>
      <c r="B140" s="17"/>
      <c r="C140" s="28"/>
      <c r="L140" s="1"/>
      <c r="M140" s="2"/>
    </row>
    <row r="141" spans="1:13" x14ac:dyDescent="0.35">
      <c r="A141" s="108">
        <v>42552</v>
      </c>
      <c r="B141" s="17"/>
      <c r="C141" s="28"/>
    </row>
    <row r="142" spans="1:13" x14ac:dyDescent="0.35">
      <c r="A142" s="108">
        <v>42583</v>
      </c>
      <c r="B142" s="17"/>
      <c r="C142" s="28"/>
    </row>
    <row r="143" spans="1:13" x14ac:dyDescent="0.35">
      <c r="A143" s="108">
        <v>42614</v>
      </c>
      <c r="B143" s="17"/>
      <c r="C143" s="28"/>
    </row>
    <row r="144" spans="1:13" x14ac:dyDescent="0.35">
      <c r="A144" s="108">
        <v>42644</v>
      </c>
      <c r="B144" s="17"/>
      <c r="C144" s="28"/>
    </row>
    <row r="145" spans="1:5" x14ac:dyDescent="0.35">
      <c r="A145" s="108">
        <v>42675</v>
      </c>
      <c r="B145" s="17"/>
      <c r="C145" s="28"/>
    </row>
    <row r="146" spans="1:5" x14ac:dyDescent="0.35">
      <c r="A146" s="108">
        <v>42705</v>
      </c>
      <c r="B146" s="17"/>
      <c r="C146" s="28"/>
    </row>
    <row r="147" spans="1:5" x14ac:dyDescent="0.35">
      <c r="A147" s="108">
        <v>42736</v>
      </c>
      <c r="B147" s="17"/>
      <c r="C147" s="28"/>
    </row>
    <row r="148" spans="1:5" x14ac:dyDescent="0.35">
      <c r="A148" s="108">
        <v>42767</v>
      </c>
      <c r="B148" s="17"/>
      <c r="C148" s="28"/>
    </row>
    <row r="149" spans="1:5" x14ac:dyDescent="0.35">
      <c r="A149" s="108">
        <v>42795</v>
      </c>
      <c r="B149" s="17"/>
      <c r="C149" s="28"/>
    </row>
    <row r="150" spans="1:5" x14ac:dyDescent="0.35">
      <c r="A150" s="108">
        <v>42826</v>
      </c>
      <c r="B150" s="17"/>
      <c r="C150" s="28"/>
    </row>
    <row r="151" spans="1:5" x14ac:dyDescent="0.35">
      <c r="A151" s="108">
        <v>42856</v>
      </c>
      <c r="B151" s="17"/>
      <c r="C151" s="28"/>
    </row>
    <row r="152" spans="1:5" x14ac:dyDescent="0.35">
      <c r="A152" s="108">
        <v>42887</v>
      </c>
      <c r="B152" s="17"/>
      <c r="C152" s="28"/>
    </row>
    <row r="153" spans="1:5" x14ac:dyDescent="0.35">
      <c r="A153" s="108">
        <v>42917</v>
      </c>
      <c r="B153" s="17"/>
      <c r="C153" s="28"/>
    </row>
    <row r="154" spans="1:5" x14ac:dyDescent="0.35">
      <c r="A154" s="109">
        <v>42948</v>
      </c>
      <c r="B154" s="91"/>
      <c r="C154" s="107"/>
    </row>
    <row r="155" spans="1:5" x14ac:dyDescent="0.35">
      <c r="A155" s="122">
        <v>46143</v>
      </c>
      <c r="B155" s="91">
        <v>51.6</v>
      </c>
      <c r="C155" s="107"/>
      <c r="E155" t="s">
        <v>324</v>
      </c>
    </row>
    <row r="156" spans="1:5" x14ac:dyDescent="0.35">
      <c r="A156" s="122">
        <v>46174</v>
      </c>
      <c r="B156" s="91">
        <v>51.4</v>
      </c>
      <c r="C156" s="107">
        <v>-0.2</v>
      </c>
    </row>
  </sheetData>
  <sortState xmlns:xlrd2="http://schemas.microsoft.com/office/spreadsheetml/2017/richdata2" ref="L32:M78">
    <sortCondition ref="L32"/>
  </sortState>
  <conditionalFormatting sqref="B33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38:J156"/>
  <sheetViews>
    <sheetView topLeftCell="A38" zoomScale="70" zoomScaleNormal="70" workbookViewId="0">
      <pane ySplit="1" topLeftCell="A99" activePane="bottomLeft" state="frozen"/>
      <selection activeCell="D119" sqref="D119"/>
      <selection pane="bottomLeft" activeCell="B118" sqref="B118"/>
    </sheetView>
  </sheetViews>
  <sheetFormatPr defaultRowHeight="14.5" x14ac:dyDescent="0.35"/>
  <cols>
    <col min="1" max="1" width="9.6328125" style="13" customWidth="1"/>
    <col min="2" max="2" width="18.08984375" style="13" customWidth="1"/>
    <col min="3" max="3" width="12.36328125" style="26" customWidth="1"/>
    <col min="4" max="4" width="23.453125" style="5" customWidth="1"/>
  </cols>
  <sheetData>
    <row r="38" spans="1:5" x14ac:dyDescent="0.35">
      <c r="A38" s="13" t="s">
        <v>0</v>
      </c>
      <c r="B38" s="13" t="s">
        <v>4</v>
      </c>
      <c r="C38" s="26" t="s">
        <v>5</v>
      </c>
      <c r="D38" s="5" t="s">
        <v>46</v>
      </c>
      <c r="E38" t="s">
        <v>325</v>
      </c>
    </row>
    <row r="39" spans="1:5" x14ac:dyDescent="0.35">
      <c r="A39" s="23">
        <v>39478</v>
      </c>
      <c r="B39" s="13">
        <v>54.4</v>
      </c>
    </row>
    <row r="40" spans="1:5" x14ac:dyDescent="0.35">
      <c r="A40" s="23">
        <v>39479</v>
      </c>
      <c r="B40" s="19">
        <v>54.3</v>
      </c>
      <c r="C40" s="27">
        <f>B40-B39</f>
        <v>-0.10000000000000142</v>
      </c>
    </row>
    <row r="41" spans="1:5" x14ac:dyDescent="0.35">
      <c r="A41" s="23">
        <v>39508</v>
      </c>
      <c r="B41" s="19">
        <v>54.9</v>
      </c>
      <c r="C41" s="27">
        <f>B41-B40</f>
        <v>0.60000000000000142</v>
      </c>
      <c r="D41" s="5">
        <v>1.6E-2</v>
      </c>
    </row>
    <row r="42" spans="1:5" x14ac:dyDescent="0.35">
      <c r="A42" s="23">
        <v>39539</v>
      </c>
      <c r="B42" s="19">
        <v>53.6</v>
      </c>
      <c r="C42" s="27">
        <f t="shared" ref="C42:C105" si="0">B42-B41</f>
        <v>-1.2999999999999972</v>
      </c>
    </row>
    <row r="43" spans="1:5" x14ac:dyDescent="0.35">
      <c r="A43" s="23">
        <v>39569</v>
      </c>
      <c r="B43" s="19">
        <v>53.5</v>
      </c>
      <c r="C43" s="27">
        <f t="shared" si="0"/>
        <v>-0.10000000000000142</v>
      </c>
    </row>
    <row r="44" spans="1:5" x14ac:dyDescent="0.35">
      <c r="A44" s="23">
        <v>39600</v>
      </c>
      <c r="B44" s="19">
        <v>52.3</v>
      </c>
      <c r="C44" s="27">
        <f t="shared" si="0"/>
        <v>-1.2000000000000028</v>
      </c>
      <c r="D44" s="5">
        <v>-6.0000000000000001E-3</v>
      </c>
    </row>
    <row r="45" spans="1:5" x14ac:dyDescent="0.35">
      <c r="A45" s="23">
        <v>39630</v>
      </c>
      <c r="B45" s="19">
        <v>50.9</v>
      </c>
      <c r="C45" s="27">
        <f t="shared" si="0"/>
        <v>-1.3999999999999986</v>
      </c>
    </row>
    <row r="46" spans="1:5" x14ac:dyDescent="0.35">
      <c r="A46" s="23">
        <v>39661</v>
      </c>
      <c r="B46" s="19">
        <v>49.9</v>
      </c>
      <c r="C46" s="27">
        <f t="shared" si="0"/>
        <v>-1</v>
      </c>
    </row>
    <row r="47" spans="1:5" x14ac:dyDescent="0.35">
      <c r="A47" s="23">
        <v>39692</v>
      </c>
      <c r="B47" s="19">
        <v>48.1</v>
      </c>
      <c r="C47" s="27">
        <f t="shared" si="0"/>
        <v>-1.7999999999999972</v>
      </c>
      <c r="D47" s="5">
        <v>-3.0000000000000001E-3</v>
      </c>
    </row>
    <row r="48" spans="1:5" x14ac:dyDescent="0.35">
      <c r="A48" s="23">
        <v>39722</v>
      </c>
      <c r="B48" s="19">
        <v>43.3</v>
      </c>
      <c r="C48" s="27">
        <f t="shared" si="0"/>
        <v>-4.8000000000000043</v>
      </c>
    </row>
    <row r="49" spans="1:10" x14ac:dyDescent="0.35">
      <c r="A49" s="23">
        <v>39753</v>
      </c>
      <c r="B49" s="19">
        <v>36.700000000000003</v>
      </c>
      <c r="C49" s="27">
        <f t="shared" si="0"/>
        <v>-6.5999999999999943</v>
      </c>
    </row>
    <row r="50" spans="1:10" x14ac:dyDescent="0.35">
      <c r="A50" s="23">
        <v>39783</v>
      </c>
      <c r="B50" s="19">
        <v>33.5</v>
      </c>
      <c r="C50" s="27">
        <f t="shared" si="0"/>
        <v>-3.2000000000000028</v>
      </c>
      <c r="D50" s="5">
        <v>-2.4E-2</v>
      </c>
    </row>
    <row r="51" spans="1:10" x14ac:dyDescent="0.35">
      <c r="A51" s="23">
        <v>39814</v>
      </c>
      <c r="B51" s="19">
        <v>32</v>
      </c>
      <c r="C51" s="27">
        <f t="shared" si="0"/>
        <v>-1.5</v>
      </c>
    </row>
    <row r="52" spans="1:10" x14ac:dyDescent="0.35">
      <c r="A52" s="23">
        <v>39845</v>
      </c>
      <c r="B52" s="19">
        <v>32.200000000000003</v>
      </c>
      <c r="C52" s="27">
        <f t="shared" si="0"/>
        <v>0.20000000000000284</v>
      </c>
    </row>
    <row r="53" spans="1:10" x14ac:dyDescent="0.35">
      <c r="A53" s="23">
        <v>39873</v>
      </c>
      <c r="B53" s="19">
        <v>32.4</v>
      </c>
      <c r="C53" s="27">
        <f t="shared" si="0"/>
        <v>0.19999999999999574</v>
      </c>
      <c r="D53" s="5">
        <v>-3.6999999999999998E-2</v>
      </c>
    </row>
    <row r="54" spans="1:10" x14ac:dyDescent="0.35">
      <c r="A54" s="23">
        <v>39904</v>
      </c>
      <c r="B54" s="19">
        <v>35</v>
      </c>
      <c r="C54" s="27">
        <f t="shared" si="0"/>
        <v>2.6000000000000014</v>
      </c>
    </row>
    <row r="55" spans="1:10" x14ac:dyDescent="0.35">
      <c r="A55" s="23">
        <v>39934</v>
      </c>
      <c r="B55" s="19">
        <v>39.6</v>
      </c>
      <c r="C55" s="27">
        <f t="shared" si="0"/>
        <v>4.6000000000000014</v>
      </c>
      <c r="J55" s="5">
        <v>1.4999999999999999E-2</v>
      </c>
    </row>
    <row r="56" spans="1:10" x14ac:dyDescent="0.35">
      <c r="A56" s="23">
        <v>39965</v>
      </c>
      <c r="B56" s="19">
        <v>40.9</v>
      </c>
      <c r="C56" s="27">
        <f t="shared" si="0"/>
        <v>1.2999999999999972</v>
      </c>
      <c r="D56" s="5">
        <v>5.0000000000000001E-3</v>
      </c>
      <c r="J56" s="5">
        <v>-5.0000000000000001E-3</v>
      </c>
    </row>
    <row r="57" spans="1:10" x14ac:dyDescent="0.35">
      <c r="A57" s="23">
        <v>39995</v>
      </c>
      <c r="B57" s="19">
        <v>45.2</v>
      </c>
      <c r="C57" s="27">
        <f t="shared" si="0"/>
        <v>4.3000000000000043</v>
      </c>
      <c r="J57" s="5">
        <v>-5.0000000000000001E-3</v>
      </c>
    </row>
    <row r="58" spans="1:10" x14ac:dyDescent="0.35">
      <c r="A58" s="23">
        <v>40026</v>
      </c>
      <c r="B58" s="19">
        <v>49</v>
      </c>
      <c r="C58" s="27">
        <f t="shared" si="0"/>
        <v>3.7999999999999972</v>
      </c>
      <c r="J58" s="5">
        <v>-2.1000000000000001E-2</v>
      </c>
    </row>
    <row r="59" spans="1:10" x14ac:dyDescent="0.35">
      <c r="A59" s="23">
        <v>40057</v>
      </c>
      <c r="B59" s="19">
        <v>49.6</v>
      </c>
      <c r="C59" s="27">
        <f t="shared" si="0"/>
        <v>0.60000000000000142</v>
      </c>
      <c r="D59" s="5">
        <v>8.0000000000000002E-3</v>
      </c>
      <c r="J59" s="5">
        <v>-3.7999999999999999E-2</v>
      </c>
    </row>
    <row r="60" spans="1:10" x14ac:dyDescent="0.35">
      <c r="A60" s="23">
        <v>40087</v>
      </c>
      <c r="B60" s="19">
        <v>51.1</v>
      </c>
      <c r="C60" s="27">
        <f t="shared" si="0"/>
        <v>1.5</v>
      </c>
      <c r="J60" s="5">
        <v>3.0000000000000001E-3</v>
      </c>
    </row>
    <row r="61" spans="1:10" x14ac:dyDescent="0.35">
      <c r="A61" s="23">
        <v>40118</v>
      </c>
      <c r="B61" s="19">
        <v>52.4</v>
      </c>
      <c r="C61" s="27">
        <f t="shared" si="0"/>
        <v>1.2999999999999972</v>
      </c>
      <c r="J61" s="5">
        <v>7.0000000000000001E-3</v>
      </c>
    </row>
    <row r="62" spans="1:10" x14ac:dyDescent="0.35">
      <c r="A62" s="23">
        <v>40148</v>
      </c>
      <c r="B62" s="19">
        <v>53.1</v>
      </c>
      <c r="C62" s="27">
        <f t="shared" si="0"/>
        <v>0.70000000000000284</v>
      </c>
      <c r="D62" s="5">
        <v>5.0000000000000001E-3</v>
      </c>
      <c r="J62" s="5">
        <v>0</v>
      </c>
    </row>
    <row r="63" spans="1:10" x14ac:dyDescent="0.35">
      <c r="A63" s="23">
        <v>40179</v>
      </c>
      <c r="B63" s="19">
        <v>53.4</v>
      </c>
      <c r="C63" s="27">
        <f t="shared" si="0"/>
        <v>0.29999999999999716</v>
      </c>
      <c r="J63" s="5">
        <v>2E-3</v>
      </c>
    </row>
    <row r="64" spans="1:10" x14ac:dyDescent="0.35">
      <c r="A64" s="23">
        <v>40210</v>
      </c>
      <c r="B64" s="19">
        <v>57.2</v>
      </c>
      <c r="C64" s="27">
        <f t="shared" si="0"/>
        <v>3.8000000000000043</v>
      </c>
      <c r="J64" s="5">
        <v>2.1999999999999999E-2</v>
      </c>
    </row>
    <row r="65" spans="1:10" x14ac:dyDescent="0.35">
      <c r="A65" s="23">
        <v>40238</v>
      </c>
      <c r="B65" s="19">
        <v>59.6</v>
      </c>
      <c r="C65" s="27">
        <f t="shared" si="0"/>
        <v>2.3999999999999986</v>
      </c>
      <c r="D65" s="5">
        <v>5.0000000000000001E-3</v>
      </c>
      <c r="J65" s="5">
        <v>7.0000000000000001E-3</v>
      </c>
    </row>
    <row r="66" spans="1:10" x14ac:dyDescent="0.35">
      <c r="A66" s="23">
        <v>40269</v>
      </c>
      <c r="B66" s="19">
        <v>61.5</v>
      </c>
      <c r="C66" s="27">
        <f t="shared" si="0"/>
        <v>1.8999999999999986</v>
      </c>
      <c r="J66" s="5">
        <v>4.0000000000000001E-3</v>
      </c>
    </row>
    <row r="67" spans="1:10" x14ac:dyDescent="0.35">
      <c r="A67" s="23">
        <v>40299</v>
      </c>
      <c r="B67" s="19">
        <v>58.4</v>
      </c>
      <c r="C67" s="27">
        <f t="shared" si="0"/>
        <v>-3.1000000000000014</v>
      </c>
      <c r="J67" s="5">
        <v>1.4999999999999999E-2</v>
      </c>
    </row>
    <row r="68" spans="1:10" x14ac:dyDescent="0.35">
      <c r="A68" s="23">
        <v>40330</v>
      </c>
      <c r="B68" s="19">
        <v>58.1</v>
      </c>
      <c r="C68" s="27">
        <f t="shared" si="0"/>
        <v>-0.29999999999999716</v>
      </c>
      <c r="D68" s="5">
        <v>2.1000000000000001E-2</v>
      </c>
      <c r="J68" s="5">
        <v>1E-3</v>
      </c>
    </row>
    <row r="69" spans="1:10" x14ac:dyDescent="0.35">
      <c r="A69" s="23">
        <v>40360</v>
      </c>
      <c r="B69" s="19">
        <v>61.2</v>
      </c>
      <c r="C69" s="27">
        <f t="shared" si="0"/>
        <v>3.1000000000000014</v>
      </c>
      <c r="J69" s="5">
        <v>5.0000000000000001E-3</v>
      </c>
    </row>
    <row r="70" spans="1:10" x14ac:dyDescent="0.35">
      <c r="A70" s="23">
        <v>40391</v>
      </c>
      <c r="B70" s="19">
        <v>58.2</v>
      </c>
      <c r="C70" s="27">
        <f t="shared" si="0"/>
        <v>-3</v>
      </c>
      <c r="J70" s="5">
        <v>-2E-3</v>
      </c>
    </row>
    <row r="71" spans="1:10" x14ac:dyDescent="0.35">
      <c r="A71" s="23">
        <v>40422</v>
      </c>
      <c r="B71" s="19">
        <v>55.3</v>
      </c>
      <c r="C71" s="27">
        <f t="shared" si="0"/>
        <v>-2.9000000000000057</v>
      </c>
      <c r="D71" s="5">
        <v>8.0000000000000002E-3</v>
      </c>
      <c r="J71" s="5">
        <v>5.0000000000000001E-3</v>
      </c>
    </row>
    <row r="72" spans="1:10" x14ac:dyDescent="0.35">
      <c r="A72" s="23">
        <v>40452</v>
      </c>
      <c r="B72" s="19">
        <v>56.6</v>
      </c>
      <c r="C72" s="27">
        <f t="shared" si="0"/>
        <v>1.3000000000000043</v>
      </c>
      <c r="J72" s="5">
        <v>3.0000000000000001E-3</v>
      </c>
    </row>
    <row r="73" spans="1:10" x14ac:dyDescent="0.35">
      <c r="A73" s="23">
        <v>40483</v>
      </c>
      <c r="B73" s="19">
        <v>58.1</v>
      </c>
      <c r="C73" s="27">
        <f t="shared" si="0"/>
        <v>1.5</v>
      </c>
      <c r="J73" s="5">
        <v>2E-3</v>
      </c>
    </row>
    <row r="74" spans="1:10" x14ac:dyDescent="0.35">
      <c r="A74" s="23">
        <v>40513</v>
      </c>
      <c r="B74" s="19">
        <v>60.9</v>
      </c>
      <c r="C74" s="27">
        <f t="shared" si="0"/>
        <v>2.7999999999999972</v>
      </c>
      <c r="D74" s="5">
        <f>J66</f>
        <v>4.0000000000000001E-3</v>
      </c>
      <c r="J74" s="5">
        <v>-6.0000000000000001E-3</v>
      </c>
    </row>
    <row r="75" spans="1:10" x14ac:dyDescent="0.35">
      <c r="A75" s="23">
        <v>40544</v>
      </c>
      <c r="B75" s="19">
        <v>60.5</v>
      </c>
      <c r="C75" s="27">
        <f t="shared" si="0"/>
        <v>-0.39999999999999858</v>
      </c>
      <c r="J75" s="5">
        <v>1E-3</v>
      </c>
    </row>
    <row r="76" spans="1:10" x14ac:dyDescent="0.35">
      <c r="A76" s="23">
        <v>40575</v>
      </c>
      <c r="B76" s="19">
        <v>62.7</v>
      </c>
      <c r="C76" s="27">
        <f t="shared" si="0"/>
        <v>2.2000000000000028</v>
      </c>
      <c r="J76" s="5">
        <v>7.0000000000000001E-3</v>
      </c>
    </row>
    <row r="77" spans="1:10" x14ac:dyDescent="0.35">
      <c r="A77" s="23">
        <v>40603</v>
      </c>
      <c r="B77" s="19">
        <v>60.9</v>
      </c>
      <c r="C77" s="27">
        <f t="shared" si="0"/>
        <v>-1.8000000000000043</v>
      </c>
      <c r="D77" s="5">
        <f>J67</f>
        <v>1.4999999999999999E-2</v>
      </c>
      <c r="J77" s="5">
        <v>3.0000000000000001E-3</v>
      </c>
    </row>
    <row r="78" spans="1:10" x14ac:dyDescent="0.35">
      <c r="A78" s="23">
        <v>40634</v>
      </c>
      <c r="B78" s="19">
        <v>62</v>
      </c>
      <c r="C78" s="27">
        <f t="shared" si="0"/>
        <v>1.1000000000000014</v>
      </c>
    </row>
    <row r="79" spans="1:10" x14ac:dyDescent="0.35">
      <c r="A79" s="23">
        <v>40664</v>
      </c>
      <c r="B79" s="19">
        <v>57.7</v>
      </c>
      <c r="C79" s="27">
        <f t="shared" si="0"/>
        <v>-4.2999999999999972</v>
      </c>
    </row>
    <row r="80" spans="1:10" x14ac:dyDescent="0.35">
      <c r="A80" s="23">
        <v>40695</v>
      </c>
      <c r="B80" s="19">
        <v>54.9</v>
      </c>
      <c r="C80" s="27">
        <f t="shared" si="0"/>
        <v>-2.8000000000000043</v>
      </c>
      <c r="D80" s="5">
        <f>J68</f>
        <v>1E-3</v>
      </c>
    </row>
    <row r="81" spans="1:9" x14ac:dyDescent="0.35">
      <c r="A81" s="23">
        <v>40725</v>
      </c>
      <c r="B81" s="19">
        <v>52</v>
      </c>
      <c r="C81" s="27">
        <f t="shared" si="0"/>
        <v>-2.8999999999999986</v>
      </c>
    </row>
    <row r="82" spans="1:9" x14ac:dyDescent="0.35">
      <c r="A82" s="23">
        <v>40756</v>
      </c>
      <c r="B82" s="19">
        <v>50.9</v>
      </c>
      <c r="C82" s="27">
        <f t="shared" si="0"/>
        <v>-1.1000000000000014</v>
      </c>
    </row>
    <row r="83" spans="1:9" x14ac:dyDescent="0.35">
      <c r="A83" s="23">
        <v>40787</v>
      </c>
      <c r="B83" s="19">
        <v>50.3</v>
      </c>
      <c r="C83" s="27">
        <f t="shared" si="0"/>
        <v>-0.60000000000000142</v>
      </c>
      <c r="D83" s="5">
        <v>4.0000000000000001E-3</v>
      </c>
    </row>
    <row r="84" spans="1:9" x14ac:dyDescent="0.35">
      <c r="A84" s="23">
        <v>40817</v>
      </c>
      <c r="B84" s="19">
        <v>49.1</v>
      </c>
      <c r="C84" s="27">
        <f t="shared" si="0"/>
        <v>-1.1999999999999957</v>
      </c>
    </row>
    <row r="85" spans="1:9" x14ac:dyDescent="0.35">
      <c r="A85" s="23">
        <v>40848</v>
      </c>
      <c r="B85" s="19">
        <v>47.9</v>
      </c>
      <c r="C85" s="27">
        <f t="shared" si="0"/>
        <v>-1.2000000000000028</v>
      </c>
      <c r="H85" s="64" t="s">
        <v>103</v>
      </c>
      <c r="I85" t="s">
        <v>22</v>
      </c>
    </row>
    <row r="86" spans="1:9" x14ac:dyDescent="0.35">
      <c r="A86" s="23">
        <v>40878</v>
      </c>
      <c r="B86" s="19">
        <v>48.4</v>
      </c>
      <c r="C86" s="27">
        <f t="shared" si="0"/>
        <v>0.5</v>
      </c>
      <c r="D86" s="5">
        <v>1E-3</v>
      </c>
    </row>
    <row r="87" spans="1:9" x14ac:dyDescent="0.35">
      <c r="A87" s="24">
        <v>40909</v>
      </c>
      <c r="B87" s="17">
        <v>51</v>
      </c>
      <c r="C87" s="28">
        <f t="shared" si="0"/>
        <v>2.6000000000000014</v>
      </c>
    </row>
    <row r="88" spans="1:9" x14ac:dyDescent="0.35">
      <c r="A88" s="24">
        <v>40940</v>
      </c>
      <c r="B88" s="17">
        <v>50.2</v>
      </c>
      <c r="C88" s="28">
        <f t="shared" si="0"/>
        <v>-0.79999999999999716</v>
      </c>
    </row>
    <row r="89" spans="1:9" x14ac:dyDescent="0.35">
      <c r="A89" s="24">
        <v>40969</v>
      </c>
      <c r="B89" s="17">
        <v>48.4</v>
      </c>
      <c r="C89" s="28">
        <f t="shared" si="0"/>
        <v>-1.8000000000000043</v>
      </c>
      <c r="D89" s="5">
        <v>7.0000000000000001E-3</v>
      </c>
    </row>
    <row r="90" spans="1:9" x14ac:dyDescent="0.35">
      <c r="A90" s="24">
        <v>41000</v>
      </c>
      <c r="B90" s="17">
        <v>46.2</v>
      </c>
      <c r="C90" s="28">
        <f t="shared" si="0"/>
        <v>-2.1999999999999957</v>
      </c>
    </row>
    <row r="91" spans="1:9" x14ac:dyDescent="0.35">
      <c r="A91" s="24">
        <v>41030</v>
      </c>
      <c r="B91" s="17">
        <v>45.2</v>
      </c>
      <c r="C91" s="28">
        <f t="shared" si="0"/>
        <v>-1</v>
      </c>
    </row>
    <row r="92" spans="1:9" x14ac:dyDescent="0.35">
      <c r="A92" s="24">
        <v>41061</v>
      </c>
      <c r="B92" s="17">
        <v>45</v>
      </c>
      <c r="C92" s="28">
        <f t="shared" si="0"/>
        <v>-0.20000000000000284</v>
      </c>
      <c r="D92" s="5">
        <v>-1E-3</v>
      </c>
    </row>
    <row r="93" spans="1:9" x14ac:dyDescent="0.35">
      <c r="A93" s="24">
        <v>41091</v>
      </c>
      <c r="B93" s="17">
        <v>43</v>
      </c>
      <c r="C93" s="28">
        <f t="shared" si="0"/>
        <v>-2</v>
      </c>
    </row>
    <row r="94" spans="1:9" x14ac:dyDescent="0.35">
      <c r="A94" s="24">
        <v>41122</v>
      </c>
      <c r="B94" s="17">
        <v>44.7</v>
      </c>
      <c r="C94" s="28">
        <f t="shared" si="0"/>
        <v>1.7000000000000028</v>
      </c>
    </row>
    <row r="95" spans="1:9" x14ac:dyDescent="0.35">
      <c r="A95" s="24">
        <v>41153</v>
      </c>
      <c r="B95" s="17">
        <v>47.4</v>
      </c>
      <c r="C95" s="28">
        <f t="shared" si="0"/>
        <v>2.6999999999999957</v>
      </c>
      <c r="D95" s="5">
        <f>J73</f>
        <v>2E-3</v>
      </c>
    </row>
    <row r="96" spans="1:9" x14ac:dyDescent="0.35">
      <c r="A96" s="24">
        <v>41183</v>
      </c>
      <c r="B96" s="17">
        <v>46</v>
      </c>
      <c r="C96" s="28">
        <f t="shared" si="0"/>
        <v>-1.3999999999999986</v>
      </c>
    </row>
    <row r="97" spans="1:4" x14ac:dyDescent="0.35">
      <c r="A97" s="24">
        <v>41214</v>
      </c>
      <c r="B97" s="17">
        <v>46.8</v>
      </c>
      <c r="C97" s="28">
        <f t="shared" si="0"/>
        <v>0.79999999999999716</v>
      </c>
    </row>
    <row r="98" spans="1:4" x14ac:dyDescent="0.35">
      <c r="A98" s="24">
        <v>41244</v>
      </c>
      <c r="B98" s="17">
        <v>46</v>
      </c>
      <c r="C98" s="28">
        <f t="shared" si="0"/>
        <v>-0.79999999999999716</v>
      </c>
      <c r="D98" s="5">
        <v>-5.0000000000000001E-3</v>
      </c>
    </row>
    <row r="99" spans="1:4" x14ac:dyDescent="0.35">
      <c r="A99" s="24">
        <v>41275</v>
      </c>
      <c r="B99" s="17">
        <v>49.8</v>
      </c>
      <c r="C99" s="28">
        <f t="shared" si="0"/>
        <v>3.7999999999999972</v>
      </c>
    </row>
    <row r="100" spans="1:4" x14ac:dyDescent="0.35">
      <c r="A100" s="24">
        <v>41306</v>
      </c>
      <c r="B100" s="17">
        <v>50.3</v>
      </c>
      <c r="C100" s="28">
        <f t="shared" si="0"/>
        <v>0.5</v>
      </c>
    </row>
    <row r="101" spans="1:4" x14ac:dyDescent="0.35">
      <c r="A101" s="24">
        <v>41334</v>
      </c>
      <c r="B101" s="17">
        <v>49</v>
      </c>
      <c r="C101" s="28">
        <f t="shared" si="0"/>
        <v>-1.2999999999999972</v>
      </c>
      <c r="D101" s="5">
        <f>J75</f>
        <v>1E-3</v>
      </c>
    </row>
    <row r="102" spans="1:4" x14ac:dyDescent="0.35">
      <c r="A102" s="24">
        <v>41365</v>
      </c>
      <c r="B102" s="17">
        <v>48.1</v>
      </c>
      <c r="C102" s="28">
        <f t="shared" si="0"/>
        <v>-0.89999999999999858</v>
      </c>
    </row>
    <row r="103" spans="1:4" x14ac:dyDescent="0.35">
      <c r="A103" s="24">
        <v>41395</v>
      </c>
      <c r="B103" s="17">
        <v>49.4</v>
      </c>
      <c r="C103" s="28">
        <f t="shared" si="0"/>
        <v>1.2999999999999972</v>
      </c>
    </row>
    <row r="104" spans="1:4" x14ac:dyDescent="0.35">
      <c r="A104" s="24">
        <v>41426</v>
      </c>
      <c r="B104" s="17">
        <v>48.6</v>
      </c>
      <c r="C104" s="28">
        <f t="shared" si="0"/>
        <v>-0.79999999999999716</v>
      </c>
      <c r="D104" s="5">
        <f>J76</f>
        <v>7.0000000000000001E-3</v>
      </c>
    </row>
    <row r="105" spans="1:4" x14ac:dyDescent="0.35">
      <c r="A105" s="24">
        <v>41456</v>
      </c>
      <c r="B105" s="17">
        <v>50.7</v>
      </c>
      <c r="C105" s="28">
        <f t="shared" si="0"/>
        <v>2.1000000000000014</v>
      </c>
    </row>
    <row r="106" spans="1:4" x14ac:dyDescent="0.35">
      <c r="A106" s="24">
        <v>41487</v>
      </c>
      <c r="B106" s="17">
        <v>51.8</v>
      </c>
      <c r="C106" s="28">
        <f t="shared" ref="C106:C112" si="1">B106-B105</f>
        <v>1.0999999999999943</v>
      </c>
    </row>
    <row r="107" spans="1:4" x14ac:dyDescent="0.35">
      <c r="A107" s="24">
        <v>41518</v>
      </c>
      <c r="B107" s="17">
        <v>51.1</v>
      </c>
      <c r="C107" s="28">
        <f t="shared" si="1"/>
        <v>-0.69999999999999574</v>
      </c>
      <c r="D107" s="5">
        <f>J77</f>
        <v>3.0000000000000001E-3</v>
      </c>
    </row>
    <row r="108" spans="1:4" x14ac:dyDescent="0.35">
      <c r="A108" s="24">
        <v>41548</v>
      </c>
      <c r="B108" s="17">
        <v>51.7</v>
      </c>
      <c r="C108" s="28">
        <f t="shared" si="1"/>
        <v>0.60000000000000142</v>
      </c>
    </row>
    <row r="109" spans="1:4" x14ac:dyDescent="0.35">
      <c r="A109" s="24">
        <v>41579</v>
      </c>
      <c r="B109" s="17">
        <v>52.7</v>
      </c>
      <c r="C109" s="28">
        <f t="shared" si="1"/>
        <v>1</v>
      </c>
    </row>
    <row r="110" spans="1:4" x14ac:dyDescent="0.35">
      <c r="A110" s="24">
        <v>41609</v>
      </c>
      <c r="B110" s="17">
        <v>54.3</v>
      </c>
      <c r="C110" s="28">
        <f t="shared" si="1"/>
        <v>1.5999999999999943</v>
      </c>
      <c r="D110" s="5">
        <v>4.0000000000000001E-3</v>
      </c>
    </row>
    <row r="111" spans="1:4" x14ac:dyDescent="0.35">
      <c r="A111" s="24">
        <v>41640</v>
      </c>
      <c r="B111" s="17">
        <v>56.6</v>
      </c>
      <c r="C111" s="28">
        <f t="shared" si="1"/>
        <v>2.3000000000000043</v>
      </c>
    </row>
    <row r="112" spans="1:4" x14ac:dyDescent="0.35">
      <c r="A112" s="24">
        <v>41671</v>
      </c>
      <c r="B112" s="17">
        <v>54.8</v>
      </c>
      <c r="C112" s="28">
        <f t="shared" si="1"/>
        <v>-1.8000000000000043</v>
      </c>
    </row>
    <row r="113" spans="1:4" x14ac:dyDescent="0.35">
      <c r="A113" s="24">
        <v>41699</v>
      </c>
      <c r="B113" s="17">
        <v>53.7</v>
      </c>
      <c r="C113" s="28">
        <f t="shared" ref="C113:C116" si="2">B113-B112</f>
        <v>-1.0999999999999943</v>
      </c>
      <c r="D113" s="5">
        <v>7.0000000000000001E-3</v>
      </c>
    </row>
    <row r="114" spans="1:4" x14ac:dyDescent="0.35">
      <c r="A114" s="24">
        <v>41730</v>
      </c>
      <c r="B114" s="17">
        <v>54.1</v>
      </c>
      <c r="C114" s="28">
        <f t="shared" si="2"/>
        <v>0.39999999999999858</v>
      </c>
    </row>
    <row r="115" spans="1:4" x14ac:dyDescent="0.35">
      <c r="A115" s="24">
        <v>41760</v>
      </c>
      <c r="B115" s="17">
        <v>52.3</v>
      </c>
      <c r="C115" s="28">
        <f t="shared" si="2"/>
        <v>-1.8000000000000043</v>
      </c>
    </row>
    <row r="116" spans="1:4" x14ac:dyDescent="0.35">
      <c r="A116" s="24">
        <v>41791</v>
      </c>
      <c r="B116" s="17">
        <v>52</v>
      </c>
      <c r="C116" s="28">
        <f t="shared" si="2"/>
        <v>-0.29999999999999716</v>
      </c>
      <c r="D116" s="5">
        <v>-2E-3</v>
      </c>
    </row>
    <row r="117" spans="1:4" x14ac:dyDescent="0.35">
      <c r="A117" s="24">
        <v>41821</v>
      </c>
      <c r="B117" s="17">
        <v>52.4</v>
      </c>
      <c r="C117" s="28">
        <f t="shared" ref="C117:C118" si="3">B117-B116</f>
        <v>0.39999999999999858</v>
      </c>
    </row>
    <row r="118" spans="1:4" x14ac:dyDescent="0.35">
      <c r="A118" s="24">
        <v>41852</v>
      </c>
      <c r="B118" s="17">
        <v>51.4</v>
      </c>
      <c r="C118" s="28">
        <f t="shared" si="3"/>
        <v>-1</v>
      </c>
    </row>
    <row r="119" spans="1:4" x14ac:dyDescent="0.35">
      <c r="A119" s="24">
        <v>41883</v>
      </c>
      <c r="B119" s="17">
        <v>49.9</v>
      </c>
      <c r="C119" s="28">
        <f>IFERROR(B119-B118,"")</f>
        <v>-1.5</v>
      </c>
      <c r="D119" s="7">
        <f>IF(VLOOKUP(I85,Data!$O$51:$V$152,7,FALSE)=A118,VLOOKUP(I85,Data!$O$51:$V$152,2,FALSE)/100,"")</f>
        <v>1E-3</v>
      </c>
    </row>
    <row r="120" spans="1:4" x14ac:dyDescent="0.35">
      <c r="A120" s="24">
        <v>41913</v>
      </c>
      <c r="B120" s="17">
        <v>51.4</v>
      </c>
      <c r="C120" s="28">
        <v>1.5</v>
      </c>
    </row>
    <row r="121" spans="1:4" x14ac:dyDescent="0.35">
      <c r="A121" s="24">
        <v>41944</v>
      </c>
      <c r="B121" s="17">
        <f>IF(A121=Data!$C$1,VLOOKUP($H$85,Data!$A$2:$C$36,3,FALSE),"N/A")</f>
        <v>49.5</v>
      </c>
      <c r="C121" s="28">
        <f t="shared" ref="C121" si="4">B121-B120</f>
        <v>-1.8999999999999986</v>
      </c>
    </row>
    <row r="122" spans="1:4" x14ac:dyDescent="0.35">
      <c r="A122" s="110">
        <v>41974</v>
      </c>
      <c r="B122" s="17"/>
      <c r="C122" s="28"/>
    </row>
    <row r="123" spans="1:4" x14ac:dyDescent="0.35">
      <c r="A123" s="110">
        <v>42005</v>
      </c>
      <c r="B123" s="17"/>
      <c r="C123" s="28"/>
    </row>
    <row r="124" spans="1:4" x14ac:dyDescent="0.35">
      <c r="A124" s="110">
        <v>42036</v>
      </c>
      <c r="B124" s="17"/>
      <c r="C124" s="28"/>
    </row>
    <row r="125" spans="1:4" x14ac:dyDescent="0.35">
      <c r="A125" s="110">
        <v>42064</v>
      </c>
      <c r="B125" s="17"/>
      <c r="C125" s="28"/>
    </row>
    <row r="126" spans="1:4" x14ac:dyDescent="0.35">
      <c r="A126" s="110">
        <v>42095</v>
      </c>
      <c r="B126" s="17"/>
      <c r="C126" s="28"/>
    </row>
    <row r="127" spans="1:4" x14ac:dyDescent="0.35">
      <c r="A127" s="110">
        <v>42125</v>
      </c>
      <c r="B127" s="17"/>
      <c r="C127" s="28"/>
    </row>
    <row r="128" spans="1:4" x14ac:dyDescent="0.35">
      <c r="A128" s="110">
        <v>42156</v>
      </c>
      <c r="B128" s="17"/>
      <c r="C128" s="28"/>
    </row>
    <row r="129" spans="1:3" x14ac:dyDescent="0.35">
      <c r="A129" s="110">
        <v>42186</v>
      </c>
      <c r="B129" s="17"/>
      <c r="C129" s="28"/>
    </row>
    <row r="130" spans="1:3" x14ac:dyDescent="0.35">
      <c r="A130" s="110">
        <v>42217</v>
      </c>
      <c r="B130" s="17"/>
      <c r="C130" s="28"/>
    </row>
    <row r="131" spans="1:3" x14ac:dyDescent="0.35">
      <c r="A131" s="110">
        <v>42248</v>
      </c>
      <c r="B131" s="17"/>
      <c r="C131" s="28"/>
    </row>
    <row r="132" spans="1:3" x14ac:dyDescent="0.35">
      <c r="A132" s="110">
        <v>42278</v>
      </c>
      <c r="B132" s="17"/>
      <c r="C132" s="28"/>
    </row>
    <row r="133" spans="1:3" x14ac:dyDescent="0.35">
      <c r="A133" s="110">
        <v>42309</v>
      </c>
      <c r="B133" s="17"/>
      <c r="C133" s="28"/>
    </row>
    <row r="134" spans="1:3" x14ac:dyDescent="0.35">
      <c r="A134" s="110">
        <v>42339</v>
      </c>
      <c r="B134" s="17"/>
      <c r="C134" s="28"/>
    </row>
    <row r="135" spans="1:3" x14ac:dyDescent="0.35">
      <c r="A135" s="110">
        <v>42370</v>
      </c>
      <c r="B135" s="17"/>
      <c r="C135" s="28"/>
    </row>
    <row r="136" spans="1:3" x14ac:dyDescent="0.35">
      <c r="A136" s="110">
        <v>42401</v>
      </c>
      <c r="B136" s="17"/>
      <c r="C136" s="28"/>
    </row>
    <row r="137" spans="1:3" x14ac:dyDescent="0.35">
      <c r="A137" s="110">
        <v>42430</v>
      </c>
      <c r="B137" s="17"/>
      <c r="C137" s="28"/>
    </row>
    <row r="138" spans="1:3" x14ac:dyDescent="0.35">
      <c r="A138" s="110">
        <v>42461</v>
      </c>
      <c r="B138" s="17"/>
      <c r="C138" s="28"/>
    </row>
    <row r="139" spans="1:3" x14ac:dyDescent="0.35">
      <c r="A139" s="110">
        <v>42491</v>
      </c>
      <c r="B139" s="17"/>
      <c r="C139" s="28"/>
    </row>
    <row r="140" spans="1:3" x14ac:dyDescent="0.35">
      <c r="A140" s="110">
        <v>42522</v>
      </c>
      <c r="B140" s="17"/>
      <c r="C140" s="28"/>
    </row>
    <row r="141" spans="1:3" x14ac:dyDescent="0.35">
      <c r="A141" s="110">
        <v>42552</v>
      </c>
      <c r="B141" s="17"/>
      <c r="C141" s="28"/>
    </row>
    <row r="142" spans="1:3" x14ac:dyDescent="0.35">
      <c r="A142" s="110">
        <v>42583</v>
      </c>
      <c r="B142" s="17"/>
      <c r="C142" s="28"/>
    </row>
    <row r="143" spans="1:3" x14ac:dyDescent="0.35">
      <c r="A143" s="110">
        <v>42614</v>
      </c>
      <c r="B143" s="17"/>
      <c r="C143" s="28"/>
    </row>
    <row r="144" spans="1:3" x14ac:dyDescent="0.35">
      <c r="A144" s="110">
        <v>42644</v>
      </c>
      <c r="B144" s="17"/>
      <c r="C144" s="28"/>
    </row>
    <row r="145" spans="1:5" x14ac:dyDescent="0.35">
      <c r="A145" s="110">
        <v>42675</v>
      </c>
      <c r="B145" s="17"/>
      <c r="C145" s="28"/>
    </row>
    <row r="146" spans="1:5" x14ac:dyDescent="0.35">
      <c r="A146" s="110">
        <v>42705</v>
      </c>
      <c r="B146" s="17"/>
      <c r="C146" s="28"/>
    </row>
    <row r="147" spans="1:5" x14ac:dyDescent="0.35">
      <c r="A147" s="110">
        <v>42736</v>
      </c>
      <c r="B147" s="17"/>
      <c r="C147" s="28"/>
    </row>
    <row r="148" spans="1:5" x14ac:dyDescent="0.35">
      <c r="A148" s="110">
        <v>42767</v>
      </c>
      <c r="B148" s="17"/>
      <c r="C148" s="28"/>
    </row>
    <row r="149" spans="1:5" x14ac:dyDescent="0.35">
      <c r="A149" s="110">
        <v>42795</v>
      </c>
      <c r="B149" s="17"/>
      <c r="C149" s="28"/>
    </row>
    <row r="150" spans="1:5" x14ac:dyDescent="0.35">
      <c r="A150" s="110">
        <v>42826</v>
      </c>
      <c r="B150" s="17"/>
      <c r="C150" s="28"/>
    </row>
    <row r="151" spans="1:5" x14ac:dyDescent="0.35">
      <c r="A151" s="110">
        <v>42856</v>
      </c>
      <c r="B151" s="17"/>
      <c r="C151" s="28"/>
    </row>
    <row r="152" spans="1:5" x14ac:dyDescent="0.35">
      <c r="A152" s="110">
        <v>42887</v>
      </c>
      <c r="B152" s="17"/>
      <c r="C152" s="28"/>
    </row>
    <row r="153" spans="1:5" x14ac:dyDescent="0.35">
      <c r="A153" s="110">
        <v>42917</v>
      </c>
      <c r="B153" s="17"/>
      <c r="C153" s="28"/>
    </row>
    <row r="154" spans="1:5" x14ac:dyDescent="0.35">
      <c r="A154" s="111">
        <v>42948</v>
      </c>
      <c r="B154" s="91"/>
      <c r="C154" s="107"/>
    </row>
    <row r="155" spans="1:5" x14ac:dyDescent="0.35">
      <c r="A155" s="123">
        <v>46143</v>
      </c>
      <c r="B155" s="91">
        <v>50.1</v>
      </c>
      <c r="C155" s="107"/>
      <c r="E155" t="s">
        <v>324</v>
      </c>
    </row>
    <row r="156" spans="1:5" x14ac:dyDescent="0.35">
      <c r="A156" s="123">
        <v>46174</v>
      </c>
      <c r="B156" s="91">
        <v>50.3</v>
      </c>
      <c r="C156" s="107">
        <v>0.2</v>
      </c>
    </row>
  </sheetData>
  <sortState xmlns:xlrd2="http://schemas.microsoft.com/office/spreadsheetml/2017/richdata2" ref="A2:B71">
    <sortCondition ref="A2"/>
  </sortState>
  <conditionalFormatting sqref="B39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7:B1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45:I156"/>
  <sheetViews>
    <sheetView tabSelected="1" topLeftCell="A45" zoomScale="70" zoomScaleNormal="70" workbookViewId="0">
      <pane ySplit="1" topLeftCell="A102" activePane="bottomLeft" state="frozen"/>
      <selection activeCell="D119" sqref="D119"/>
      <selection pane="bottomLeft" activeCell="B114" sqref="B114"/>
    </sheetView>
  </sheetViews>
  <sheetFormatPr defaultRowHeight="14.5" x14ac:dyDescent="0.35"/>
  <cols>
    <col min="1" max="1" width="9.6328125" style="13" customWidth="1"/>
    <col min="2" max="2" width="16.08984375" style="13" customWidth="1"/>
    <col min="3" max="3" width="12.36328125" style="26" customWidth="1"/>
    <col min="4" max="4" width="21.453125" style="5" customWidth="1"/>
    <col min="6" max="6" width="9.6328125" bestFit="1" customWidth="1"/>
  </cols>
  <sheetData>
    <row r="45" spans="1:6" x14ac:dyDescent="0.35">
      <c r="A45" s="13" t="s">
        <v>0</v>
      </c>
      <c r="B45" s="13" t="s">
        <v>6</v>
      </c>
      <c r="C45" s="26" t="s">
        <v>5</v>
      </c>
      <c r="D45" s="5" t="s">
        <v>47</v>
      </c>
      <c r="E45" t="s">
        <v>52</v>
      </c>
    </row>
    <row r="46" spans="1:6" x14ac:dyDescent="0.35">
      <c r="A46" s="23">
        <v>39661</v>
      </c>
      <c r="B46" s="6">
        <v>45.1</v>
      </c>
    </row>
    <row r="47" spans="1:6" x14ac:dyDescent="0.35">
      <c r="A47" s="23">
        <v>39692</v>
      </c>
      <c r="B47" s="6">
        <v>43.6</v>
      </c>
      <c r="C47" s="27">
        <f>B47-B46</f>
        <v>-1.5</v>
      </c>
      <c r="D47" s="5">
        <v>-4.0000000000000001E-3</v>
      </c>
      <c r="F47" s="3"/>
    </row>
    <row r="48" spans="1:6" x14ac:dyDescent="0.35">
      <c r="A48" s="23">
        <v>39722</v>
      </c>
      <c r="B48" s="6">
        <v>40.799999999999997</v>
      </c>
      <c r="C48" s="27">
        <f t="shared" ref="C48:C109" si="0">B48-B47</f>
        <v>-2.8000000000000043</v>
      </c>
      <c r="F48" s="3"/>
    </row>
    <row r="49" spans="1:9" x14ac:dyDescent="0.35">
      <c r="A49" s="23">
        <v>39753</v>
      </c>
      <c r="B49" s="6">
        <v>37.9</v>
      </c>
      <c r="C49" s="27">
        <f t="shared" si="0"/>
        <v>-2.8999999999999986</v>
      </c>
      <c r="F49" s="3"/>
    </row>
    <row r="50" spans="1:9" x14ac:dyDescent="0.35">
      <c r="A50" s="23">
        <v>39783</v>
      </c>
      <c r="B50" s="6">
        <v>35.9</v>
      </c>
      <c r="C50" s="27">
        <f t="shared" si="0"/>
        <v>-2</v>
      </c>
      <c r="D50" s="5">
        <v>-1.6E-2</v>
      </c>
      <c r="F50" s="3"/>
    </row>
    <row r="51" spans="1:9" x14ac:dyDescent="0.35">
      <c r="A51" s="23">
        <v>39814</v>
      </c>
      <c r="B51" s="6">
        <v>38.1</v>
      </c>
      <c r="C51" s="27">
        <f t="shared" si="0"/>
        <v>2.2000000000000028</v>
      </c>
      <c r="F51" s="3"/>
    </row>
    <row r="52" spans="1:9" x14ac:dyDescent="0.35">
      <c r="A52" s="23">
        <v>39845</v>
      </c>
      <c r="B52" s="6">
        <v>32.299999999999997</v>
      </c>
      <c r="C52" s="27">
        <f>B52-B51</f>
        <v>-5.8000000000000043</v>
      </c>
      <c r="F52" s="3"/>
    </row>
    <row r="53" spans="1:9" x14ac:dyDescent="0.35">
      <c r="A53" s="23">
        <v>39873</v>
      </c>
      <c r="B53" s="6">
        <v>36.299999999999997</v>
      </c>
      <c r="C53" s="27">
        <f t="shared" si="0"/>
        <v>4</v>
      </c>
      <c r="D53" s="5">
        <v>-1.7000000000000001E-2</v>
      </c>
      <c r="F53" s="3"/>
    </row>
    <row r="54" spans="1:9" x14ac:dyDescent="0.35">
      <c r="A54" s="23">
        <v>39904</v>
      </c>
      <c r="B54" s="6">
        <v>40</v>
      </c>
      <c r="C54" s="27">
        <f t="shared" si="0"/>
        <v>3.7000000000000028</v>
      </c>
      <c r="F54" s="3"/>
    </row>
    <row r="55" spans="1:9" x14ac:dyDescent="0.35">
      <c r="A55" s="23">
        <v>39934</v>
      </c>
      <c r="B55" s="6">
        <v>43.1</v>
      </c>
      <c r="C55" s="27">
        <f t="shared" si="0"/>
        <v>3.1000000000000014</v>
      </c>
      <c r="F55" s="3"/>
    </row>
    <row r="56" spans="1:9" x14ac:dyDescent="0.35">
      <c r="A56" s="23">
        <v>39965</v>
      </c>
      <c r="B56" s="6">
        <v>45.9</v>
      </c>
      <c r="C56" s="27">
        <f t="shared" si="0"/>
        <v>2.7999999999999972</v>
      </c>
      <c r="D56" s="5">
        <v>0</v>
      </c>
      <c r="F56" s="3"/>
      <c r="I56" s="5">
        <v>1E-3</v>
      </c>
    </row>
    <row r="57" spans="1:9" x14ac:dyDescent="0.35">
      <c r="A57" s="23">
        <v>39995</v>
      </c>
      <c r="B57" s="6">
        <v>50.2</v>
      </c>
      <c r="C57" s="27">
        <f t="shared" si="0"/>
        <v>4.3000000000000043</v>
      </c>
      <c r="F57" s="3"/>
      <c r="I57" s="5">
        <v>-1.2E-2</v>
      </c>
    </row>
    <row r="58" spans="1:9" x14ac:dyDescent="0.35">
      <c r="A58" s="23">
        <v>40026</v>
      </c>
      <c r="B58" s="6">
        <v>52.5</v>
      </c>
      <c r="C58" s="27">
        <f t="shared" si="0"/>
        <v>2.2999999999999972</v>
      </c>
      <c r="F58" s="3"/>
      <c r="I58" s="5">
        <v>-1.2E-2</v>
      </c>
    </row>
    <row r="59" spans="1:9" x14ac:dyDescent="0.35">
      <c r="A59" s="23">
        <v>40057</v>
      </c>
      <c r="B59" s="6">
        <v>53</v>
      </c>
      <c r="C59" s="27">
        <f t="shared" si="0"/>
        <v>0.5</v>
      </c>
      <c r="D59" s="5">
        <v>1E-3</v>
      </c>
      <c r="F59" s="3"/>
      <c r="I59" s="5">
        <v>3.0000000000000001E-3</v>
      </c>
    </row>
    <row r="60" spans="1:9" x14ac:dyDescent="0.35">
      <c r="A60" s="23">
        <v>40087</v>
      </c>
      <c r="B60" s="6">
        <v>54.2</v>
      </c>
      <c r="C60" s="27">
        <f t="shared" si="0"/>
        <v>1.2000000000000028</v>
      </c>
      <c r="F60" s="3"/>
      <c r="I60" s="5">
        <v>3.0000000000000001E-3</v>
      </c>
    </row>
    <row r="61" spans="1:9" x14ac:dyDescent="0.35">
      <c r="A61" s="23">
        <v>40118</v>
      </c>
      <c r="B61" s="6">
        <v>54.4</v>
      </c>
      <c r="C61" s="27">
        <f t="shared" si="0"/>
        <v>0.19999999999999574</v>
      </c>
      <c r="F61" s="3"/>
      <c r="I61" s="5">
        <v>6.0000000000000001E-3</v>
      </c>
    </row>
    <row r="62" spans="1:9" x14ac:dyDescent="0.35">
      <c r="A62" s="23">
        <v>40148</v>
      </c>
      <c r="B62" s="6">
        <v>54.7</v>
      </c>
      <c r="C62" s="27">
        <f t="shared" si="0"/>
        <v>0.30000000000000426</v>
      </c>
      <c r="D62" s="5">
        <v>7.0000000000000001E-3</v>
      </c>
      <c r="F62" s="3"/>
      <c r="I62" s="5">
        <v>1E-3</v>
      </c>
    </row>
    <row r="63" spans="1:9" x14ac:dyDescent="0.35">
      <c r="A63" s="23">
        <v>40179</v>
      </c>
      <c r="B63" s="6">
        <v>54.6</v>
      </c>
      <c r="C63" s="27">
        <f t="shared" si="0"/>
        <v>-0.10000000000000142</v>
      </c>
      <c r="F63" s="3"/>
      <c r="I63" s="5">
        <v>6.0000000000000001E-3</v>
      </c>
    </row>
    <row r="64" spans="1:9" x14ac:dyDescent="0.35">
      <c r="A64" s="23">
        <v>40210</v>
      </c>
      <c r="B64" s="6">
        <v>56.3</v>
      </c>
      <c r="C64" s="27">
        <f t="shared" si="0"/>
        <v>1.6999999999999957</v>
      </c>
      <c r="F64" s="3"/>
      <c r="I64" s="5">
        <v>4.0000000000000001E-3</v>
      </c>
    </row>
    <row r="65" spans="1:9" x14ac:dyDescent="0.35">
      <c r="A65" s="23">
        <v>40238</v>
      </c>
      <c r="B65" s="6">
        <v>56.7</v>
      </c>
      <c r="C65" s="27">
        <f t="shared" si="0"/>
        <v>0.40000000000000568</v>
      </c>
      <c r="D65" s="5">
        <v>3.0000000000000001E-3</v>
      </c>
      <c r="F65" s="3"/>
      <c r="I65" s="5">
        <v>3.0000000000000001E-3</v>
      </c>
    </row>
    <row r="66" spans="1:9" x14ac:dyDescent="0.35">
      <c r="A66" s="23">
        <v>40269</v>
      </c>
      <c r="B66" s="6">
        <v>56.6</v>
      </c>
      <c r="C66" s="27">
        <f t="shared" si="0"/>
        <v>-0.10000000000000142</v>
      </c>
      <c r="F66" s="3"/>
      <c r="I66" s="5">
        <v>0.01</v>
      </c>
    </row>
    <row r="67" spans="1:9" x14ac:dyDescent="0.35">
      <c r="A67" s="23">
        <v>40299</v>
      </c>
      <c r="B67" s="6">
        <v>55.8</v>
      </c>
      <c r="C67" s="27">
        <f t="shared" si="0"/>
        <v>-0.80000000000000426</v>
      </c>
      <c r="F67" s="3"/>
      <c r="I67" s="5">
        <v>0</v>
      </c>
    </row>
    <row r="68" spans="1:9" x14ac:dyDescent="0.35">
      <c r="A68" s="23">
        <v>40330</v>
      </c>
      <c r="B68" s="6">
        <v>53.7</v>
      </c>
      <c r="C68" s="27">
        <f t="shared" si="0"/>
        <v>-2.0999999999999943</v>
      </c>
      <c r="D68" s="5">
        <v>6.0000000000000001E-3</v>
      </c>
      <c r="F68" s="3"/>
      <c r="I68" s="5">
        <v>4.0000000000000001E-3</v>
      </c>
    </row>
    <row r="69" spans="1:9" x14ac:dyDescent="0.35">
      <c r="A69" s="23">
        <v>40360</v>
      </c>
      <c r="B69" s="6">
        <v>54.7</v>
      </c>
      <c r="C69" s="27">
        <f t="shared" si="0"/>
        <v>1</v>
      </c>
      <c r="F69" s="3"/>
      <c r="I69" s="5">
        <v>2E-3</v>
      </c>
    </row>
    <row r="70" spans="1:9" x14ac:dyDescent="0.35">
      <c r="A70" s="23">
        <v>40391</v>
      </c>
      <c r="B70" s="6">
        <v>55.4</v>
      </c>
      <c r="C70" s="27">
        <f t="shared" si="0"/>
        <v>0.69999999999999574</v>
      </c>
      <c r="F70" s="3"/>
      <c r="I70" s="5">
        <v>0</v>
      </c>
    </row>
    <row r="71" spans="1:9" x14ac:dyDescent="0.35">
      <c r="A71" s="23">
        <v>40422</v>
      </c>
      <c r="B71" s="6">
        <v>55.2</v>
      </c>
      <c r="C71" s="27">
        <f t="shared" si="0"/>
        <v>-0.19999999999999574</v>
      </c>
      <c r="D71" s="5">
        <v>5.0000000000000001E-3</v>
      </c>
      <c r="F71" s="3"/>
      <c r="I71" s="5">
        <v>0</v>
      </c>
    </row>
    <row r="72" spans="1:9" x14ac:dyDescent="0.35">
      <c r="A72" s="23">
        <v>40452</v>
      </c>
      <c r="B72" s="6">
        <v>57.5</v>
      </c>
      <c r="C72" s="27">
        <f t="shared" si="0"/>
        <v>2.2999999999999972</v>
      </c>
      <c r="F72" s="3"/>
      <c r="I72" s="5">
        <v>2E-3</v>
      </c>
    </row>
    <row r="73" spans="1:9" x14ac:dyDescent="0.35">
      <c r="A73" s="23">
        <v>40483</v>
      </c>
      <c r="B73" s="6">
        <v>56.3</v>
      </c>
      <c r="C73" s="27">
        <f t="shared" si="0"/>
        <v>-1.2000000000000028</v>
      </c>
      <c r="F73" s="3"/>
      <c r="I73" s="5">
        <v>-3.0000000000000001E-3</v>
      </c>
    </row>
    <row r="74" spans="1:9" x14ac:dyDescent="0.35">
      <c r="A74" s="23">
        <v>40513</v>
      </c>
      <c r="B74" s="6">
        <v>54.3</v>
      </c>
      <c r="C74" s="27">
        <f t="shared" si="0"/>
        <v>-2</v>
      </c>
      <c r="D74" s="5">
        <v>5.0000000000000001E-3</v>
      </c>
      <c r="F74" s="3"/>
      <c r="I74" s="5">
        <v>-2E-3</v>
      </c>
    </row>
    <row r="75" spans="1:9" x14ac:dyDescent="0.35">
      <c r="A75" s="23">
        <v>40544</v>
      </c>
      <c r="B75" s="6">
        <v>54.9</v>
      </c>
      <c r="C75" s="27">
        <f t="shared" si="0"/>
        <v>0.60000000000000142</v>
      </c>
      <c r="E75">
        <v>110</v>
      </c>
      <c r="F75" s="3"/>
      <c r="I75" s="5">
        <v>5.0000000000000001E-3</v>
      </c>
    </row>
    <row r="76" spans="1:9" x14ac:dyDescent="0.35">
      <c r="A76" s="23">
        <v>40575</v>
      </c>
      <c r="B76" s="6">
        <v>56.6</v>
      </c>
      <c r="C76" s="27">
        <f t="shared" si="0"/>
        <v>1.7000000000000028</v>
      </c>
      <c r="E76">
        <v>110.6</v>
      </c>
      <c r="F76" s="3"/>
      <c r="I76" s="5">
        <v>-1E-3</v>
      </c>
    </row>
    <row r="77" spans="1:9" x14ac:dyDescent="0.35">
      <c r="A77" s="23">
        <v>40603</v>
      </c>
      <c r="B77" s="6">
        <v>56.9</v>
      </c>
      <c r="C77" s="27">
        <f t="shared" si="0"/>
        <v>0.29999999999999716</v>
      </c>
      <c r="D77" s="5">
        <v>1.0999999999999999E-2</v>
      </c>
      <c r="E77">
        <v>109.8</v>
      </c>
      <c r="F77" s="3"/>
    </row>
    <row r="78" spans="1:9" x14ac:dyDescent="0.35">
      <c r="A78" s="23">
        <v>40634</v>
      </c>
      <c r="B78" s="6">
        <v>57.5</v>
      </c>
      <c r="C78" s="27">
        <f t="shared" si="0"/>
        <v>0.60000000000000142</v>
      </c>
      <c r="E78">
        <v>107.9</v>
      </c>
      <c r="F78" s="3"/>
    </row>
    <row r="79" spans="1:9" x14ac:dyDescent="0.35">
      <c r="A79" s="23">
        <v>40664</v>
      </c>
      <c r="B79" s="6">
        <v>54.9</v>
      </c>
      <c r="C79" s="27">
        <f t="shared" si="0"/>
        <v>-2.6000000000000014</v>
      </c>
      <c r="E79">
        <v>107.7</v>
      </c>
      <c r="F79" s="3"/>
    </row>
    <row r="80" spans="1:9" x14ac:dyDescent="0.35">
      <c r="A80" s="23">
        <v>40695</v>
      </c>
      <c r="B80" s="6">
        <v>50.1</v>
      </c>
      <c r="C80" s="27">
        <f t="shared" si="0"/>
        <v>-4.7999999999999972</v>
      </c>
      <c r="D80" s="5">
        <v>-1E-3</v>
      </c>
      <c r="E80">
        <v>106.2</v>
      </c>
      <c r="F80" s="3"/>
    </row>
    <row r="81" spans="1:9" x14ac:dyDescent="0.35">
      <c r="A81" s="23">
        <v>40725</v>
      </c>
      <c r="B81" s="6">
        <v>50.5</v>
      </c>
      <c r="C81" s="27">
        <f t="shared" si="0"/>
        <v>0.39999999999999858</v>
      </c>
      <c r="E81">
        <v>100.2</v>
      </c>
      <c r="F81" s="3"/>
    </row>
    <row r="82" spans="1:9" x14ac:dyDescent="0.35">
      <c r="A82" s="23">
        <v>40756</v>
      </c>
      <c r="B82" s="6">
        <v>49.1</v>
      </c>
      <c r="C82" s="27">
        <f t="shared" si="0"/>
        <v>-1.3999999999999986</v>
      </c>
      <c r="E82">
        <v>98.4</v>
      </c>
      <c r="F82" s="3"/>
    </row>
    <row r="83" spans="1:9" x14ac:dyDescent="0.35">
      <c r="A83" s="23">
        <v>40787</v>
      </c>
      <c r="B83" s="6">
        <v>48.2</v>
      </c>
      <c r="C83" s="27">
        <f t="shared" si="0"/>
        <v>-0.89999999999999858</v>
      </c>
      <c r="D83" s="5">
        <v>3.0000000000000001E-3</v>
      </c>
      <c r="E83">
        <v>96.7</v>
      </c>
      <c r="F83" s="3"/>
    </row>
    <row r="84" spans="1:9" x14ac:dyDescent="0.35">
      <c r="A84" s="23">
        <v>40817</v>
      </c>
      <c r="B84" s="6">
        <v>48.5</v>
      </c>
      <c r="C84" s="27">
        <f t="shared" si="0"/>
        <v>0.29999999999999716</v>
      </c>
      <c r="E84">
        <v>97</v>
      </c>
      <c r="F84" s="3"/>
    </row>
    <row r="85" spans="1:9" x14ac:dyDescent="0.35">
      <c r="A85" s="23">
        <v>40848</v>
      </c>
      <c r="B85" s="6">
        <v>47.3</v>
      </c>
      <c r="C85" s="27">
        <f t="shared" si="0"/>
        <v>-1.2000000000000028</v>
      </c>
      <c r="E85">
        <v>94.5</v>
      </c>
      <c r="F85" s="3"/>
      <c r="H85" s="64" t="s">
        <v>104</v>
      </c>
      <c r="I85" t="s">
        <v>23</v>
      </c>
    </row>
    <row r="86" spans="1:9" x14ac:dyDescent="0.35">
      <c r="A86" s="23">
        <v>40878</v>
      </c>
      <c r="B86" s="6">
        <v>48.9</v>
      </c>
      <c r="C86" s="27">
        <f t="shared" si="0"/>
        <v>1.6000000000000014</v>
      </c>
      <c r="D86" s="5">
        <v>1E-3</v>
      </c>
      <c r="E86">
        <v>94.7</v>
      </c>
      <c r="F86" s="3"/>
    </row>
    <row r="87" spans="1:9" x14ac:dyDescent="0.35">
      <c r="A87" s="24">
        <v>40909</v>
      </c>
      <c r="B87" s="17">
        <v>48.5</v>
      </c>
      <c r="C87" s="28">
        <f t="shared" si="0"/>
        <v>-0.39999999999999858</v>
      </c>
      <c r="E87">
        <v>93.2</v>
      </c>
      <c r="F87" s="3"/>
    </row>
    <row r="88" spans="1:9" x14ac:dyDescent="0.35">
      <c r="A88" s="24">
        <v>40940</v>
      </c>
      <c r="B88" s="17">
        <v>50</v>
      </c>
      <c r="C88" s="28">
        <f t="shared" si="0"/>
        <v>1.5</v>
      </c>
      <c r="E88">
        <v>95.3</v>
      </c>
      <c r="F88" s="3"/>
    </row>
    <row r="89" spans="1:9" x14ac:dyDescent="0.35">
      <c r="A89" s="24">
        <v>40969</v>
      </c>
      <c r="B89" s="17">
        <v>46.7</v>
      </c>
      <c r="C89" s="28">
        <f t="shared" si="0"/>
        <v>-3.2999999999999972</v>
      </c>
      <c r="D89" s="5">
        <v>1E-3</v>
      </c>
      <c r="E89">
        <v>96.6</v>
      </c>
      <c r="F89" s="3"/>
    </row>
    <row r="90" spans="1:9" x14ac:dyDescent="0.35">
      <c r="A90" s="24">
        <v>41000</v>
      </c>
      <c r="B90" s="17">
        <v>46.9</v>
      </c>
      <c r="C90" s="28">
        <f t="shared" si="0"/>
        <v>0.19999999999999574</v>
      </c>
      <c r="E90">
        <v>96.7</v>
      </c>
      <c r="F90" s="3"/>
    </row>
    <row r="91" spans="1:9" x14ac:dyDescent="0.35">
      <c r="A91" s="24">
        <v>41030</v>
      </c>
      <c r="B91" s="17">
        <v>44.7</v>
      </c>
      <c r="C91" s="28">
        <f t="shared" si="0"/>
        <v>-2.1999999999999957</v>
      </c>
      <c r="E91">
        <v>95</v>
      </c>
      <c r="F91" s="3"/>
    </row>
    <row r="92" spans="1:9" x14ac:dyDescent="0.35">
      <c r="A92" s="24">
        <v>41061</v>
      </c>
      <c r="B92" s="17">
        <v>45.2</v>
      </c>
      <c r="C92" s="28">
        <f t="shared" si="0"/>
        <v>0.5</v>
      </c>
      <c r="D92" s="5">
        <v>-3.0000000000000001E-3</v>
      </c>
      <c r="E92">
        <v>93.3</v>
      </c>
      <c r="F92" s="3"/>
    </row>
    <row r="93" spans="1:9" x14ac:dyDescent="0.35">
      <c r="A93" s="24">
        <v>41091</v>
      </c>
      <c r="B93" s="17">
        <v>43.4</v>
      </c>
      <c r="C93" s="28">
        <f t="shared" si="0"/>
        <v>-1.8000000000000043</v>
      </c>
      <c r="E93">
        <v>90.9</v>
      </c>
      <c r="F93" s="3"/>
    </row>
    <row r="94" spans="1:9" x14ac:dyDescent="0.35">
      <c r="A94" s="24">
        <v>41122</v>
      </c>
      <c r="B94" s="17">
        <v>46</v>
      </c>
      <c r="C94" s="28">
        <f t="shared" si="0"/>
        <v>2.6000000000000014</v>
      </c>
      <c r="E94">
        <v>90.8</v>
      </c>
      <c r="F94" s="3"/>
    </row>
    <row r="95" spans="1:9" x14ac:dyDescent="0.35">
      <c r="A95" s="24">
        <v>41153</v>
      </c>
      <c r="B95" s="17">
        <v>42.7</v>
      </c>
      <c r="C95" s="28">
        <f t="shared" si="0"/>
        <v>-3.2999999999999972</v>
      </c>
      <c r="D95" s="5">
        <v>2E-3</v>
      </c>
      <c r="E95">
        <v>89.7</v>
      </c>
      <c r="F95" s="3"/>
    </row>
    <row r="96" spans="1:9" x14ac:dyDescent="0.35">
      <c r="A96" s="24">
        <v>41183</v>
      </c>
      <c r="B96" s="17">
        <v>43.7</v>
      </c>
      <c r="C96" s="28">
        <f t="shared" si="0"/>
        <v>1</v>
      </c>
      <c r="E96">
        <v>87.3</v>
      </c>
      <c r="F96" s="3"/>
    </row>
    <row r="97" spans="1:6" x14ac:dyDescent="0.35">
      <c r="A97" s="24">
        <v>41214</v>
      </c>
      <c r="B97" s="17">
        <v>44.5</v>
      </c>
      <c r="C97" s="28">
        <f t="shared" si="0"/>
        <v>0.79999999999999716</v>
      </c>
      <c r="E97">
        <v>88.8</v>
      </c>
      <c r="F97" s="3"/>
    </row>
    <row r="98" spans="1:6" x14ac:dyDescent="0.35">
      <c r="A98" s="24">
        <v>41244</v>
      </c>
      <c r="B98" s="17">
        <v>44.6</v>
      </c>
      <c r="C98" s="28">
        <f t="shared" si="0"/>
        <v>0.10000000000000142</v>
      </c>
      <c r="D98" s="5">
        <v>-2E-3</v>
      </c>
      <c r="E98">
        <v>89.5</v>
      </c>
      <c r="F98" s="3"/>
    </row>
    <row r="99" spans="1:6" x14ac:dyDescent="0.35">
      <c r="A99" s="24">
        <v>41275</v>
      </c>
      <c r="B99" s="17">
        <v>42.9</v>
      </c>
      <c r="C99" s="28">
        <f t="shared" si="0"/>
        <v>-1.7000000000000028</v>
      </c>
      <c r="E99">
        <v>89.8</v>
      </c>
      <c r="F99" s="3"/>
    </row>
    <row r="100" spans="1:6" x14ac:dyDescent="0.35">
      <c r="A100" s="24">
        <v>41306</v>
      </c>
      <c r="B100" s="17">
        <v>43.9</v>
      </c>
      <c r="C100" s="28">
        <f t="shared" si="0"/>
        <v>1</v>
      </c>
      <c r="E100">
        <v>90.3</v>
      </c>
      <c r="F100" s="3"/>
    </row>
    <row r="101" spans="1:6" x14ac:dyDescent="0.35">
      <c r="A101" s="24">
        <v>41334</v>
      </c>
      <c r="B101" s="17">
        <v>44</v>
      </c>
      <c r="C101" s="28">
        <f t="shared" si="0"/>
        <v>0.10000000000000142</v>
      </c>
      <c r="D101" s="5">
        <v>0</v>
      </c>
      <c r="E101">
        <v>88.8</v>
      </c>
      <c r="F101" s="3"/>
    </row>
    <row r="102" spans="1:6" x14ac:dyDescent="0.35">
      <c r="A102" s="24">
        <v>41365</v>
      </c>
      <c r="B102" s="17">
        <v>44.4</v>
      </c>
      <c r="C102" s="28">
        <f t="shared" si="0"/>
        <v>0.39999999999999858</v>
      </c>
      <c r="E102">
        <v>86.4</v>
      </c>
      <c r="F102" s="3"/>
    </row>
    <row r="103" spans="1:6" x14ac:dyDescent="0.35">
      <c r="A103" s="24">
        <v>41395</v>
      </c>
      <c r="B103" s="17">
        <v>46.4</v>
      </c>
      <c r="C103" s="28">
        <f t="shared" si="0"/>
        <v>2</v>
      </c>
      <c r="E103">
        <v>87.4</v>
      </c>
      <c r="F103" s="3"/>
    </row>
    <row r="104" spans="1:6" x14ac:dyDescent="0.35">
      <c r="A104" s="24">
        <v>41426</v>
      </c>
      <c r="B104" s="17">
        <v>48.4</v>
      </c>
      <c r="C104" s="28">
        <f t="shared" si="0"/>
        <v>2</v>
      </c>
      <c r="D104" s="5">
        <v>6.0000000000000001E-3</v>
      </c>
      <c r="E104">
        <v>88.7</v>
      </c>
      <c r="F104" s="3"/>
    </row>
    <row r="105" spans="1:6" x14ac:dyDescent="0.35">
      <c r="A105" s="24">
        <v>41456</v>
      </c>
      <c r="B105" s="17">
        <v>49.7</v>
      </c>
      <c r="C105" s="28">
        <f t="shared" si="0"/>
        <v>1.3000000000000043</v>
      </c>
      <c r="E105">
        <v>89.9</v>
      </c>
      <c r="F105" s="3"/>
    </row>
    <row r="106" spans="1:6" x14ac:dyDescent="0.35">
      <c r="A106" s="24">
        <v>41487</v>
      </c>
      <c r="B106" s="17">
        <v>49.7</v>
      </c>
      <c r="C106" s="28">
        <f t="shared" si="0"/>
        <v>0</v>
      </c>
      <c r="E106">
        <v>91.6</v>
      </c>
      <c r="F106" s="3"/>
    </row>
    <row r="107" spans="1:6" x14ac:dyDescent="0.35">
      <c r="A107" s="24">
        <v>41518</v>
      </c>
      <c r="B107" s="17">
        <v>49.8</v>
      </c>
      <c r="C107" s="28">
        <f t="shared" si="0"/>
        <v>9.9999999999994316E-2</v>
      </c>
      <c r="D107" s="5">
        <v>-1E-3</v>
      </c>
      <c r="E107">
        <v>93.5</v>
      </c>
      <c r="F107" s="3"/>
    </row>
    <row r="108" spans="1:6" x14ac:dyDescent="0.35">
      <c r="A108" s="24">
        <v>41548</v>
      </c>
      <c r="B108" s="17">
        <v>49.1</v>
      </c>
      <c r="C108" s="28">
        <f t="shared" si="0"/>
        <v>-0.69999999999999574</v>
      </c>
      <c r="E108">
        <v>96.4</v>
      </c>
      <c r="F108" s="3"/>
    </row>
    <row r="109" spans="1:6" x14ac:dyDescent="0.35">
      <c r="A109" s="24">
        <v>41579</v>
      </c>
      <c r="B109" s="17">
        <v>48.4</v>
      </c>
      <c r="C109" s="28">
        <f t="shared" si="0"/>
        <v>-0.70000000000000284</v>
      </c>
      <c r="E109">
        <v>95.2</v>
      </c>
      <c r="F109" s="3"/>
    </row>
    <row r="110" spans="1:6" x14ac:dyDescent="0.35">
      <c r="A110" s="24">
        <v>41609</v>
      </c>
      <c r="B110" s="17">
        <v>47</v>
      </c>
      <c r="C110" s="28">
        <f t="shared" ref="C110:C112" si="1">B110-B109</f>
        <v>-1.3999999999999986</v>
      </c>
      <c r="D110" s="5">
        <v>2E-3</v>
      </c>
      <c r="E110">
        <v>96</v>
      </c>
      <c r="F110" s="3"/>
    </row>
    <row r="111" spans="1:6" x14ac:dyDescent="0.35">
      <c r="A111" s="24">
        <v>41640</v>
      </c>
      <c r="B111" s="17">
        <v>49.3</v>
      </c>
      <c r="C111" s="28">
        <f t="shared" si="1"/>
        <v>2.2999999999999972</v>
      </c>
      <c r="E111">
        <v>97.5</v>
      </c>
    </row>
    <row r="112" spans="1:6" x14ac:dyDescent="0.35">
      <c r="A112" s="24">
        <v>41671</v>
      </c>
      <c r="B112" s="17">
        <v>49.7</v>
      </c>
      <c r="C112" s="28">
        <f t="shared" si="1"/>
        <v>0.40000000000000568</v>
      </c>
      <c r="E112">
        <v>95.9</v>
      </c>
    </row>
    <row r="113" spans="1:5" x14ac:dyDescent="0.35">
      <c r="A113" s="24">
        <v>41699</v>
      </c>
      <c r="B113" s="17">
        <v>52.1</v>
      </c>
      <c r="C113" s="28">
        <f t="shared" ref="C113:C114" si="2">B113-B112</f>
        <v>2.3999999999999986</v>
      </c>
      <c r="D113" s="5">
        <v>0</v>
      </c>
      <c r="E113">
        <v>97.1</v>
      </c>
    </row>
    <row r="114" spans="1:5" x14ac:dyDescent="0.35">
      <c r="A114" s="24">
        <v>41730</v>
      </c>
      <c r="B114" s="17">
        <v>51.2</v>
      </c>
      <c r="C114" s="28">
        <f t="shared" si="2"/>
        <v>-0.89999999999999858</v>
      </c>
      <c r="E114">
        <v>96.8</v>
      </c>
    </row>
    <row r="115" spans="1:5" x14ac:dyDescent="0.35">
      <c r="A115" s="24">
        <v>41760</v>
      </c>
      <c r="B115" s="17">
        <v>49.6</v>
      </c>
      <c r="C115" s="28">
        <f t="shared" ref="C115:C118" si="3">B115-B114</f>
        <v>-1.6000000000000014</v>
      </c>
      <c r="E115">
        <v>96.3</v>
      </c>
    </row>
    <row r="116" spans="1:5" x14ac:dyDescent="0.35">
      <c r="A116" s="24">
        <v>41791</v>
      </c>
      <c r="B116" s="17">
        <v>48.2</v>
      </c>
      <c r="C116" s="28">
        <f t="shared" si="3"/>
        <v>-1.3999999999999986</v>
      </c>
      <c r="D116" s="5">
        <v>0</v>
      </c>
      <c r="E116">
        <v>95.3</v>
      </c>
    </row>
    <row r="117" spans="1:5" x14ac:dyDescent="0.35">
      <c r="A117" s="24">
        <v>41821</v>
      </c>
      <c r="B117" s="17">
        <v>47.8</v>
      </c>
      <c r="C117" s="28">
        <f t="shared" si="3"/>
        <v>-0.40000000000000568</v>
      </c>
      <c r="E117">
        <v>95.7</v>
      </c>
    </row>
    <row r="118" spans="1:5" x14ac:dyDescent="0.35">
      <c r="A118" s="24">
        <v>41852</v>
      </c>
      <c r="B118" s="17">
        <v>46.9</v>
      </c>
      <c r="C118" s="28">
        <f t="shared" si="3"/>
        <v>-0.89999999999999858</v>
      </c>
      <c r="E118">
        <v>95.1</v>
      </c>
    </row>
    <row r="119" spans="1:5" x14ac:dyDescent="0.35">
      <c r="A119" s="24">
        <v>41883</v>
      </c>
      <c r="B119" s="17">
        <v>48.8</v>
      </c>
      <c r="C119" s="28">
        <f>IFERROR(B119-B118,"")</f>
        <v>1.8999999999999986</v>
      </c>
      <c r="D119" s="7">
        <f>IF(VLOOKUP(I85,Data!$O$51:$V$152,7,FALSE)=A118,VLOOKUP(I85,Data!$O$51:$V$152,2,FALSE)/100,"")</f>
        <v>3.0000000000000001E-3</v>
      </c>
      <c r="E119">
        <v>95.3</v>
      </c>
    </row>
    <row r="120" spans="1:5" x14ac:dyDescent="0.35">
      <c r="A120" s="24">
        <v>41913</v>
      </c>
      <c r="B120" s="17">
        <v>48.5</v>
      </c>
      <c r="C120" s="28">
        <v>-0.29999999999999716</v>
      </c>
      <c r="E120">
        <v>96.6</v>
      </c>
    </row>
    <row r="121" spans="1:5" x14ac:dyDescent="0.35">
      <c r="A121" s="24">
        <v>41944</v>
      </c>
      <c r="B121" s="17">
        <f>IF(A121=Data!$C$1,VLOOKUP($H$85,Data!$A$2:$C$36,3,FALSE),"N/A")</f>
        <v>48.4</v>
      </c>
      <c r="C121" s="28">
        <f t="shared" ref="C121" si="4">B121-B120</f>
        <v>-0.10000000000000142</v>
      </c>
      <c r="E121">
        <v>98.1</v>
      </c>
    </row>
    <row r="122" spans="1:5" x14ac:dyDescent="0.35">
      <c r="A122" s="110">
        <v>41974</v>
      </c>
      <c r="B122" s="17"/>
      <c r="C122" s="28"/>
    </row>
    <row r="123" spans="1:5" x14ac:dyDescent="0.35">
      <c r="A123" s="110">
        <v>42005</v>
      </c>
      <c r="B123" s="17"/>
      <c r="C123" s="28"/>
    </row>
    <row r="124" spans="1:5" x14ac:dyDescent="0.35">
      <c r="A124" s="110">
        <v>42036</v>
      </c>
      <c r="B124" s="17"/>
      <c r="C124" s="28"/>
    </row>
    <row r="125" spans="1:5" x14ac:dyDescent="0.35">
      <c r="A125" s="110">
        <v>42064</v>
      </c>
      <c r="B125" s="17"/>
      <c r="C125" s="28"/>
    </row>
    <row r="126" spans="1:5" x14ac:dyDescent="0.35">
      <c r="A126" s="110">
        <v>42095</v>
      </c>
      <c r="B126" s="17"/>
      <c r="C126" s="28"/>
    </row>
    <row r="127" spans="1:5" x14ac:dyDescent="0.35">
      <c r="A127" s="110">
        <v>42125</v>
      </c>
      <c r="B127" s="17"/>
      <c r="C127" s="28"/>
    </row>
    <row r="128" spans="1:5" x14ac:dyDescent="0.35">
      <c r="A128" s="110">
        <v>42156</v>
      </c>
      <c r="B128" s="17"/>
      <c r="C128" s="28"/>
    </row>
    <row r="129" spans="1:3" x14ac:dyDescent="0.35">
      <c r="A129" s="110">
        <v>42186</v>
      </c>
      <c r="B129" s="17"/>
      <c r="C129" s="28"/>
    </row>
    <row r="130" spans="1:3" x14ac:dyDescent="0.35">
      <c r="A130" s="110">
        <v>42217</v>
      </c>
      <c r="B130" s="17"/>
      <c r="C130" s="28"/>
    </row>
    <row r="131" spans="1:3" x14ac:dyDescent="0.35">
      <c r="A131" s="110">
        <v>42248</v>
      </c>
      <c r="B131" s="17"/>
      <c r="C131" s="28"/>
    </row>
    <row r="132" spans="1:3" x14ac:dyDescent="0.35">
      <c r="A132" s="110">
        <v>42278</v>
      </c>
      <c r="B132" s="17"/>
      <c r="C132" s="28"/>
    </row>
    <row r="133" spans="1:3" x14ac:dyDescent="0.35">
      <c r="A133" s="110">
        <v>42309</v>
      </c>
      <c r="B133" s="17"/>
      <c r="C133" s="28"/>
    </row>
    <row r="134" spans="1:3" x14ac:dyDescent="0.35">
      <c r="A134" s="110">
        <v>42339</v>
      </c>
      <c r="B134" s="17"/>
      <c r="C134" s="28"/>
    </row>
    <row r="135" spans="1:3" x14ac:dyDescent="0.35">
      <c r="A135" s="110">
        <v>42370</v>
      </c>
      <c r="B135" s="17"/>
      <c r="C135" s="28"/>
    </row>
    <row r="136" spans="1:3" x14ac:dyDescent="0.35">
      <c r="A136" s="110">
        <v>42401</v>
      </c>
      <c r="B136" s="17"/>
      <c r="C136" s="28"/>
    </row>
    <row r="137" spans="1:3" x14ac:dyDescent="0.35">
      <c r="A137" s="110">
        <v>42430</v>
      </c>
      <c r="B137" s="17"/>
      <c r="C137" s="28"/>
    </row>
    <row r="138" spans="1:3" x14ac:dyDescent="0.35">
      <c r="A138" s="110">
        <v>42461</v>
      </c>
      <c r="B138" s="17"/>
      <c r="C138" s="28"/>
    </row>
    <row r="139" spans="1:3" x14ac:dyDescent="0.35">
      <c r="A139" s="110">
        <v>42491</v>
      </c>
      <c r="B139" s="17"/>
      <c r="C139" s="28"/>
    </row>
    <row r="140" spans="1:3" x14ac:dyDescent="0.35">
      <c r="A140" s="110">
        <v>42522</v>
      </c>
      <c r="B140" s="17"/>
      <c r="C140" s="28"/>
    </row>
    <row r="141" spans="1:3" x14ac:dyDescent="0.35">
      <c r="A141" s="110">
        <v>42552</v>
      </c>
      <c r="B141" s="17"/>
      <c r="C141" s="28"/>
    </row>
    <row r="142" spans="1:3" x14ac:dyDescent="0.35">
      <c r="A142" s="110">
        <v>42583</v>
      </c>
      <c r="B142" s="17"/>
      <c r="C142" s="28"/>
    </row>
    <row r="143" spans="1:3" x14ac:dyDescent="0.35">
      <c r="A143" s="110">
        <v>42614</v>
      </c>
      <c r="B143" s="17"/>
      <c r="C143" s="28"/>
    </row>
    <row r="144" spans="1:3" x14ac:dyDescent="0.35">
      <c r="A144" s="110">
        <v>42644</v>
      </c>
      <c r="B144" s="17"/>
      <c r="C144" s="28"/>
    </row>
    <row r="145" spans="1:5" x14ac:dyDescent="0.35">
      <c r="A145" s="110">
        <v>42675</v>
      </c>
      <c r="B145" s="17"/>
      <c r="C145" s="28"/>
    </row>
    <row r="146" spans="1:5" x14ac:dyDescent="0.35">
      <c r="A146" s="110">
        <v>42705</v>
      </c>
      <c r="B146" s="17"/>
      <c r="C146" s="28"/>
    </row>
    <row r="147" spans="1:5" x14ac:dyDescent="0.35">
      <c r="A147" s="110">
        <v>42736</v>
      </c>
      <c r="B147" s="17"/>
      <c r="C147" s="28"/>
    </row>
    <row r="148" spans="1:5" x14ac:dyDescent="0.35">
      <c r="A148" s="110">
        <v>42767</v>
      </c>
      <c r="B148" s="17"/>
      <c r="C148" s="28"/>
    </row>
    <row r="149" spans="1:5" x14ac:dyDescent="0.35">
      <c r="A149" s="110">
        <v>42795</v>
      </c>
      <c r="B149" s="17"/>
      <c r="C149" s="28"/>
    </row>
    <row r="150" spans="1:5" x14ac:dyDescent="0.35">
      <c r="A150" s="110">
        <v>42826</v>
      </c>
      <c r="B150" s="17"/>
      <c r="C150" s="28"/>
    </row>
    <row r="151" spans="1:5" x14ac:dyDescent="0.35">
      <c r="A151" s="110">
        <v>42856</v>
      </c>
      <c r="B151" s="17"/>
      <c r="C151" s="28"/>
    </row>
    <row r="152" spans="1:5" x14ac:dyDescent="0.35">
      <c r="A152" s="110">
        <v>42887</v>
      </c>
      <c r="B152" s="17"/>
      <c r="C152" s="28"/>
    </row>
    <row r="153" spans="1:5" x14ac:dyDescent="0.35">
      <c r="A153" s="110">
        <v>42917</v>
      </c>
      <c r="B153" s="17"/>
      <c r="C153" s="28"/>
    </row>
    <row r="154" spans="1:5" x14ac:dyDescent="0.35">
      <c r="A154" s="111">
        <v>42948</v>
      </c>
      <c r="B154" s="91"/>
      <c r="C154" s="107"/>
    </row>
    <row r="155" spans="1:5" x14ac:dyDescent="0.35">
      <c r="A155" s="123">
        <v>46143</v>
      </c>
      <c r="B155" s="91">
        <v>49.7</v>
      </c>
      <c r="C155" s="107"/>
      <c r="E155" t="s">
        <v>324</v>
      </c>
    </row>
    <row r="156" spans="1:5" x14ac:dyDescent="0.35">
      <c r="A156" s="123">
        <v>46174</v>
      </c>
      <c r="B156" s="91">
        <v>51.2</v>
      </c>
      <c r="C156" s="107">
        <v>1.5</v>
      </c>
    </row>
  </sheetData>
  <sortState xmlns:xlrd2="http://schemas.microsoft.com/office/spreadsheetml/2017/richdata2" ref="A2:C68">
    <sortCondition ref="A2"/>
  </sortState>
  <conditionalFormatting sqref="B46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25:I156"/>
  <sheetViews>
    <sheetView topLeftCell="A22" zoomScale="70" zoomScaleNormal="70" workbookViewId="0">
      <pane ySplit="4" topLeftCell="A95" activePane="bottomLeft" state="frozen"/>
      <selection activeCell="D119" sqref="D119"/>
      <selection pane="bottomLeft" activeCell="B115" sqref="B115"/>
    </sheetView>
  </sheetViews>
  <sheetFormatPr defaultRowHeight="14.5" x14ac:dyDescent="0.35"/>
  <cols>
    <col min="1" max="1" width="9.6328125" style="13" customWidth="1"/>
    <col min="2" max="2" width="12.90625" style="14" customWidth="1"/>
    <col min="3" max="3" width="12.36328125" style="26" customWidth="1"/>
    <col min="4" max="4" width="18.08984375" style="5" customWidth="1"/>
  </cols>
  <sheetData>
    <row r="25" spans="1:5" x14ac:dyDescent="0.35">
      <c r="A25" s="13" t="s">
        <v>0</v>
      </c>
      <c r="B25" s="14" t="s">
        <v>3</v>
      </c>
      <c r="C25" s="26" t="s">
        <v>5</v>
      </c>
      <c r="D25" s="5" t="s">
        <v>49</v>
      </c>
      <c r="E25" t="s">
        <v>325</v>
      </c>
    </row>
    <row r="26" spans="1:5" x14ac:dyDescent="0.35">
      <c r="A26" s="15">
        <v>39052</v>
      </c>
      <c r="B26" s="6">
        <v>55</v>
      </c>
      <c r="D26" s="5">
        <v>1.0999999999999999E-2</v>
      </c>
    </row>
    <row r="27" spans="1:5" x14ac:dyDescent="0.35">
      <c r="A27" s="15">
        <v>39083</v>
      </c>
      <c r="B27" s="6">
        <v>53.5</v>
      </c>
      <c r="C27" s="27">
        <f>B27-B26</f>
        <v>-1.5</v>
      </c>
    </row>
    <row r="28" spans="1:5" x14ac:dyDescent="0.35">
      <c r="A28" s="15">
        <v>39114</v>
      </c>
      <c r="B28" s="6">
        <v>54.2</v>
      </c>
      <c r="C28" s="27">
        <f t="shared" ref="C28:C91" si="0">B28-B27</f>
        <v>0.70000000000000284</v>
      </c>
    </row>
    <row r="29" spans="1:5" x14ac:dyDescent="0.35">
      <c r="A29" s="15">
        <v>39142</v>
      </c>
      <c r="B29" s="6">
        <v>53.8</v>
      </c>
      <c r="C29" s="27">
        <f t="shared" si="0"/>
        <v>-0.40000000000000568</v>
      </c>
      <c r="D29" s="5">
        <v>0</v>
      </c>
    </row>
    <row r="30" spans="1:5" x14ac:dyDescent="0.35">
      <c r="A30" s="15">
        <v>39173</v>
      </c>
      <c r="B30" s="6">
        <v>53.9</v>
      </c>
      <c r="C30" s="27">
        <f t="shared" si="0"/>
        <v>0.10000000000000142</v>
      </c>
    </row>
    <row r="31" spans="1:5" x14ac:dyDescent="0.35">
      <c r="A31" s="15">
        <v>39203</v>
      </c>
      <c r="B31" s="6">
        <v>55</v>
      </c>
      <c r="C31" s="27">
        <f t="shared" si="0"/>
        <v>1.1000000000000014</v>
      </c>
    </row>
    <row r="32" spans="1:5" x14ac:dyDescent="0.35">
      <c r="A32" s="15">
        <v>39234</v>
      </c>
      <c r="B32" s="6">
        <v>54</v>
      </c>
      <c r="C32" s="27">
        <f t="shared" si="0"/>
        <v>-1</v>
      </c>
      <c r="D32" s="5">
        <v>2E-3</v>
      </c>
    </row>
    <row r="33" spans="1:4" x14ac:dyDescent="0.35">
      <c r="A33" s="15">
        <v>39264</v>
      </c>
      <c r="B33" s="6">
        <v>53.3</v>
      </c>
      <c r="C33" s="27">
        <f t="shared" si="0"/>
        <v>-0.70000000000000284</v>
      </c>
    </row>
    <row r="34" spans="1:4" x14ac:dyDescent="0.35">
      <c r="A34" s="15">
        <v>39295</v>
      </c>
      <c r="B34" s="6">
        <v>53.6</v>
      </c>
      <c r="C34" s="27">
        <f t="shared" si="0"/>
        <v>0.30000000000000426</v>
      </c>
    </row>
    <row r="35" spans="1:4" x14ac:dyDescent="0.35">
      <c r="A35" s="15">
        <v>39326</v>
      </c>
      <c r="B35" s="6">
        <v>52.4</v>
      </c>
      <c r="C35" s="27">
        <f t="shared" si="0"/>
        <v>-1.2000000000000028</v>
      </c>
      <c r="D35" s="5">
        <v>3.0000000000000001E-3</v>
      </c>
    </row>
    <row r="36" spans="1:4" x14ac:dyDescent="0.35">
      <c r="A36" s="15">
        <v>39356</v>
      </c>
      <c r="B36" s="6">
        <v>51.3</v>
      </c>
      <c r="C36" s="27">
        <f t="shared" si="0"/>
        <v>-1.1000000000000014</v>
      </c>
    </row>
    <row r="37" spans="1:4" x14ac:dyDescent="0.35">
      <c r="A37" s="15">
        <v>39387</v>
      </c>
      <c r="B37" s="6">
        <v>51.3</v>
      </c>
      <c r="C37" s="27">
        <f t="shared" si="0"/>
        <v>0</v>
      </c>
    </row>
    <row r="38" spans="1:4" x14ac:dyDescent="0.35">
      <c r="A38" s="15">
        <v>39417</v>
      </c>
      <c r="B38" s="6">
        <v>50.7</v>
      </c>
      <c r="C38" s="27">
        <f t="shared" si="0"/>
        <v>-0.59999999999999432</v>
      </c>
      <c r="D38" s="5">
        <v>-4.0000000000000001E-3</v>
      </c>
    </row>
    <row r="39" spans="1:4" x14ac:dyDescent="0.35">
      <c r="A39" s="15">
        <v>39448</v>
      </c>
      <c r="B39" s="6">
        <v>50.8</v>
      </c>
      <c r="C39" s="27">
        <f t="shared" si="0"/>
        <v>9.9999999999994316E-2</v>
      </c>
    </row>
    <row r="40" spans="1:4" x14ac:dyDescent="0.35">
      <c r="A40" s="15">
        <v>39479</v>
      </c>
      <c r="B40" s="6">
        <v>50.6</v>
      </c>
      <c r="C40" s="27">
        <f t="shared" si="0"/>
        <v>-0.19999999999999574</v>
      </c>
    </row>
    <row r="41" spans="1:4" x14ac:dyDescent="0.35">
      <c r="A41" s="15">
        <v>39508</v>
      </c>
      <c r="B41" s="6">
        <v>49.4</v>
      </c>
      <c r="C41" s="27">
        <f t="shared" si="0"/>
        <v>-1.2000000000000028</v>
      </c>
      <c r="D41" s="5">
        <v>4.0000000000000001E-3</v>
      </c>
    </row>
    <row r="42" spans="1:4" x14ac:dyDescent="0.35">
      <c r="A42" s="15">
        <v>39539</v>
      </c>
      <c r="B42" s="6">
        <v>48.2</v>
      </c>
      <c r="C42" s="27">
        <f t="shared" si="0"/>
        <v>-1.1999999999999957</v>
      </c>
    </row>
    <row r="43" spans="1:4" x14ac:dyDescent="0.35">
      <c r="A43" s="15">
        <v>39569</v>
      </c>
      <c r="B43" s="6">
        <v>48</v>
      </c>
      <c r="C43" s="27">
        <f t="shared" si="0"/>
        <v>-0.20000000000000284</v>
      </c>
    </row>
    <row r="44" spans="1:4" x14ac:dyDescent="0.35">
      <c r="A44" s="15">
        <v>39600</v>
      </c>
      <c r="B44" s="6">
        <v>46.9</v>
      </c>
      <c r="C44" s="27">
        <f t="shared" si="0"/>
        <v>-1.1000000000000014</v>
      </c>
      <c r="D44" s="5">
        <v>-5.0000000000000001E-3</v>
      </c>
    </row>
    <row r="45" spans="1:4" x14ac:dyDescent="0.35">
      <c r="A45" s="15">
        <v>39630</v>
      </c>
      <c r="B45" s="6">
        <v>45.3</v>
      </c>
      <c r="C45" s="27">
        <f t="shared" si="0"/>
        <v>-1.6000000000000014</v>
      </c>
    </row>
    <row r="46" spans="1:4" x14ac:dyDescent="0.35">
      <c r="A46" s="15">
        <v>39661</v>
      </c>
      <c r="B46" s="6">
        <v>47.1</v>
      </c>
      <c r="C46" s="27">
        <f t="shared" si="0"/>
        <v>1.8000000000000043</v>
      </c>
    </row>
    <row r="47" spans="1:4" x14ac:dyDescent="0.35">
      <c r="A47" s="15">
        <v>39692</v>
      </c>
      <c r="B47" s="6">
        <v>44.4</v>
      </c>
      <c r="C47" s="27">
        <f t="shared" si="0"/>
        <v>-2.7000000000000028</v>
      </c>
      <c r="D47" s="5">
        <v>-1.0999999999999999E-2</v>
      </c>
    </row>
    <row r="48" spans="1:4" x14ac:dyDescent="0.35">
      <c r="A48" s="15">
        <v>39722</v>
      </c>
      <c r="B48" s="6">
        <v>39.700000000000003</v>
      </c>
      <c r="C48" s="27">
        <f t="shared" si="0"/>
        <v>-4.6999999999999957</v>
      </c>
    </row>
    <row r="49" spans="1:4" x14ac:dyDescent="0.35">
      <c r="A49" s="15">
        <v>39753</v>
      </c>
      <c r="B49" s="6">
        <v>34.9</v>
      </c>
      <c r="C49" s="27">
        <f t="shared" si="0"/>
        <v>-4.8000000000000043</v>
      </c>
    </row>
    <row r="50" spans="1:4" x14ac:dyDescent="0.35">
      <c r="A50" s="15">
        <v>39783</v>
      </c>
      <c r="B50" s="6">
        <v>35.5</v>
      </c>
      <c r="C50" s="27">
        <f t="shared" si="0"/>
        <v>0.60000000000000142</v>
      </c>
      <c r="D50" s="5">
        <v>-1.9E-2</v>
      </c>
    </row>
    <row r="51" spans="1:4" x14ac:dyDescent="0.35">
      <c r="A51" s="15">
        <v>39814</v>
      </c>
      <c r="B51" s="6">
        <v>36.1</v>
      </c>
      <c r="C51" s="27">
        <f t="shared" si="0"/>
        <v>0.60000000000000142</v>
      </c>
    </row>
    <row r="52" spans="1:4" x14ac:dyDescent="0.35">
      <c r="A52" s="15">
        <v>39845</v>
      </c>
      <c r="B52" s="6">
        <v>35</v>
      </c>
      <c r="C52" s="27">
        <f t="shared" si="0"/>
        <v>-1.1000000000000014</v>
      </c>
    </row>
    <row r="53" spans="1:4" x14ac:dyDescent="0.35">
      <c r="A53" s="15">
        <v>39873</v>
      </c>
      <c r="B53" s="6">
        <v>34.6</v>
      </c>
      <c r="C53" s="27">
        <f t="shared" si="0"/>
        <v>-0.39999999999999858</v>
      </c>
      <c r="D53" s="5">
        <v>-3.5000000000000003E-2</v>
      </c>
    </row>
    <row r="54" spans="1:4" x14ac:dyDescent="0.35">
      <c r="A54" s="15">
        <v>39904</v>
      </c>
      <c r="B54" s="6">
        <v>37.200000000000003</v>
      </c>
      <c r="C54" s="27">
        <f t="shared" si="0"/>
        <v>2.6000000000000014</v>
      </c>
    </row>
    <row r="55" spans="1:4" x14ac:dyDescent="0.35">
      <c r="A55" s="15">
        <v>39934</v>
      </c>
      <c r="B55" s="6">
        <v>41.1</v>
      </c>
      <c r="C55" s="27">
        <f t="shared" si="0"/>
        <v>3.8999999999999986</v>
      </c>
    </row>
    <row r="56" spans="1:4" x14ac:dyDescent="0.35">
      <c r="A56" s="15">
        <v>39965</v>
      </c>
      <c r="B56" s="6">
        <v>42.7</v>
      </c>
      <c r="C56" s="27">
        <f t="shared" si="0"/>
        <v>1.6000000000000014</v>
      </c>
      <c r="D56" s="5">
        <v>-3.0000000000000001E-3</v>
      </c>
    </row>
    <row r="57" spans="1:4" x14ac:dyDescent="0.35">
      <c r="A57" s="15">
        <v>39995</v>
      </c>
      <c r="B57" s="6">
        <v>45.4</v>
      </c>
      <c r="C57" s="27">
        <f t="shared" si="0"/>
        <v>2.6999999999999957</v>
      </c>
    </row>
    <row r="58" spans="1:4" x14ac:dyDescent="0.35">
      <c r="A58" s="15">
        <v>40026</v>
      </c>
      <c r="B58" s="6">
        <v>44.2</v>
      </c>
      <c r="C58" s="27">
        <f t="shared" si="0"/>
        <v>-1.1999999999999957</v>
      </c>
    </row>
    <row r="59" spans="1:4" x14ac:dyDescent="0.35">
      <c r="A59" s="15">
        <v>40057</v>
      </c>
      <c r="B59" s="6">
        <v>47.6</v>
      </c>
      <c r="C59" s="27">
        <f t="shared" si="0"/>
        <v>3.3999999999999986</v>
      </c>
      <c r="D59" s="5">
        <v>4.0000000000000001E-3</v>
      </c>
    </row>
    <row r="60" spans="1:4" x14ac:dyDescent="0.35">
      <c r="A60" s="15">
        <v>40087</v>
      </c>
      <c r="B60" s="6">
        <v>49.2</v>
      </c>
      <c r="C60" s="27">
        <f t="shared" si="0"/>
        <v>1.6000000000000014</v>
      </c>
    </row>
    <row r="61" spans="1:4" x14ac:dyDescent="0.35">
      <c r="A61" s="15">
        <v>40118</v>
      </c>
      <c r="B61" s="6">
        <v>50.1</v>
      </c>
      <c r="C61" s="27">
        <f t="shared" si="0"/>
        <v>0.89999999999999858</v>
      </c>
    </row>
    <row r="62" spans="1:4" x14ac:dyDescent="0.35">
      <c r="A62" s="15">
        <v>40148</v>
      </c>
      <c r="B62" s="6">
        <v>50.8</v>
      </c>
      <c r="C62" s="27">
        <f t="shared" si="0"/>
        <v>0.69999999999999574</v>
      </c>
      <c r="D62" s="5">
        <v>-1E-3</v>
      </c>
    </row>
    <row r="63" spans="1:4" x14ac:dyDescent="0.35">
      <c r="A63" s="15">
        <v>40179</v>
      </c>
      <c r="B63" s="6">
        <v>51.7</v>
      </c>
      <c r="C63" s="27">
        <f t="shared" si="0"/>
        <v>0.90000000000000568</v>
      </c>
    </row>
    <row r="64" spans="1:4" x14ac:dyDescent="0.35">
      <c r="A64" s="15">
        <v>40210</v>
      </c>
      <c r="B64" s="6">
        <v>51.6</v>
      </c>
      <c r="C64" s="27">
        <f t="shared" si="0"/>
        <v>-0.10000000000000142</v>
      </c>
    </row>
    <row r="65" spans="1:4" x14ac:dyDescent="0.35">
      <c r="A65" s="15">
        <v>40238</v>
      </c>
      <c r="B65" s="6">
        <v>53.7</v>
      </c>
      <c r="C65" s="27">
        <f t="shared" si="0"/>
        <v>2.1000000000000014</v>
      </c>
      <c r="D65" s="5">
        <v>8.0000000000000002E-3</v>
      </c>
    </row>
    <row r="66" spans="1:4" x14ac:dyDescent="0.35">
      <c r="A66" s="15">
        <v>40269</v>
      </c>
      <c r="B66" s="6">
        <v>54.3</v>
      </c>
      <c r="C66" s="27">
        <f t="shared" si="0"/>
        <v>0.59999999999999432</v>
      </c>
    </row>
    <row r="67" spans="1:4" x14ac:dyDescent="0.35">
      <c r="A67" s="15">
        <v>40299</v>
      </c>
      <c r="B67" s="6">
        <v>54</v>
      </c>
      <c r="C67" s="27">
        <f t="shared" si="0"/>
        <v>-0.29999999999999716</v>
      </c>
    </row>
    <row r="68" spans="1:4" x14ac:dyDescent="0.35">
      <c r="A68" s="15">
        <v>40330</v>
      </c>
      <c r="B68" s="6">
        <v>54.3</v>
      </c>
      <c r="C68" s="27">
        <f t="shared" si="0"/>
        <v>0.29999999999999716</v>
      </c>
      <c r="D68" s="5">
        <v>6.0000000000000001E-3</v>
      </c>
    </row>
    <row r="69" spans="1:4" x14ac:dyDescent="0.35">
      <c r="A69" s="15">
        <v>40360</v>
      </c>
      <c r="B69" s="6">
        <v>54.4</v>
      </c>
      <c r="C69" s="27">
        <f t="shared" si="0"/>
        <v>0.10000000000000142</v>
      </c>
    </row>
    <row r="70" spans="1:4" x14ac:dyDescent="0.35">
      <c r="A70" s="15">
        <v>40391</v>
      </c>
      <c r="B70" s="6">
        <v>52.8</v>
      </c>
      <c r="C70" s="27">
        <f t="shared" si="0"/>
        <v>-1.6000000000000014</v>
      </c>
    </row>
    <row r="71" spans="1:4" x14ac:dyDescent="0.35">
      <c r="A71" s="15">
        <v>40422</v>
      </c>
      <c r="B71" s="6">
        <v>52.6</v>
      </c>
      <c r="C71" s="27">
        <f t="shared" si="0"/>
        <v>-0.19999999999999574</v>
      </c>
      <c r="D71" s="5">
        <v>4.0000000000000001E-3</v>
      </c>
    </row>
    <row r="72" spans="1:4" x14ac:dyDescent="0.35">
      <c r="A72" s="15">
        <v>40452</v>
      </c>
      <c r="B72" s="6">
        <v>53</v>
      </c>
      <c r="C72" s="27">
        <f t="shared" si="0"/>
        <v>0.39999999999999858</v>
      </c>
    </row>
    <row r="73" spans="1:4" x14ac:dyDescent="0.35">
      <c r="A73" s="15">
        <v>40483</v>
      </c>
      <c r="B73" s="6">
        <v>52</v>
      </c>
      <c r="C73" s="27">
        <f t="shared" si="0"/>
        <v>-1</v>
      </c>
    </row>
    <row r="74" spans="1:4" x14ac:dyDescent="0.35">
      <c r="A74" s="15">
        <v>40513</v>
      </c>
      <c r="B74" s="6">
        <v>54.7</v>
      </c>
      <c r="C74" s="27">
        <f t="shared" si="0"/>
        <v>2.7000000000000028</v>
      </c>
      <c r="D74" s="5">
        <v>3.0000000000000001E-3</v>
      </c>
    </row>
    <row r="75" spans="1:4" x14ac:dyDescent="0.35">
      <c r="A75" s="15">
        <v>40544</v>
      </c>
      <c r="B75" s="6">
        <v>56.6</v>
      </c>
      <c r="C75" s="27">
        <f t="shared" si="0"/>
        <v>1.8999999999999986</v>
      </c>
    </row>
    <row r="76" spans="1:4" x14ac:dyDescent="0.35">
      <c r="A76" s="15">
        <v>40575</v>
      </c>
      <c r="B76" s="6">
        <v>59</v>
      </c>
      <c r="C76" s="27">
        <f t="shared" si="0"/>
        <v>2.3999999999999986</v>
      </c>
    </row>
    <row r="77" spans="1:4" x14ac:dyDescent="0.35">
      <c r="A77" s="15">
        <v>40603</v>
      </c>
      <c r="B77" s="6">
        <v>56.2</v>
      </c>
      <c r="C77" s="27">
        <f t="shared" si="0"/>
        <v>-2.7999999999999972</v>
      </c>
      <c r="D77" s="5">
        <v>1E-3</v>
      </c>
    </row>
    <row r="78" spans="1:4" x14ac:dyDescent="0.35">
      <c r="A78" s="15">
        <v>40634</v>
      </c>
      <c r="B78" s="6">
        <v>55.5</v>
      </c>
      <c r="C78" s="27">
        <f t="shared" si="0"/>
        <v>-0.70000000000000284</v>
      </c>
    </row>
    <row r="79" spans="1:4" x14ac:dyDescent="0.35">
      <c r="A79" s="15">
        <v>40664</v>
      </c>
      <c r="B79" s="6">
        <v>52.8</v>
      </c>
      <c r="C79" s="27">
        <f t="shared" si="0"/>
        <v>-2.7000000000000028</v>
      </c>
    </row>
    <row r="80" spans="1:4" x14ac:dyDescent="0.35">
      <c r="A80" s="15">
        <v>40695</v>
      </c>
      <c r="B80" s="6">
        <v>49.9</v>
      </c>
      <c r="C80" s="27">
        <f t="shared" si="0"/>
        <v>-2.8999999999999986</v>
      </c>
      <c r="D80" s="5">
        <v>2E-3</v>
      </c>
    </row>
    <row r="81" spans="1:9" x14ac:dyDescent="0.35">
      <c r="A81" s="15">
        <v>40725</v>
      </c>
      <c r="B81" s="6">
        <v>50.1</v>
      </c>
      <c r="C81" s="27">
        <f t="shared" si="0"/>
        <v>0.20000000000000284</v>
      </c>
    </row>
    <row r="82" spans="1:9" x14ac:dyDescent="0.35">
      <c r="A82" s="15">
        <v>40756</v>
      </c>
      <c r="B82" s="6">
        <v>47</v>
      </c>
      <c r="C82" s="27">
        <f t="shared" si="0"/>
        <v>-3.1000000000000014</v>
      </c>
    </row>
    <row r="83" spans="1:9" x14ac:dyDescent="0.35">
      <c r="A83" s="15">
        <v>40787</v>
      </c>
      <c r="B83" s="6">
        <v>48.3</v>
      </c>
      <c r="C83" s="27">
        <f t="shared" si="0"/>
        <v>1.2999999999999972</v>
      </c>
      <c r="D83" s="5">
        <v>-2E-3</v>
      </c>
    </row>
    <row r="84" spans="1:9" x14ac:dyDescent="0.35">
      <c r="A84" s="15">
        <v>40817</v>
      </c>
      <c r="B84" s="6">
        <v>43.3</v>
      </c>
      <c r="C84" s="27">
        <f t="shared" si="0"/>
        <v>-5</v>
      </c>
    </row>
    <row r="85" spans="1:9" x14ac:dyDescent="0.35">
      <c r="A85" s="15">
        <v>40848</v>
      </c>
      <c r="B85" s="6">
        <v>44</v>
      </c>
      <c r="C85" s="27">
        <f t="shared" si="0"/>
        <v>0.70000000000000284</v>
      </c>
      <c r="H85" s="64" t="s">
        <v>105</v>
      </c>
      <c r="I85" t="s">
        <v>84</v>
      </c>
    </row>
    <row r="86" spans="1:9" x14ac:dyDescent="0.35">
      <c r="A86" s="15">
        <v>40878</v>
      </c>
      <c r="B86" s="6">
        <v>44.3</v>
      </c>
      <c r="C86" s="27">
        <f t="shared" si="0"/>
        <v>0.29999999999999716</v>
      </c>
      <c r="D86" s="5">
        <v>-7.0000000000000001E-3</v>
      </c>
    </row>
    <row r="87" spans="1:9" x14ac:dyDescent="0.35">
      <c r="A87" s="16">
        <v>40909</v>
      </c>
      <c r="B87" s="17">
        <v>46.8</v>
      </c>
      <c r="C87" s="28">
        <f t="shared" si="0"/>
        <v>2.5</v>
      </c>
    </row>
    <row r="88" spans="1:9" x14ac:dyDescent="0.35">
      <c r="A88" s="16">
        <v>40940</v>
      </c>
      <c r="B88" s="17">
        <v>47.8</v>
      </c>
      <c r="C88" s="28">
        <f t="shared" si="0"/>
        <v>1</v>
      </c>
    </row>
    <row r="89" spans="1:9" x14ac:dyDescent="0.35">
      <c r="A89" s="16">
        <v>40969</v>
      </c>
      <c r="B89" s="17">
        <v>47.9</v>
      </c>
      <c r="C89" s="28">
        <f t="shared" si="0"/>
        <v>0.10000000000000142</v>
      </c>
      <c r="D89" s="5">
        <v>-1.0999999999999999E-2</v>
      </c>
    </row>
    <row r="90" spans="1:9" x14ac:dyDescent="0.35">
      <c r="A90" s="16">
        <v>41000</v>
      </c>
      <c r="B90" s="17">
        <v>43.8</v>
      </c>
      <c r="C90" s="28">
        <f t="shared" si="0"/>
        <v>-4.1000000000000014</v>
      </c>
    </row>
    <row r="91" spans="1:9" x14ac:dyDescent="0.35">
      <c r="A91" s="16">
        <v>41030</v>
      </c>
      <c r="B91" s="17">
        <v>44.8</v>
      </c>
      <c r="C91" s="28">
        <f t="shared" si="0"/>
        <v>1</v>
      </c>
    </row>
    <row r="92" spans="1:9" x14ac:dyDescent="0.35">
      <c r="A92" s="16">
        <v>41061</v>
      </c>
      <c r="B92" s="17">
        <v>44.6</v>
      </c>
      <c r="C92" s="28">
        <f t="shared" ref="C92:C111" si="1">B92-B91</f>
        <v>-0.19999999999999574</v>
      </c>
      <c r="D92" s="5">
        <v>5.0000000000000001E-3</v>
      </c>
    </row>
    <row r="93" spans="1:9" x14ac:dyDescent="0.35">
      <c r="A93" s="16">
        <v>41091</v>
      </c>
      <c r="B93" s="17">
        <v>44.3</v>
      </c>
      <c r="C93" s="28">
        <f t="shared" si="1"/>
        <v>-0.30000000000000426</v>
      </c>
    </row>
    <row r="94" spans="1:9" x14ac:dyDescent="0.35">
      <c r="A94" s="16">
        <v>41122</v>
      </c>
      <c r="B94" s="17">
        <v>43.6</v>
      </c>
      <c r="C94" s="28">
        <f t="shared" si="1"/>
        <v>-0.69999999999999574</v>
      </c>
    </row>
    <row r="95" spans="1:9" x14ac:dyDescent="0.35">
      <c r="A95" s="16">
        <v>41153</v>
      </c>
      <c r="B95" s="17">
        <v>45.7</v>
      </c>
      <c r="C95" s="28">
        <f t="shared" si="1"/>
        <v>2.1000000000000014</v>
      </c>
      <c r="D95" s="5">
        <v>-4.0000000000000001E-3</v>
      </c>
    </row>
    <row r="96" spans="1:9" x14ac:dyDescent="0.35">
      <c r="A96" s="16">
        <v>41183</v>
      </c>
      <c r="B96" s="17">
        <v>45.5</v>
      </c>
      <c r="C96" s="28">
        <f t="shared" si="1"/>
        <v>-0.20000000000000284</v>
      </c>
    </row>
    <row r="97" spans="1:4" x14ac:dyDescent="0.35">
      <c r="A97" s="16">
        <v>41214</v>
      </c>
      <c r="B97" s="17">
        <v>45.1</v>
      </c>
      <c r="C97" s="28">
        <f t="shared" si="1"/>
        <v>-0.39999999999999858</v>
      </c>
    </row>
    <row r="98" spans="1:4" x14ac:dyDescent="0.35">
      <c r="A98" s="16">
        <v>41244</v>
      </c>
      <c r="B98" s="17">
        <v>46.7</v>
      </c>
      <c r="C98" s="28">
        <f t="shared" si="1"/>
        <v>1.6000000000000014</v>
      </c>
      <c r="D98" s="5">
        <v>-8.9999999999999993E-3</v>
      </c>
    </row>
    <row r="99" spans="1:4" x14ac:dyDescent="0.35">
      <c r="A99" s="16">
        <v>41275</v>
      </c>
      <c r="B99" s="17">
        <v>47.8</v>
      </c>
      <c r="C99" s="28">
        <f t="shared" si="1"/>
        <v>1.0999999999999943</v>
      </c>
    </row>
    <row r="100" spans="1:4" x14ac:dyDescent="0.35">
      <c r="A100" s="16">
        <v>41306</v>
      </c>
      <c r="B100" s="17">
        <v>45.8</v>
      </c>
      <c r="C100" s="28">
        <f t="shared" si="1"/>
        <v>-2</v>
      </c>
    </row>
    <row r="101" spans="1:4" x14ac:dyDescent="0.35">
      <c r="A101" s="16">
        <v>41334</v>
      </c>
      <c r="B101" s="17">
        <v>44.5</v>
      </c>
      <c r="C101" s="28">
        <f t="shared" si="1"/>
        <v>-1.2999999999999972</v>
      </c>
      <c r="D101" s="5">
        <v>-6.0000000000000001E-3</v>
      </c>
    </row>
    <row r="102" spans="1:4" x14ac:dyDescent="0.35">
      <c r="A102" s="16">
        <v>41365</v>
      </c>
      <c r="B102" s="17">
        <v>45.5</v>
      </c>
      <c r="C102" s="28">
        <f t="shared" si="1"/>
        <v>1</v>
      </c>
    </row>
    <row r="103" spans="1:4" x14ac:dyDescent="0.35">
      <c r="A103" s="16">
        <v>41395</v>
      </c>
      <c r="B103" s="17">
        <v>47.3</v>
      </c>
      <c r="C103" s="28">
        <f t="shared" si="1"/>
        <v>1.7999999999999972</v>
      </c>
    </row>
    <row r="104" spans="1:4" x14ac:dyDescent="0.35">
      <c r="A104" s="16">
        <v>41426</v>
      </c>
      <c r="B104" s="17">
        <v>49.1</v>
      </c>
      <c r="C104" s="28">
        <f t="shared" si="1"/>
        <v>1.8000000000000043</v>
      </c>
      <c r="D104" s="5">
        <v>-3.0000000000000001E-3</v>
      </c>
    </row>
    <row r="105" spans="1:4" x14ac:dyDescent="0.35">
      <c r="A105" s="16">
        <v>41456</v>
      </c>
      <c r="B105" s="17">
        <v>50.4</v>
      </c>
      <c r="C105" s="28">
        <f t="shared" si="1"/>
        <v>1.2999999999999972</v>
      </c>
    </row>
    <row r="106" spans="1:4" x14ac:dyDescent="0.35">
      <c r="A106" s="16">
        <v>41487</v>
      </c>
      <c r="B106" s="17">
        <v>51.3</v>
      </c>
      <c r="C106" s="28">
        <f t="shared" si="1"/>
        <v>0.89999999999999858</v>
      </c>
    </row>
    <row r="107" spans="1:4" x14ac:dyDescent="0.35">
      <c r="A107" s="16">
        <v>41518</v>
      </c>
      <c r="B107" s="17">
        <v>50.8</v>
      </c>
      <c r="C107" s="28">
        <f t="shared" si="1"/>
        <v>-0.5</v>
      </c>
      <c r="D107" s="5">
        <v>-1E-3</v>
      </c>
    </row>
    <row r="108" spans="1:4" x14ac:dyDescent="0.35">
      <c r="A108" s="16">
        <v>41548</v>
      </c>
      <c r="B108" s="17">
        <v>50.7</v>
      </c>
      <c r="C108" s="28">
        <f t="shared" si="1"/>
        <v>-9.9999999999994316E-2</v>
      </c>
    </row>
    <row r="109" spans="1:4" x14ac:dyDescent="0.35">
      <c r="A109" s="16">
        <v>41579</v>
      </c>
      <c r="B109" s="17">
        <v>51.4</v>
      </c>
      <c r="C109" s="28">
        <f t="shared" si="1"/>
        <v>0.69999999999999574</v>
      </c>
    </row>
    <row r="110" spans="1:4" x14ac:dyDescent="0.35">
      <c r="A110" s="16">
        <v>41609</v>
      </c>
      <c r="B110" s="17">
        <v>53.3</v>
      </c>
      <c r="C110" s="28">
        <f t="shared" si="1"/>
        <v>1.8999999999999986</v>
      </c>
      <c r="D110" s="5">
        <v>1E-3</v>
      </c>
    </row>
    <row r="111" spans="1:4" x14ac:dyDescent="0.35">
      <c r="A111" s="16">
        <v>41640</v>
      </c>
      <c r="B111" s="17">
        <v>53.1</v>
      </c>
      <c r="C111" s="28">
        <f t="shared" si="1"/>
        <v>-0.19999999999999574</v>
      </c>
    </row>
    <row r="112" spans="1:4" x14ac:dyDescent="0.35">
      <c r="A112" s="16">
        <v>41671</v>
      </c>
      <c r="B112" s="17">
        <v>52.3</v>
      </c>
      <c r="C112" s="28">
        <f t="shared" ref="C112:C113" si="2">B112-B111</f>
        <v>-0.80000000000000426</v>
      </c>
    </row>
    <row r="113" spans="1:4" x14ac:dyDescent="0.35">
      <c r="A113" s="16">
        <v>41699</v>
      </c>
      <c r="B113" s="17">
        <v>52.4</v>
      </c>
      <c r="C113" s="28">
        <f t="shared" si="2"/>
        <v>0.10000000000000142</v>
      </c>
      <c r="D113" s="5">
        <v>-1E-3</v>
      </c>
    </row>
    <row r="114" spans="1:4" x14ac:dyDescent="0.35">
      <c r="A114" s="16">
        <v>41730</v>
      </c>
      <c r="B114" s="17">
        <v>54</v>
      </c>
      <c r="C114" s="28">
        <f t="shared" ref="C114:C117" si="3">B114-B113</f>
        <v>1.6000000000000014</v>
      </c>
    </row>
    <row r="115" spans="1:4" x14ac:dyDescent="0.35">
      <c r="A115" s="16">
        <v>41760</v>
      </c>
      <c r="B115" s="17">
        <v>53.2</v>
      </c>
      <c r="C115" s="28">
        <f t="shared" si="3"/>
        <v>-0.79999999999999716</v>
      </c>
    </row>
    <row r="116" spans="1:4" x14ac:dyDescent="0.35">
      <c r="A116" s="16">
        <v>41791</v>
      </c>
      <c r="B116" s="17">
        <v>52.6</v>
      </c>
      <c r="C116" s="28">
        <f t="shared" si="3"/>
        <v>-0.60000000000000142</v>
      </c>
      <c r="D116" s="5">
        <v>-2E-3</v>
      </c>
    </row>
    <row r="117" spans="1:4" x14ac:dyDescent="0.35">
      <c r="A117" s="16">
        <v>41821</v>
      </c>
      <c r="B117" s="17">
        <v>51.9</v>
      </c>
      <c r="C117" s="28">
        <f t="shared" si="3"/>
        <v>-0.70000000000000284</v>
      </c>
    </row>
    <row r="118" spans="1:4" x14ac:dyDescent="0.35">
      <c r="A118" s="16">
        <v>41852</v>
      </c>
      <c r="B118" s="17">
        <v>49.8</v>
      </c>
      <c r="C118" s="28">
        <f t="shared" ref="C118" si="4">B118-B117</f>
        <v>-2.1000000000000014</v>
      </c>
    </row>
    <row r="119" spans="1:4" x14ac:dyDescent="0.35">
      <c r="A119" s="16">
        <v>41883</v>
      </c>
      <c r="B119" s="17">
        <v>50.7</v>
      </c>
      <c r="C119" s="28">
        <f>IFERROR(B119-B118,"")</f>
        <v>0.90000000000000568</v>
      </c>
      <c r="D119" s="7">
        <f>IF(VLOOKUP(I85,Data!$O$51:$V$152,7,FALSE)=A118,VLOOKUP(I85,Data!$O$51:$V$152,2,FALSE)/100,"")</f>
        <v>-1E-3</v>
      </c>
    </row>
    <row r="120" spans="1:4" x14ac:dyDescent="0.35">
      <c r="A120" s="16">
        <v>41913</v>
      </c>
      <c r="B120" s="17">
        <v>49</v>
      </c>
      <c r="C120" s="28">
        <v>-1.7000000000000028</v>
      </c>
    </row>
    <row r="121" spans="1:4" x14ac:dyDescent="0.35">
      <c r="A121" s="16">
        <v>41944</v>
      </c>
      <c r="B121" s="17">
        <f>IF(A121=Data!$C$1,VLOOKUP($H$85,Data!$A$2:$C$36,3,FALSE),"N/A")</f>
        <v>49</v>
      </c>
      <c r="C121" s="28">
        <f t="shared" ref="C121" si="5">B121-B120</f>
        <v>0</v>
      </c>
    </row>
    <row r="122" spans="1:4" x14ac:dyDescent="0.35">
      <c r="A122" s="105">
        <v>41974</v>
      </c>
      <c r="B122" s="17"/>
      <c r="C122" s="28"/>
    </row>
    <row r="123" spans="1:4" x14ac:dyDescent="0.35">
      <c r="A123" s="105">
        <v>42005</v>
      </c>
      <c r="B123" s="17"/>
      <c r="C123" s="28"/>
    </row>
    <row r="124" spans="1:4" x14ac:dyDescent="0.35">
      <c r="A124" s="105">
        <v>42036</v>
      </c>
      <c r="B124" s="17"/>
      <c r="C124" s="28"/>
    </row>
    <row r="125" spans="1:4" x14ac:dyDescent="0.35">
      <c r="A125" s="105">
        <v>42064</v>
      </c>
      <c r="B125" s="17"/>
      <c r="C125" s="28"/>
    </row>
    <row r="126" spans="1:4" x14ac:dyDescent="0.35">
      <c r="A126" s="105">
        <v>42095</v>
      </c>
      <c r="B126" s="17"/>
      <c r="C126" s="28"/>
    </row>
    <row r="127" spans="1:4" x14ac:dyDescent="0.35">
      <c r="A127" s="105">
        <v>42125</v>
      </c>
      <c r="B127" s="17"/>
      <c r="C127" s="28"/>
    </row>
    <row r="128" spans="1:4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52.9</v>
      </c>
      <c r="C155" s="107"/>
      <c r="E155" t="s">
        <v>324</v>
      </c>
    </row>
    <row r="156" spans="1:5" x14ac:dyDescent="0.35">
      <c r="A156" s="122">
        <v>46174</v>
      </c>
      <c r="B156" s="91">
        <v>52.2</v>
      </c>
      <c r="C156" s="107">
        <v>-0.7</v>
      </c>
    </row>
  </sheetData>
  <conditionalFormatting sqref="B26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25:I156"/>
  <sheetViews>
    <sheetView topLeftCell="A25" zoomScale="70" zoomScaleNormal="70" workbookViewId="0">
      <pane ySplit="1" topLeftCell="A95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7.36328125" style="14" customWidth="1"/>
    <col min="3" max="3" width="12.36328125" style="26" customWidth="1"/>
    <col min="4" max="4" width="22.6328125" style="5" customWidth="1"/>
  </cols>
  <sheetData>
    <row r="25" spans="1:5" x14ac:dyDescent="0.35">
      <c r="A25" s="13" t="s">
        <v>0</v>
      </c>
      <c r="B25" s="14" t="s">
        <v>2</v>
      </c>
      <c r="C25" s="26" t="s">
        <v>5</v>
      </c>
      <c r="D25" s="5" t="s">
        <v>48</v>
      </c>
      <c r="E25" t="s">
        <v>325</v>
      </c>
    </row>
    <row r="26" spans="1:5" x14ac:dyDescent="0.35">
      <c r="A26" s="15">
        <v>39052</v>
      </c>
      <c r="B26" s="6">
        <v>57.2</v>
      </c>
    </row>
    <row r="27" spans="1:5" x14ac:dyDescent="0.35">
      <c r="A27" s="15">
        <v>39083</v>
      </c>
      <c r="B27" s="6">
        <v>56.2</v>
      </c>
      <c r="C27" s="27">
        <f>B27-B26</f>
        <v>-1</v>
      </c>
    </row>
    <row r="28" spans="1:5" x14ac:dyDescent="0.35">
      <c r="A28" s="15">
        <v>39114</v>
      </c>
      <c r="B28" s="6">
        <v>56.2</v>
      </c>
      <c r="C28" s="27">
        <f t="shared" ref="C28:C91" si="0">B28-B27</f>
        <v>0</v>
      </c>
    </row>
    <row r="29" spans="1:5" x14ac:dyDescent="0.35">
      <c r="A29" s="15">
        <v>39142</v>
      </c>
      <c r="B29" s="6">
        <v>55.4</v>
      </c>
      <c r="C29" s="27">
        <f t="shared" si="0"/>
        <v>-0.80000000000000426</v>
      </c>
      <c r="D29" s="5">
        <v>1.0999999999999999E-2</v>
      </c>
    </row>
    <row r="30" spans="1:5" x14ac:dyDescent="0.35">
      <c r="A30" s="15">
        <v>39173</v>
      </c>
      <c r="B30" s="6">
        <v>56</v>
      </c>
      <c r="C30" s="27">
        <f t="shared" si="0"/>
        <v>0.60000000000000142</v>
      </c>
    </row>
    <row r="31" spans="1:5" x14ac:dyDescent="0.35">
      <c r="A31" s="15">
        <v>39203</v>
      </c>
      <c r="B31" s="6">
        <v>53.3</v>
      </c>
      <c r="C31" s="27">
        <f t="shared" si="0"/>
        <v>-2.7000000000000028</v>
      </c>
    </row>
    <row r="32" spans="1:5" x14ac:dyDescent="0.35">
      <c r="A32" s="15">
        <v>39234</v>
      </c>
      <c r="B32" s="6">
        <v>55.1</v>
      </c>
      <c r="C32" s="27">
        <f t="shared" si="0"/>
        <v>1.8000000000000043</v>
      </c>
      <c r="D32" s="5">
        <v>8.0000000000000002E-3</v>
      </c>
    </row>
    <row r="33" spans="1:9" x14ac:dyDescent="0.35">
      <c r="A33" s="15">
        <v>39264</v>
      </c>
      <c r="B33" s="6">
        <v>53.2</v>
      </c>
      <c r="C33" s="27">
        <f t="shared" si="0"/>
        <v>-1.8999999999999986</v>
      </c>
    </row>
    <row r="34" spans="1:9" x14ac:dyDescent="0.35">
      <c r="A34" s="15">
        <v>39295</v>
      </c>
      <c r="B34" s="6">
        <v>52.2</v>
      </c>
      <c r="C34" s="27">
        <f t="shared" si="0"/>
        <v>-1</v>
      </c>
      <c r="I34" s="5">
        <v>0.01</v>
      </c>
    </row>
    <row r="35" spans="1:9" x14ac:dyDescent="0.35">
      <c r="A35" s="15">
        <v>39326</v>
      </c>
      <c r="B35" s="6">
        <v>50.8</v>
      </c>
      <c r="C35" s="27">
        <f t="shared" si="0"/>
        <v>-1.4000000000000057</v>
      </c>
      <c r="D35" s="5">
        <v>7.0000000000000001E-3</v>
      </c>
      <c r="I35" s="5">
        <v>8.0000000000000002E-3</v>
      </c>
    </row>
    <row r="36" spans="1:9" x14ac:dyDescent="0.35">
      <c r="A36" s="15">
        <v>39356</v>
      </c>
      <c r="B36" s="6">
        <v>49.6</v>
      </c>
      <c r="C36" s="27">
        <f t="shared" si="0"/>
        <v>-1.1999999999999957</v>
      </c>
      <c r="I36" s="5">
        <v>7.0000000000000001E-3</v>
      </c>
    </row>
    <row r="37" spans="1:9" x14ac:dyDescent="0.35">
      <c r="A37" s="15">
        <v>39387</v>
      </c>
      <c r="B37" s="6">
        <v>50.7</v>
      </c>
      <c r="C37" s="27">
        <f t="shared" si="0"/>
        <v>1.1000000000000014</v>
      </c>
      <c r="I37" s="5">
        <v>8.0000000000000002E-3</v>
      </c>
    </row>
    <row r="38" spans="1:9" x14ac:dyDescent="0.35">
      <c r="A38" s="15">
        <v>39417</v>
      </c>
      <c r="B38" s="6">
        <v>49.5</v>
      </c>
      <c r="C38" s="27">
        <f t="shared" si="0"/>
        <v>-1.2000000000000028</v>
      </c>
      <c r="D38" s="5">
        <v>8.0000000000000002E-3</v>
      </c>
      <c r="I38" s="5">
        <v>3.0000000000000001E-3</v>
      </c>
    </row>
    <row r="39" spans="1:9" x14ac:dyDescent="0.35">
      <c r="A39" s="15">
        <v>39448</v>
      </c>
      <c r="B39" s="6">
        <v>49.8</v>
      </c>
      <c r="C39" s="27">
        <f t="shared" si="0"/>
        <v>0.29999999999999716</v>
      </c>
      <c r="I39" s="5">
        <v>1E-3</v>
      </c>
    </row>
    <row r="40" spans="1:9" x14ac:dyDescent="0.35">
      <c r="A40" s="15">
        <v>39479</v>
      </c>
      <c r="B40" s="6">
        <v>46.7</v>
      </c>
      <c r="C40" s="27">
        <f t="shared" si="0"/>
        <v>-3.0999999999999943</v>
      </c>
      <c r="I40" s="5">
        <v>-2E-3</v>
      </c>
    </row>
    <row r="41" spans="1:9" x14ac:dyDescent="0.35">
      <c r="A41" s="15">
        <v>39508</v>
      </c>
      <c r="B41" s="6">
        <v>46.4</v>
      </c>
      <c r="C41" s="27">
        <f t="shared" si="0"/>
        <v>-0.30000000000000426</v>
      </c>
      <c r="D41" s="5">
        <v>3.0000000000000001E-3</v>
      </c>
      <c r="I41" s="5">
        <v>-0.01</v>
      </c>
    </row>
    <row r="42" spans="1:9" x14ac:dyDescent="0.35">
      <c r="A42" s="15">
        <v>39539</v>
      </c>
      <c r="B42" s="6">
        <v>45.2</v>
      </c>
      <c r="C42" s="27">
        <f t="shared" si="0"/>
        <v>-1.1999999999999957</v>
      </c>
      <c r="I42" s="5">
        <v>-1.7999999999999999E-2</v>
      </c>
    </row>
    <row r="43" spans="1:9" x14ac:dyDescent="0.35">
      <c r="A43" s="15">
        <v>39569</v>
      </c>
      <c r="B43" s="6">
        <v>43.8</v>
      </c>
      <c r="C43" s="27">
        <f t="shared" si="0"/>
        <v>-1.4000000000000057</v>
      </c>
      <c r="I43" s="5">
        <v>-0.01</v>
      </c>
    </row>
    <row r="44" spans="1:9" x14ac:dyDescent="0.35">
      <c r="A44" s="15">
        <v>39600</v>
      </c>
      <c r="B44" s="6">
        <v>40.6</v>
      </c>
      <c r="C44" s="27">
        <f t="shared" si="0"/>
        <v>-3.1999999999999957</v>
      </c>
      <c r="D44" s="5">
        <v>1E-3</v>
      </c>
      <c r="I44" s="5">
        <v>-3.0000000000000001E-3</v>
      </c>
    </row>
    <row r="45" spans="1:9" x14ac:dyDescent="0.35">
      <c r="A45" s="15">
        <v>39630</v>
      </c>
      <c r="B45" s="6">
        <v>39.200000000000003</v>
      </c>
      <c r="C45" s="27">
        <f t="shared" si="0"/>
        <v>-1.3999999999999986</v>
      </c>
      <c r="I45" s="5">
        <v>-1E-3</v>
      </c>
    </row>
    <row r="46" spans="1:9" x14ac:dyDescent="0.35">
      <c r="A46" s="15">
        <v>39661</v>
      </c>
      <c r="B46" s="6">
        <v>42.4</v>
      </c>
      <c r="C46" s="27">
        <f t="shared" si="0"/>
        <v>3.1999999999999957</v>
      </c>
      <c r="I46" s="5">
        <v>1E-3</v>
      </c>
    </row>
    <row r="47" spans="1:9" x14ac:dyDescent="0.35">
      <c r="A47" s="15">
        <v>39692</v>
      </c>
      <c r="B47" s="6">
        <v>38.299999999999997</v>
      </c>
      <c r="C47" s="27">
        <f t="shared" si="0"/>
        <v>-4.1000000000000014</v>
      </c>
      <c r="D47" s="5">
        <v>-2E-3</v>
      </c>
      <c r="I47" s="5">
        <v>2E-3</v>
      </c>
    </row>
    <row r="48" spans="1:9" x14ac:dyDescent="0.35">
      <c r="A48" s="15">
        <v>39722</v>
      </c>
      <c r="B48" s="6">
        <v>34.6</v>
      </c>
      <c r="C48" s="27">
        <f t="shared" si="0"/>
        <v>-3.6999999999999957</v>
      </c>
      <c r="I48" s="5">
        <v>0</v>
      </c>
    </row>
    <row r="49" spans="1:9" x14ac:dyDescent="0.35">
      <c r="A49" s="15">
        <v>39753</v>
      </c>
      <c r="B49" s="6">
        <v>29.4</v>
      </c>
      <c r="C49" s="27">
        <f t="shared" si="0"/>
        <v>-5.2000000000000028</v>
      </c>
      <c r="I49" s="5">
        <v>2E-3</v>
      </c>
    </row>
    <row r="50" spans="1:9" x14ac:dyDescent="0.35">
      <c r="A50" s="15">
        <v>39783</v>
      </c>
      <c r="B50" s="6">
        <v>28.5</v>
      </c>
      <c r="C50" s="27">
        <f t="shared" si="0"/>
        <v>-0.89999999999999858</v>
      </c>
      <c r="D50" s="5">
        <v>-0.01</v>
      </c>
      <c r="I50" s="5">
        <v>3.0000000000000001E-3</v>
      </c>
    </row>
    <row r="51" spans="1:9" x14ac:dyDescent="0.35">
      <c r="A51" s="15">
        <v>39814</v>
      </c>
      <c r="B51" s="6">
        <v>31.5</v>
      </c>
      <c r="C51" s="27">
        <f t="shared" si="0"/>
        <v>3</v>
      </c>
      <c r="I51" s="5">
        <v>2E-3</v>
      </c>
    </row>
    <row r="52" spans="1:9" x14ac:dyDescent="0.35">
      <c r="A52" s="15">
        <v>39845</v>
      </c>
      <c r="B52" s="6">
        <v>31.8</v>
      </c>
      <c r="C52" s="27">
        <f t="shared" si="0"/>
        <v>0.30000000000000071</v>
      </c>
      <c r="I52" s="5">
        <v>0</v>
      </c>
    </row>
    <row r="53" spans="1:9" x14ac:dyDescent="0.35">
      <c r="A53" s="15">
        <v>39873</v>
      </c>
      <c r="B53" s="6">
        <v>32.9</v>
      </c>
      <c r="C53" s="27">
        <f t="shared" si="0"/>
        <v>1.0999999999999979</v>
      </c>
      <c r="D53" s="5">
        <v>-1.7999999999999999E-2</v>
      </c>
      <c r="I53" s="5">
        <v>-3.0000000000000001E-3</v>
      </c>
    </row>
    <row r="54" spans="1:9" x14ac:dyDescent="0.35">
      <c r="A54" s="15">
        <v>39904</v>
      </c>
      <c r="B54" s="6">
        <v>34.6</v>
      </c>
      <c r="C54" s="27">
        <f t="shared" si="0"/>
        <v>1.7000000000000028</v>
      </c>
      <c r="I54" s="5">
        <v>-3.0000000000000001E-3</v>
      </c>
    </row>
    <row r="55" spans="1:9" x14ac:dyDescent="0.35">
      <c r="A55" s="15">
        <v>39934</v>
      </c>
      <c r="B55" s="6">
        <v>39.799999999999997</v>
      </c>
      <c r="C55" s="27">
        <f t="shared" si="0"/>
        <v>5.1999999999999957</v>
      </c>
      <c r="I55" s="5">
        <v>-4.0000000000000001E-3</v>
      </c>
    </row>
    <row r="56" spans="1:9" x14ac:dyDescent="0.35">
      <c r="A56" s="15">
        <v>39965</v>
      </c>
      <c r="B56" s="6">
        <v>42.8</v>
      </c>
      <c r="C56" s="27">
        <f t="shared" si="0"/>
        <v>3</v>
      </c>
      <c r="D56" s="5">
        <v>-0.01</v>
      </c>
      <c r="I56" s="5">
        <v>-3.0000000000000001E-3</v>
      </c>
    </row>
    <row r="57" spans="1:9" x14ac:dyDescent="0.35">
      <c r="A57" s="15">
        <v>39995</v>
      </c>
      <c r="B57" s="6">
        <v>47.3</v>
      </c>
      <c r="C57" s="27">
        <f t="shared" si="0"/>
        <v>4.5</v>
      </c>
      <c r="I57" s="5">
        <v>-7.0000000000000001E-3</v>
      </c>
    </row>
    <row r="58" spans="1:9" x14ac:dyDescent="0.35">
      <c r="A58" s="15">
        <v>40026</v>
      </c>
      <c r="B58" s="6">
        <v>47.2</v>
      </c>
      <c r="C58" s="27">
        <f t="shared" si="0"/>
        <v>-9.9999999999994316E-2</v>
      </c>
      <c r="I58" s="5">
        <v>-5.0000000000000001E-3</v>
      </c>
    </row>
    <row r="59" spans="1:9" x14ac:dyDescent="0.35">
      <c r="A59" s="15">
        <v>40057</v>
      </c>
      <c r="B59" s="6">
        <v>45.8</v>
      </c>
      <c r="C59" s="27">
        <f t="shared" si="0"/>
        <v>-1.4000000000000057</v>
      </c>
      <c r="D59" s="5">
        <v>-3.0000000000000001E-3</v>
      </c>
      <c r="I59" s="5">
        <v>-1E-3</v>
      </c>
    </row>
    <row r="60" spans="1:9" x14ac:dyDescent="0.35">
      <c r="A60" s="15">
        <v>40087</v>
      </c>
      <c r="B60" s="6">
        <v>46.3</v>
      </c>
      <c r="C60" s="27">
        <f t="shared" si="0"/>
        <v>0.5</v>
      </c>
      <c r="I60" s="5">
        <v>1E-3</v>
      </c>
    </row>
    <row r="61" spans="1:9" x14ac:dyDescent="0.35">
      <c r="A61" s="15">
        <v>40118</v>
      </c>
      <c r="B61" s="6">
        <v>45.3</v>
      </c>
      <c r="C61" s="27">
        <f t="shared" si="0"/>
        <v>-1</v>
      </c>
    </row>
    <row r="62" spans="1:9" x14ac:dyDescent="0.35">
      <c r="A62" s="15">
        <v>40148</v>
      </c>
      <c r="B62" s="6">
        <v>45.2</v>
      </c>
      <c r="C62" s="27">
        <f t="shared" si="0"/>
        <v>-9.9999999999994316E-2</v>
      </c>
      <c r="D62" s="5">
        <v>-1E-3</v>
      </c>
    </row>
    <row r="63" spans="1:9" x14ac:dyDescent="0.35">
      <c r="A63" s="15">
        <v>40179</v>
      </c>
      <c r="B63" s="6">
        <v>45.3</v>
      </c>
      <c r="C63" s="27">
        <f t="shared" si="0"/>
        <v>9.9999999999994316E-2</v>
      </c>
    </row>
    <row r="64" spans="1:9" x14ac:dyDescent="0.35">
      <c r="A64" s="15">
        <v>40210</v>
      </c>
      <c r="B64" s="6">
        <v>49.1</v>
      </c>
      <c r="C64" s="27">
        <f t="shared" si="0"/>
        <v>3.8000000000000043</v>
      </c>
    </row>
    <row r="65" spans="1:4" x14ac:dyDescent="0.35">
      <c r="A65" s="15">
        <v>40238</v>
      </c>
      <c r="B65" s="6">
        <v>51.8</v>
      </c>
      <c r="C65" s="27">
        <f t="shared" si="0"/>
        <v>2.6999999999999957</v>
      </c>
      <c r="D65" s="5">
        <v>1E-3</v>
      </c>
    </row>
    <row r="66" spans="1:4" x14ac:dyDescent="0.35">
      <c r="A66" s="15">
        <v>40269</v>
      </c>
      <c r="B66" s="6">
        <v>53.3</v>
      </c>
      <c r="C66" s="27">
        <f t="shared" si="0"/>
        <v>1.5</v>
      </c>
    </row>
    <row r="67" spans="1:4" x14ac:dyDescent="0.35">
      <c r="A67" s="15">
        <v>40299</v>
      </c>
      <c r="B67" s="6">
        <v>51.5</v>
      </c>
      <c r="C67" s="27">
        <f t="shared" si="0"/>
        <v>-1.7999999999999972</v>
      </c>
    </row>
    <row r="68" spans="1:4" x14ac:dyDescent="0.35">
      <c r="A68" s="15">
        <v>40330</v>
      </c>
      <c r="B68" s="6">
        <v>51.2</v>
      </c>
      <c r="C68" s="27">
        <f t="shared" si="0"/>
        <v>-0.29999999999999716</v>
      </c>
      <c r="D68" s="5">
        <v>2E-3</v>
      </c>
    </row>
    <row r="69" spans="1:4" x14ac:dyDescent="0.35">
      <c r="A69" s="15">
        <v>40360</v>
      </c>
      <c r="B69" s="6">
        <v>51.6</v>
      </c>
      <c r="C69" s="27">
        <f t="shared" si="0"/>
        <v>0.39999999999999858</v>
      </c>
    </row>
    <row r="70" spans="1:4" x14ac:dyDescent="0.35">
      <c r="A70" s="15">
        <v>40391</v>
      </c>
      <c r="B70" s="6">
        <v>51.2</v>
      </c>
      <c r="C70" s="27">
        <f t="shared" si="0"/>
        <v>-0.39999999999999858</v>
      </c>
    </row>
    <row r="71" spans="1:4" x14ac:dyDescent="0.35">
      <c r="A71" s="15">
        <v>40422</v>
      </c>
      <c r="B71" s="6">
        <v>49.6</v>
      </c>
      <c r="C71" s="27">
        <f t="shared" si="0"/>
        <v>-1.6000000000000014</v>
      </c>
      <c r="D71" s="5">
        <v>0</v>
      </c>
    </row>
    <row r="72" spans="1:4" x14ac:dyDescent="0.35">
      <c r="A72" s="15">
        <v>40452</v>
      </c>
      <c r="B72" s="6">
        <v>51.2</v>
      </c>
      <c r="C72" s="27">
        <f t="shared" si="0"/>
        <v>1.6000000000000014</v>
      </c>
    </row>
    <row r="73" spans="1:4" x14ac:dyDescent="0.35">
      <c r="A73" s="15">
        <v>40483</v>
      </c>
      <c r="B73" s="6">
        <v>50</v>
      </c>
      <c r="C73" s="27">
        <f t="shared" si="0"/>
        <v>-1.2000000000000028</v>
      </c>
    </row>
    <row r="74" spans="1:4" x14ac:dyDescent="0.35">
      <c r="A74" s="15">
        <v>40513</v>
      </c>
      <c r="B74" s="6">
        <v>51.5</v>
      </c>
      <c r="C74" s="27">
        <f t="shared" si="0"/>
        <v>1.5</v>
      </c>
      <c r="D74" s="5">
        <v>2E-3</v>
      </c>
    </row>
    <row r="75" spans="1:4" x14ac:dyDescent="0.35">
      <c r="A75" s="15">
        <v>40544</v>
      </c>
      <c r="B75" s="6">
        <v>52</v>
      </c>
      <c r="C75" s="27">
        <f t="shared" si="0"/>
        <v>0.5</v>
      </c>
    </row>
    <row r="76" spans="1:4" x14ac:dyDescent="0.35">
      <c r="A76" s="15">
        <v>40575</v>
      </c>
      <c r="B76" s="6">
        <v>52.1</v>
      </c>
      <c r="C76" s="27">
        <f t="shared" si="0"/>
        <v>0.10000000000000142</v>
      </c>
    </row>
    <row r="77" spans="1:4" x14ac:dyDescent="0.35">
      <c r="A77" s="15">
        <v>40603</v>
      </c>
      <c r="B77" s="6">
        <v>51.6</v>
      </c>
      <c r="C77" s="27">
        <f t="shared" si="0"/>
        <v>-0.5</v>
      </c>
      <c r="D77" s="5">
        <v>2E-3</v>
      </c>
    </row>
    <row r="78" spans="1:4" x14ac:dyDescent="0.35">
      <c r="A78" s="15">
        <v>40634</v>
      </c>
      <c r="B78" s="6">
        <v>50.6</v>
      </c>
      <c r="C78" s="27">
        <f t="shared" si="0"/>
        <v>-1</v>
      </c>
    </row>
    <row r="79" spans="1:4" x14ac:dyDescent="0.35">
      <c r="A79" s="15">
        <v>40664</v>
      </c>
      <c r="B79" s="6">
        <v>48.2</v>
      </c>
      <c r="C79" s="27">
        <f t="shared" si="0"/>
        <v>-2.3999999999999986</v>
      </c>
    </row>
    <row r="80" spans="1:4" x14ac:dyDescent="0.35">
      <c r="A80" s="15">
        <v>40695</v>
      </c>
      <c r="B80" s="6">
        <v>47.3</v>
      </c>
      <c r="C80" s="27">
        <f t="shared" si="0"/>
        <v>-0.90000000000000568</v>
      </c>
      <c r="D80" s="5">
        <v>-1E-3</v>
      </c>
    </row>
    <row r="81" spans="1:9" x14ac:dyDescent="0.35">
      <c r="A81" s="15">
        <v>40725</v>
      </c>
      <c r="B81" s="6">
        <v>45.6</v>
      </c>
      <c r="C81" s="27">
        <f t="shared" si="0"/>
        <v>-1.6999999999999957</v>
      </c>
    </row>
    <row r="82" spans="1:9" x14ac:dyDescent="0.35">
      <c r="A82" s="15">
        <v>40756</v>
      </c>
      <c r="B82" s="6">
        <v>45.3</v>
      </c>
      <c r="C82" s="27">
        <f t="shared" si="0"/>
        <v>-0.30000000000000426</v>
      </c>
    </row>
    <row r="83" spans="1:9" x14ac:dyDescent="0.35">
      <c r="A83" s="15">
        <v>40787</v>
      </c>
      <c r="B83" s="6">
        <v>43.7</v>
      </c>
      <c r="C83" s="27">
        <f t="shared" si="0"/>
        <v>-1.5999999999999943</v>
      </c>
      <c r="D83" s="5">
        <v>-3.0000000000000001E-3</v>
      </c>
    </row>
    <row r="84" spans="1:9" x14ac:dyDescent="0.35">
      <c r="A84" s="15">
        <v>40817</v>
      </c>
      <c r="B84" s="6">
        <v>43.9</v>
      </c>
      <c r="C84" s="27">
        <f t="shared" si="0"/>
        <v>0.19999999999999574</v>
      </c>
    </row>
    <row r="85" spans="1:9" x14ac:dyDescent="0.35">
      <c r="A85" s="15">
        <v>40848</v>
      </c>
      <c r="B85" s="6">
        <v>43.8</v>
      </c>
      <c r="C85" s="27">
        <f t="shared" si="0"/>
        <v>-0.10000000000000142</v>
      </c>
      <c r="H85" s="64" t="s">
        <v>106</v>
      </c>
      <c r="I85" t="s">
        <v>26</v>
      </c>
    </row>
    <row r="86" spans="1:9" x14ac:dyDescent="0.35">
      <c r="A86" s="15">
        <v>40878</v>
      </c>
      <c r="B86" s="6">
        <v>43.7</v>
      </c>
      <c r="C86" s="27">
        <f t="shared" si="0"/>
        <v>-9.9999999999994316E-2</v>
      </c>
      <c r="D86" s="5">
        <v>-4.0000000000000001E-3</v>
      </c>
    </row>
    <row r="87" spans="1:9" x14ac:dyDescent="0.35">
      <c r="A87" s="16">
        <v>40909</v>
      </c>
      <c r="B87" s="17">
        <v>45.1</v>
      </c>
      <c r="C87" s="28">
        <f t="shared" si="0"/>
        <v>1.3999999999999986</v>
      </c>
    </row>
    <row r="88" spans="1:9" x14ac:dyDescent="0.35">
      <c r="A88" s="16">
        <v>40940</v>
      </c>
      <c r="B88" s="17">
        <v>45</v>
      </c>
      <c r="C88" s="28">
        <f t="shared" si="0"/>
        <v>-0.10000000000000142</v>
      </c>
    </row>
    <row r="89" spans="1:9" x14ac:dyDescent="0.35">
      <c r="A89" s="16">
        <v>40969</v>
      </c>
      <c r="B89" s="17">
        <v>44.5</v>
      </c>
      <c r="C89" s="28">
        <f t="shared" si="0"/>
        <v>-0.5</v>
      </c>
      <c r="D89" s="5">
        <v>-4.0000000000000001E-3</v>
      </c>
    </row>
    <row r="90" spans="1:9" x14ac:dyDescent="0.35">
      <c r="A90" s="16">
        <v>41000</v>
      </c>
      <c r="B90" s="17">
        <v>43.5</v>
      </c>
      <c r="C90" s="28">
        <f t="shared" si="0"/>
        <v>-1</v>
      </c>
    </row>
    <row r="91" spans="1:9" x14ac:dyDescent="0.35">
      <c r="A91" s="16">
        <v>41030</v>
      </c>
      <c r="B91" s="17">
        <v>42</v>
      </c>
      <c r="C91" s="28">
        <f t="shared" si="0"/>
        <v>-1.5</v>
      </c>
    </row>
    <row r="92" spans="1:9" x14ac:dyDescent="0.35">
      <c r="A92" s="16">
        <v>41061</v>
      </c>
      <c r="B92" s="17">
        <v>41.1</v>
      </c>
      <c r="C92" s="28">
        <f t="shared" ref="C92:C111" si="1">B92-B91</f>
        <v>-0.89999999999999858</v>
      </c>
      <c r="D92" s="5">
        <v>-5.0000000000000001E-3</v>
      </c>
    </row>
    <row r="93" spans="1:9" x14ac:dyDescent="0.35">
      <c r="A93" s="16">
        <v>41091</v>
      </c>
      <c r="B93" s="17">
        <v>42.3</v>
      </c>
      <c r="C93" s="28">
        <f t="shared" si="1"/>
        <v>1.1999999999999957</v>
      </c>
    </row>
    <row r="94" spans="1:9" x14ac:dyDescent="0.35">
      <c r="A94" s="16">
        <v>41122</v>
      </c>
      <c r="B94" s="17">
        <v>44</v>
      </c>
      <c r="C94" s="28">
        <f t="shared" si="1"/>
        <v>1.7000000000000028</v>
      </c>
    </row>
    <row r="95" spans="1:9" x14ac:dyDescent="0.35">
      <c r="A95" s="16">
        <v>41153</v>
      </c>
      <c r="B95" s="17">
        <v>44.5</v>
      </c>
      <c r="C95" s="28">
        <f t="shared" si="1"/>
        <v>0.5</v>
      </c>
      <c r="D95" s="5">
        <v>-4.0000000000000001E-3</v>
      </c>
    </row>
    <row r="96" spans="1:9" x14ac:dyDescent="0.35">
      <c r="A96" s="16">
        <v>41183</v>
      </c>
      <c r="B96" s="17">
        <v>43.5</v>
      </c>
      <c r="C96" s="28">
        <f t="shared" si="1"/>
        <v>-1</v>
      </c>
    </row>
    <row r="97" spans="1:4" x14ac:dyDescent="0.35">
      <c r="A97" s="16">
        <v>41214</v>
      </c>
      <c r="B97" s="17">
        <v>45.3</v>
      </c>
      <c r="C97" s="28">
        <f t="shared" si="1"/>
        <v>1.7999999999999972</v>
      </c>
    </row>
    <row r="98" spans="1:4" x14ac:dyDescent="0.35">
      <c r="A98" s="16">
        <v>41244</v>
      </c>
      <c r="B98" s="17">
        <v>44.6</v>
      </c>
      <c r="C98" s="28">
        <f t="shared" si="1"/>
        <v>-0.69999999999999574</v>
      </c>
      <c r="D98" s="5">
        <v>-8.0000000000000002E-3</v>
      </c>
    </row>
    <row r="99" spans="1:4" x14ac:dyDescent="0.35">
      <c r="A99" s="16">
        <v>41275</v>
      </c>
      <c r="B99" s="17">
        <v>46.1</v>
      </c>
      <c r="C99" s="28">
        <f t="shared" si="1"/>
        <v>1.5</v>
      </c>
    </row>
    <row r="100" spans="1:4" x14ac:dyDescent="0.35">
      <c r="A100" s="16">
        <v>41306</v>
      </c>
      <c r="B100" s="17">
        <v>46.8</v>
      </c>
      <c r="C100" s="28">
        <f t="shared" si="1"/>
        <v>0.69999999999999574</v>
      </c>
    </row>
    <row r="101" spans="1:4" x14ac:dyDescent="0.35">
      <c r="A101" s="16">
        <v>41334</v>
      </c>
      <c r="B101" s="17">
        <v>44.2</v>
      </c>
      <c r="C101" s="28">
        <f t="shared" si="1"/>
        <v>-2.5999999999999943</v>
      </c>
      <c r="D101" s="5">
        <v>-3.0000000000000001E-3</v>
      </c>
    </row>
    <row r="102" spans="1:4" x14ac:dyDescent="0.35">
      <c r="A102" s="16">
        <v>41365</v>
      </c>
      <c r="B102" s="17">
        <v>44.7</v>
      </c>
      <c r="C102" s="28">
        <f t="shared" si="1"/>
        <v>0.5</v>
      </c>
    </row>
    <row r="103" spans="1:4" x14ac:dyDescent="0.35">
      <c r="A103" s="16">
        <v>41395</v>
      </c>
      <c r="B103" s="17">
        <v>48.1</v>
      </c>
      <c r="C103" s="28">
        <f t="shared" si="1"/>
        <v>3.3999999999999986</v>
      </c>
    </row>
    <row r="104" spans="1:4" x14ac:dyDescent="0.35">
      <c r="A104" s="16">
        <v>41426</v>
      </c>
      <c r="B104" s="17">
        <v>50</v>
      </c>
      <c r="C104" s="28">
        <f t="shared" si="1"/>
        <v>1.8999999999999986</v>
      </c>
      <c r="D104" s="5">
        <v>-1E-3</v>
      </c>
    </row>
    <row r="105" spans="1:4" x14ac:dyDescent="0.35">
      <c r="A105" s="16">
        <v>41456</v>
      </c>
      <c r="B105" s="17">
        <v>49.8</v>
      </c>
      <c r="C105" s="28">
        <f t="shared" si="1"/>
        <v>-0.20000000000000284</v>
      </c>
    </row>
    <row r="106" spans="1:4" x14ac:dyDescent="0.35">
      <c r="A106" s="16">
        <v>41487</v>
      </c>
      <c r="B106" s="17">
        <v>51.1</v>
      </c>
      <c r="C106" s="28">
        <f t="shared" si="1"/>
        <v>1.3000000000000043</v>
      </c>
    </row>
    <row r="107" spans="1:4" x14ac:dyDescent="0.35">
      <c r="A107" s="16">
        <v>41518</v>
      </c>
      <c r="B107" s="17">
        <v>50.7</v>
      </c>
      <c r="C107" s="28">
        <f t="shared" si="1"/>
        <v>-0.39999999999999858</v>
      </c>
      <c r="D107" s="5">
        <v>1E-3</v>
      </c>
    </row>
    <row r="108" spans="1:4" x14ac:dyDescent="0.35">
      <c r="A108" s="16">
        <v>41548</v>
      </c>
      <c r="B108" s="17">
        <v>50.9</v>
      </c>
      <c r="C108" s="28">
        <f t="shared" si="1"/>
        <v>0.19999999999999574</v>
      </c>
    </row>
    <row r="109" spans="1:4" x14ac:dyDescent="0.35">
      <c r="A109" s="16">
        <v>41579</v>
      </c>
      <c r="B109" s="17">
        <v>48.6</v>
      </c>
      <c r="C109" s="28">
        <f t="shared" si="1"/>
        <v>-2.2999999999999972</v>
      </c>
    </row>
    <row r="110" spans="1:4" x14ac:dyDescent="0.35">
      <c r="A110" s="16">
        <v>41609</v>
      </c>
      <c r="B110" s="17">
        <v>50.8</v>
      </c>
      <c r="C110" s="28">
        <f t="shared" si="1"/>
        <v>2.1999999999999957</v>
      </c>
      <c r="D110" s="5">
        <v>2E-3</v>
      </c>
    </row>
    <row r="111" spans="1:4" x14ac:dyDescent="0.35">
      <c r="A111" s="16">
        <v>41640</v>
      </c>
      <c r="B111" s="17">
        <v>52.2</v>
      </c>
      <c r="C111" s="28">
        <f t="shared" si="1"/>
        <v>1.4000000000000057</v>
      </c>
    </row>
    <row r="112" spans="1:4" x14ac:dyDescent="0.35">
      <c r="A112" s="16">
        <v>41671</v>
      </c>
      <c r="B112" s="17">
        <v>52.5</v>
      </c>
      <c r="C112" s="28">
        <f t="shared" ref="C112:C116" si="2">B112-B111</f>
        <v>0.29999999999999716</v>
      </c>
    </row>
    <row r="113" spans="1:4" x14ac:dyDescent="0.35">
      <c r="A113" s="16">
        <v>41699</v>
      </c>
      <c r="B113" s="17">
        <v>52.8</v>
      </c>
      <c r="C113" s="28">
        <f t="shared" si="2"/>
        <v>0.29999999999999716</v>
      </c>
      <c r="D113" s="5">
        <v>4.0000000000000001E-3</v>
      </c>
    </row>
    <row r="114" spans="1:4" x14ac:dyDescent="0.35">
      <c r="A114" s="16">
        <v>41730</v>
      </c>
      <c r="B114" s="17">
        <v>52.7</v>
      </c>
      <c r="C114" s="28">
        <f t="shared" si="2"/>
        <v>-9.9999999999994316E-2</v>
      </c>
    </row>
    <row r="115" spans="1:4" x14ac:dyDescent="0.35">
      <c r="A115" s="16">
        <v>41760</v>
      </c>
      <c r="B115" s="17">
        <v>52.9</v>
      </c>
      <c r="C115" s="28">
        <f t="shared" si="2"/>
        <v>0.19999999999999574</v>
      </c>
    </row>
    <row r="116" spans="1:4" x14ac:dyDescent="0.35">
      <c r="A116" s="16">
        <v>41791</v>
      </c>
      <c r="B116" s="17">
        <v>54.6</v>
      </c>
      <c r="C116" s="28">
        <f t="shared" si="2"/>
        <v>1.7000000000000028</v>
      </c>
      <c r="D116" s="5">
        <v>6.0000000000000001E-3</v>
      </c>
    </row>
    <row r="117" spans="1:4" x14ac:dyDescent="0.35">
      <c r="A117" s="16">
        <v>41821</v>
      </c>
      <c r="B117" s="17">
        <v>53.9</v>
      </c>
      <c r="C117" s="28">
        <f t="shared" ref="C117:C118" si="3">B117-B116</f>
        <v>-0.70000000000000284</v>
      </c>
    </row>
    <row r="118" spans="1:4" x14ac:dyDescent="0.35">
      <c r="A118" s="16">
        <v>41852</v>
      </c>
      <c r="B118" s="17">
        <v>52.8</v>
      </c>
      <c r="C118" s="28">
        <f t="shared" si="3"/>
        <v>-1.1000000000000014</v>
      </c>
    </row>
    <row r="119" spans="1:4" x14ac:dyDescent="0.35">
      <c r="A119" s="16">
        <v>41883</v>
      </c>
      <c r="B119" s="17">
        <v>52.6</v>
      </c>
      <c r="C119" s="28">
        <f>IFERROR(B119-B118,"")</f>
        <v>-0.19999999999999574</v>
      </c>
      <c r="D119" s="7">
        <f>IF(VLOOKUP(I85,Data!$O$51:$V$152,7,FALSE)=A118,VLOOKUP(I85,Data!$O$51:$V$152,2,FALSE)/100,"")</f>
        <v>5.0000000000000001E-3</v>
      </c>
    </row>
    <row r="120" spans="1:4" x14ac:dyDescent="0.35">
      <c r="A120" s="16">
        <v>41913</v>
      </c>
      <c r="B120" s="17">
        <v>52.6</v>
      </c>
      <c r="C120" s="28">
        <v>0</v>
      </c>
    </row>
    <row r="121" spans="1:4" x14ac:dyDescent="0.35">
      <c r="A121" s="16">
        <v>41944</v>
      </c>
      <c r="B121" s="17">
        <f>IF(A121=Data!$C$1,VLOOKUP($H$85,Data!$A$2:$C$36,3,FALSE),"N/A")</f>
        <v>54.7</v>
      </c>
      <c r="C121" s="28">
        <f t="shared" ref="C121" si="4">B121-B120</f>
        <v>2.1000000000000014</v>
      </c>
    </row>
    <row r="122" spans="1:4" x14ac:dyDescent="0.35">
      <c r="A122" s="105">
        <v>41974</v>
      </c>
      <c r="B122" s="17"/>
      <c r="C122" s="28"/>
    </row>
    <row r="123" spans="1:4" x14ac:dyDescent="0.35">
      <c r="A123" s="105">
        <v>42005</v>
      </c>
      <c r="B123" s="17"/>
      <c r="C123" s="28"/>
    </row>
    <row r="124" spans="1:4" x14ac:dyDescent="0.35">
      <c r="A124" s="105">
        <v>42036</v>
      </c>
      <c r="B124" s="17"/>
      <c r="C124" s="28"/>
    </row>
    <row r="125" spans="1:4" x14ac:dyDescent="0.35">
      <c r="A125" s="105">
        <v>42064</v>
      </c>
      <c r="B125" s="17"/>
      <c r="C125" s="28"/>
    </row>
    <row r="126" spans="1:4" x14ac:dyDescent="0.35">
      <c r="A126" s="105">
        <v>42095</v>
      </c>
      <c r="B126" s="17"/>
      <c r="C126" s="28"/>
    </row>
    <row r="127" spans="1:4" x14ac:dyDescent="0.35">
      <c r="A127" s="105">
        <v>42125</v>
      </c>
      <c r="B127" s="17"/>
      <c r="C127" s="28"/>
    </row>
    <row r="128" spans="1:4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51.2</v>
      </c>
      <c r="C155" s="107"/>
      <c r="E155" t="s">
        <v>324</v>
      </c>
    </row>
    <row r="156" spans="1:5" x14ac:dyDescent="0.35">
      <c r="A156" s="122">
        <v>46174</v>
      </c>
      <c r="B156" s="91">
        <v>49.7</v>
      </c>
      <c r="C156" s="107">
        <v>-1.5</v>
      </c>
    </row>
  </sheetData>
  <conditionalFormatting sqref="B26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71:I156"/>
  <sheetViews>
    <sheetView topLeftCell="A71" zoomScale="70" zoomScaleNormal="70" workbookViewId="0">
      <pane ySplit="1" topLeftCell="A93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6.54296875" style="19" customWidth="1"/>
    <col min="3" max="3" width="12.36328125" style="26" customWidth="1"/>
    <col min="4" max="4" width="30.453125" customWidth="1"/>
  </cols>
  <sheetData>
    <row r="71" spans="1:5" x14ac:dyDescent="0.35">
      <c r="A71" s="13" t="s">
        <v>0</v>
      </c>
      <c r="B71" s="19" t="s">
        <v>8</v>
      </c>
      <c r="C71" s="26" t="s">
        <v>5</v>
      </c>
      <c r="D71" t="s">
        <v>64</v>
      </c>
      <c r="E71" t="s">
        <v>325</v>
      </c>
    </row>
    <row r="72" spans="1:5" x14ac:dyDescent="0.35">
      <c r="A72" s="23">
        <v>40482</v>
      </c>
      <c r="B72" s="6">
        <v>43.6</v>
      </c>
      <c r="C72" s="27"/>
      <c r="D72" s="5"/>
    </row>
    <row r="73" spans="1:5" x14ac:dyDescent="0.35">
      <c r="A73" s="23">
        <v>40483</v>
      </c>
      <c r="B73" s="6">
        <v>43.9</v>
      </c>
      <c r="C73" s="27">
        <f t="shared" ref="C73:C80" si="0">B73-B72</f>
        <v>0.29999999999999716</v>
      </c>
      <c r="D73" s="5"/>
    </row>
    <row r="74" spans="1:5" x14ac:dyDescent="0.35">
      <c r="A74" s="23">
        <v>40513</v>
      </c>
      <c r="B74" s="6">
        <v>43.1</v>
      </c>
      <c r="C74" s="27">
        <f t="shared" si="0"/>
        <v>-0.79999999999999716</v>
      </c>
      <c r="D74" s="5">
        <v>-9.1999999999999998E-2</v>
      </c>
    </row>
    <row r="75" spans="1:5" x14ac:dyDescent="0.35">
      <c r="A75" s="23">
        <v>40544</v>
      </c>
      <c r="B75" s="6">
        <v>42.8</v>
      </c>
      <c r="C75" s="27">
        <f t="shared" si="0"/>
        <v>-0.30000000000000426</v>
      </c>
      <c r="D75" s="5"/>
    </row>
    <row r="76" spans="1:5" x14ac:dyDescent="0.35">
      <c r="A76" s="23">
        <v>40575</v>
      </c>
      <c r="B76" s="6">
        <v>43.8</v>
      </c>
      <c r="C76" s="27">
        <f t="shared" si="0"/>
        <v>1</v>
      </c>
      <c r="D76" s="5"/>
    </row>
    <row r="77" spans="1:5" x14ac:dyDescent="0.35">
      <c r="A77" s="23">
        <v>40603</v>
      </c>
      <c r="B77" s="6">
        <v>45.4</v>
      </c>
      <c r="C77" s="27">
        <f t="shared" si="0"/>
        <v>1.6000000000000014</v>
      </c>
      <c r="D77" s="5">
        <v>-8.3000000000000004E-2</v>
      </c>
    </row>
    <row r="78" spans="1:5" x14ac:dyDescent="0.35">
      <c r="A78" s="23">
        <v>40634</v>
      </c>
      <c r="B78" s="6">
        <v>46.8</v>
      </c>
      <c r="C78" s="27">
        <f t="shared" si="0"/>
        <v>1.3999999999999986</v>
      </c>
      <c r="D78" s="5"/>
    </row>
    <row r="79" spans="1:5" x14ac:dyDescent="0.35">
      <c r="A79" s="23">
        <v>40664</v>
      </c>
      <c r="B79" s="6">
        <v>44.5</v>
      </c>
      <c r="C79" s="27">
        <f t="shared" si="0"/>
        <v>-2.2999999999999972</v>
      </c>
      <c r="D79" s="5"/>
    </row>
    <row r="80" spans="1:5" x14ac:dyDescent="0.35">
      <c r="A80" s="23">
        <v>40695</v>
      </c>
      <c r="B80" s="6">
        <v>45.5</v>
      </c>
      <c r="C80" s="27">
        <f t="shared" si="0"/>
        <v>1</v>
      </c>
      <c r="D80" s="5">
        <v>-0.08</v>
      </c>
    </row>
    <row r="81" spans="1:9" x14ac:dyDescent="0.35">
      <c r="A81" s="23">
        <v>40725</v>
      </c>
      <c r="B81" s="6">
        <v>45.2</v>
      </c>
      <c r="C81" s="27">
        <f>B81-B80</f>
        <v>-0.29999999999999716</v>
      </c>
      <c r="D81" s="5"/>
    </row>
    <row r="82" spans="1:9" x14ac:dyDescent="0.35">
      <c r="A82" s="23">
        <v>40756</v>
      </c>
      <c r="B82" s="6">
        <v>43.3</v>
      </c>
      <c r="C82" s="27">
        <f t="shared" ref="C82:C114" si="1">B82-B81</f>
        <v>-1.9000000000000057</v>
      </c>
      <c r="D82" s="5"/>
    </row>
    <row r="83" spans="1:9" x14ac:dyDescent="0.35">
      <c r="A83" s="23">
        <v>40787</v>
      </c>
      <c r="B83" s="6">
        <v>43.2</v>
      </c>
      <c r="C83" s="27">
        <f t="shared" si="1"/>
        <v>-9.9999999999994316E-2</v>
      </c>
      <c r="D83" s="5">
        <v>-4.2999999999999997E-2</v>
      </c>
    </row>
    <row r="84" spans="1:9" x14ac:dyDescent="0.35">
      <c r="A84" s="23">
        <v>40817</v>
      </c>
      <c r="B84" s="6">
        <v>40.5</v>
      </c>
      <c r="C84" s="27">
        <f t="shared" si="1"/>
        <v>-2.7000000000000028</v>
      </c>
      <c r="D84" s="5"/>
    </row>
    <row r="85" spans="1:9" x14ac:dyDescent="0.35">
      <c r="A85" s="23">
        <v>40848</v>
      </c>
      <c r="B85" s="6">
        <v>40.9</v>
      </c>
      <c r="C85" s="27">
        <f t="shared" si="1"/>
        <v>0.39999999999999858</v>
      </c>
      <c r="D85" s="5"/>
      <c r="H85" s="64" t="s">
        <v>107</v>
      </c>
      <c r="I85" t="s">
        <v>30</v>
      </c>
    </row>
    <row r="86" spans="1:9" x14ac:dyDescent="0.35">
      <c r="A86" s="23">
        <v>40878</v>
      </c>
      <c r="B86" s="6">
        <v>42</v>
      </c>
      <c r="C86" s="27">
        <f t="shared" si="1"/>
        <v>1.1000000000000014</v>
      </c>
      <c r="D86" s="5">
        <v>-0.08</v>
      </c>
    </row>
    <row r="87" spans="1:9" x14ac:dyDescent="0.35">
      <c r="A87" s="24">
        <v>40909</v>
      </c>
      <c r="B87" s="17">
        <v>41</v>
      </c>
      <c r="C87" s="28">
        <f t="shared" si="1"/>
        <v>-1</v>
      </c>
      <c r="D87" s="5"/>
    </row>
    <row r="88" spans="1:9" x14ac:dyDescent="0.35">
      <c r="A88" s="24">
        <v>40940</v>
      </c>
      <c r="B88" s="17">
        <v>37.700000000000003</v>
      </c>
      <c r="C88" s="28">
        <f t="shared" si="1"/>
        <v>-3.2999999999999972</v>
      </c>
      <c r="D88" s="5"/>
    </row>
    <row r="89" spans="1:9" x14ac:dyDescent="0.35">
      <c r="A89" s="24">
        <v>40969</v>
      </c>
      <c r="B89" s="17">
        <v>41.3</v>
      </c>
      <c r="C89" s="28">
        <f t="shared" si="1"/>
        <v>3.5999999999999943</v>
      </c>
      <c r="D89" s="5">
        <v>-7.8E-2</v>
      </c>
    </row>
    <row r="90" spans="1:9" x14ac:dyDescent="0.35">
      <c r="A90" s="24">
        <v>41000</v>
      </c>
      <c r="B90" s="17">
        <v>40.700000000000003</v>
      </c>
      <c r="C90" s="28">
        <f t="shared" si="1"/>
        <v>-0.59999999999999432</v>
      </c>
      <c r="D90" s="5"/>
    </row>
    <row r="91" spans="1:9" x14ac:dyDescent="0.35">
      <c r="A91" s="24">
        <v>41030</v>
      </c>
      <c r="B91" s="17">
        <v>43.1</v>
      </c>
      <c r="C91" s="28">
        <f t="shared" si="1"/>
        <v>2.3999999999999986</v>
      </c>
      <c r="D91" s="5"/>
    </row>
    <row r="92" spans="1:9" x14ac:dyDescent="0.35">
      <c r="A92" s="24">
        <v>41061</v>
      </c>
      <c r="B92" s="17">
        <v>40.1</v>
      </c>
      <c r="C92" s="28">
        <f t="shared" si="1"/>
        <v>-3</v>
      </c>
      <c r="D92" s="5">
        <v>-7.3999999999999996E-2</v>
      </c>
    </row>
    <row r="93" spans="1:9" x14ac:dyDescent="0.35">
      <c r="A93" s="24">
        <v>41091</v>
      </c>
      <c r="B93" s="17">
        <v>41.9</v>
      </c>
      <c r="C93" s="28">
        <f t="shared" si="1"/>
        <v>1.7999999999999972</v>
      </c>
      <c r="D93" s="5"/>
    </row>
    <row r="94" spans="1:9" x14ac:dyDescent="0.35">
      <c r="A94" s="24">
        <v>41122</v>
      </c>
      <c r="B94" s="17">
        <v>42.1</v>
      </c>
      <c r="C94" s="28">
        <f t="shared" si="1"/>
        <v>0.20000000000000284</v>
      </c>
      <c r="D94" s="5"/>
    </row>
    <row r="95" spans="1:9" x14ac:dyDescent="0.35">
      <c r="A95" s="24">
        <v>41153</v>
      </c>
      <c r="B95" s="17">
        <v>42.2</v>
      </c>
      <c r="C95" s="28">
        <f t="shared" si="1"/>
        <v>0.10000000000000142</v>
      </c>
      <c r="D95" s="5">
        <v>-7.6999999999999999E-2</v>
      </c>
    </row>
    <row r="96" spans="1:9" x14ac:dyDescent="0.35">
      <c r="A96" s="24">
        <v>41183</v>
      </c>
      <c r="B96" s="17">
        <v>41</v>
      </c>
      <c r="C96" s="28">
        <f t="shared" si="1"/>
        <v>-1.2000000000000028</v>
      </c>
      <c r="D96" s="5"/>
    </row>
    <row r="97" spans="1:4" x14ac:dyDescent="0.35">
      <c r="A97" s="24">
        <v>41214</v>
      </c>
      <c r="B97" s="17">
        <v>41.8</v>
      </c>
      <c r="C97" s="28">
        <f t="shared" si="1"/>
        <v>0.79999999999999716</v>
      </c>
      <c r="D97" s="5"/>
    </row>
    <row r="98" spans="1:4" x14ac:dyDescent="0.35">
      <c r="A98" s="24">
        <v>41244</v>
      </c>
      <c r="B98" s="17">
        <v>41.4</v>
      </c>
      <c r="C98" s="28">
        <f t="shared" si="1"/>
        <v>-0.39999999999999858</v>
      </c>
      <c r="D98" s="5">
        <v>-4.9000000000000002E-2</v>
      </c>
    </row>
    <row r="99" spans="1:4" x14ac:dyDescent="0.35">
      <c r="A99" s="24">
        <v>41275</v>
      </c>
      <c r="B99" s="17">
        <v>41.7</v>
      </c>
      <c r="C99" s="28">
        <f t="shared" si="1"/>
        <v>0.30000000000000426</v>
      </c>
      <c r="D99" s="5"/>
    </row>
    <row r="100" spans="1:4" x14ac:dyDescent="0.35">
      <c r="A100" s="24">
        <v>41306</v>
      </c>
      <c r="B100" s="17">
        <v>43</v>
      </c>
      <c r="C100" s="28">
        <f t="shared" si="1"/>
        <v>1.2999999999999972</v>
      </c>
      <c r="D100" s="5"/>
    </row>
    <row r="101" spans="1:4" x14ac:dyDescent="0.35">
      <c r="A101" s="24">
        <v>41334</v>
      </c>
      <c r="B101" s="17">
        <v>42.1</v>
      </c>
      <c r="C101" s="28">
        <f t="shared" si="1"/>
        <v>-0.89999999999999858</v>
      </c>
      <c r="D101" s="5">
        <v>-0.06</v>
      </c>
    </row>
    <row r="102" spans="1:4" x14ac:dyDescent="0.35">
      <c r="A102" s="24">
        <v>41365</v>
      </c>
      <c r="B102" s="17">
        <v>45</v>
      </c>
      <c r="C102" s="28">
        <f t="shared" si="1"/>
        <v>2.8999999999999986</v>
      </c>
      <c r="D102" s="5"/>
    </row>
    <row r="103" spans="1:4" x14ac:dyDescent="0.35">
      <c r="A103" s="24">
        <v>41395</v>
      </c>
      <c r="B103" s="17">
        <v>45.3</v>
      </c>
      <c r="C103" s="28">
        <f t="shared" si="1"/>
        <v>0.29999999999999716</v>
      </c>
      <c r="D103" s="5"/>
    </row>
    <row r="104" spans="1:4" x14ac:dyDescent="0.35">
      <c r="A104" s="24">
        <v>41426</v>
      </c>
      <c r="B104" s="17">
        <v>45.4</v>
      </c>
      <c r="C104" s="28">
        <f>B104-B103</f>
        <v>0.10000000000000142</v>
      </c>
      <c r="D104" s="5">
        <v>-0.04</v>
      </c>
    </row>
    <row r="105" spans="1:4" x14ac:dyDescent="0.35">
      <c r="A105" s="24">
        <v>41456</v>
      </c>
      <c r="B105" s="17">
        <v>47</v>
      </c>
      <c r="C105" s="28">
        <f t="shared" si="1"/>
        <v>1.6000000000000014</v>
      </c>
      <c r="D105" s="5"/>
    </row>
    <row r="106" spans="1:4" x14ac:dyDescent="0.35">
      <c r="A106" s="24">
        <v>41487</v>
      </c>
      <c r="B106" s="17">
        <v>48.7</v>
      </c>
      <c r="C106" s="28">
        <f t="shared" si="1"/>
        <v>1.7000000000000028</v>
      </c>
      <c r="D106" s="5"/>
    </row>
    <row r="107" spans="1:4" x14ac:dyDescent="0.35">
      <c r="A107" s="24">
        <v>41518</v>
      </c>
      <c r="B107" s="17">
        <v>47.5</v>
      </c>
      <c r="C107" s="28">
        <f t="shared" si="1"/>
        <v>-1.2000000000000028</v>
      </c>
      <c r="D107" s="5">
        <v>-3.2000000000000001E-2</v>
      </c>
    </row>
    <row r="108" spans="1:4" x14ac:dyDescent="0.35">
      <c r="A108" s="24">
        <v>41548</v>
      </c>
      <c r="B108" s="17">
        <v>47.3</v>
      </c>
      <c r="C108" s="28">
        <f t="shared" si="1"/>
        <v>-0.20000000000000284</v>
      </c>
      <c r="D108" s="5"/>
    </row>
    <row r="109" spans="1:4" x14ac:dyDescent="0.35">
      <c r="A109" s="24">
        <v>41579</v>
      </c>
      <c r="B109" s="17">
        <v>49.2</v>
      </c>
      <c r="C109" s="28">
        <f t="shared" si="1"/>
        <v>1.9000000000000057</v>
      </c>
      <c r="D109" s="5"/>
    </row>
    <row r="110" spans="1:4" x14ac:dyDescent="0.35">
      <c r="A110" s="24">
        <v>41609</v>
      </c>
      <c r="B110" s="17">
        <v>49.6</v>
      </c>
      <c r="C110" s="28">
        <f t="shared" si="1"/>
        <v>0.39999999999999858</v>
      </c>
      <c r="D110" s="5">
        <v>-2.3E-2</v>
      </c>
    </row>
    <row r="111" spans="1:4" x14ac:dyDescent="0.35">
      <c r="A111" s="24">
        <v>41640</v>
      </c>
      <c r="B111" s="17">
        <v>51.2</v>
      </c>
      <c r="C111" s="28">
        <f t="shared" si="1"/>
        <v>1.6000000000000014</v>
      </c>
    </row>
    <row r="112" spans="1:4" x14ac:dyDescent="0.35">
      <c r="A112" s="24">
        <v>41671</v>
      </c>
      <c r="B112" s="17">
        <v>51.3</v>
      </c>
      <c r="C112" s="28">
        <f>B112-B111</f>
        <v>9.9999999999994316E-2</v>
      </c>
    </row>
    <row r="113" spans="1:4" x14ac:dyDescent="0.35">
      <c r="A113" s="24">
        <v>41699</v>
      </c>
      <c r="B113" s="17">
        <v>49.7</v>
      </c>
      <c r="C113" s="28">
        <f t="shared" si="1"/>
        <v>-1.5999999999999943</v>
      </c>
      <c r="D113" s="7">
        <v>-1.0999999999999999E-2</v>
      </c>
    </row>
    <row r="114" spans="1:4" x14ac:dyDescent="0.35">
      <c r="A114" s="24">
        <v>41730</v>
      </c>
      <c r="B114" s="17">
        <v>51.1</v>
      </c>
      <c r="C114" s="28">
        <f t="shared" si="1"/>
        <v>1.3999999999999986</v>
      </c>
    </row>
    <row r="115" spans="1:4" x14ac:dyDescent="0.35">
      <c r="A115" s="24">
        <v>41760</v>
      </c>
      <c r="B115" s="17">
        <v>51</v>
      </c>
      <c r="C115" s="28">
        <f t="shared" ref="C115:C116" si="2">B115-B114</f>
        <v>-0.10000000000000142</v>
      </c>
    </row>
    <row r="116" spans="1:4" x14ac:dyDescent="0.35">
      <c r="A116" s="24">
        <v>41791</v>
      </c>
      <c r="B116" s="17">
        <v>49.4</v>
      </c>
      <c r="C116" s="28">
        <f t="shared" si="2"/>
        <v>-1.6000000000000014</v>
      </c>
      <c r="D116" s="7">
        <v>2E-3</v>
      </c>
    </row>
    <row r="117" spans="1:4" x14ac:dyDescent="0.35">
      <c r="A117" s="24">
        <v>41821</v>
      </c>
      <c r="B117" s="17">
        <v>48.7</v>
      </c>
      <c r="C117" s="28">
        <f>B117-B116</f>
        <v>-0.69999999999999574</v>
      </c>
    </row>
    <row r="118" spans="1:4" x14ac:dyDescent="0.35">
      <c r="A118" s="24">
        <v>41852</v>
      </c>
      <c r="B118" s="17">
        <v>50.1</v>
      </c>
      <c r="C118" s="28">
        <f t="shared" ref="C118" si="3">B118-B117</f>
        <v>1.3999999999999986</v>
      </c>
    </row>
    <row r="119" spans="1:4" x14ac:dyDescent="0.35">
      <c r="A119" s="24">
        <v>41883</v>
      </c>
      <c r="B119" s="17">
        <v>48.4</v>
      </c>
      <c r="C119" s="28">
        <f>IFERROR(B119-B118,"")</f>
        <v>-1.7000000000000028</v>
      </c>
      <c r="D119" s="7">
        <f>IF(VLOOKUP(I85,Data!$O$51:$V$152,7,FALSE)=A118,VLOOKUP(I85,Data!$O$51:$V$152,2,FALSE)/100,"")</f>
        <v>6.9999999999999993E-3</v>
      </c>
    </row>
    <row r="120" spans="1:4" x14ac:dyDescent="0.35">
      <c r="A120" s="24">
        <v>41913</v>
      </c>
      <c r="B120" s="17">
        <v>48.8</v>
      </c>
      <c r="C120" s="28">
        <v>0.39999999999999858</v>
      </c>
    </row>
    <row r="121" spans="1:4" x14ac:dyDescent="0.35">
      <c r="A121" s="24">
        <v>41944</v>
      </c>
      <c r="B121" s="17">
        <f>IF(A121=Data!$C$1,VLOOKUP($H$85,Data!$A$2:$C$36,3,FALSE),"N/A")</f>
        <v>49.1</v>
      </c>
      <c r="C121" s="28">
        <f t="shared" ref="C121" si="4">B121-B120</f>
        <v>0.30000000000000426</v>
      </c>
    </row>
    <row r="122" spans="1:4" x14ac:dyDescent="0.35">
      <c r="A122" s="110">
        <v>41974</v>
      </c>
      <c r="B122" s="17"/>
      <c r="C122" s="28"/>
    </row>
    <row r="123" spans="1:4" x14ac:dyDescent="0.35">
      <c r="A123" s="110">
        <v>42005</v>
      </c>
      <c r="B123" s="17"/>
      <c r="C123" s="28"/>
    </row>
    <row r="124" spans="1:4" x14ac:dyDescent="0.35">
      <c r="A124" s="110">
        <v>42036</v>
      </c>
      <c r="B124" s="17"/>
      <c r="C124" s="28"/>
    </row>
    <row r="125" spans="1:4" x14ac:dyDescent="0.35">
      <c r="A125" s="110">
        <v>42064</v>
      </c>
      <c r="B125" s="17"/>
      <c r="C125" s="28"/>
    </row>
    <row r="126" spans="1:4" x14ac:dyDescent="0.35">
      <c r="A126" s="110">
        <v>42095</v>
      </c>
      <c r="B126" s="17"/>
      <c r="C126" s="28"/>
    </row>
    <row r="127" spans="1:4" x14ac:dyDescent="0.35">
      <c r="A127" s="110">
        <v>42125</v>
      </c>
      <c r="B127" s="17"/>
      <c r="C127" s="28"/>
    </row>
    <row r="128" spans="1:4" x14ac:dyDescent="0.35">
      <c r="A128" s="110">
        <v>42156</v>
      </c>
      <c r="B128" s="17"/>
      <c r="C128" s="28"/>
    </row>
    <row r="129" spans="1:3" x14ac:dyDescent="0.35">
      <c r="A129" s="110">
        <v>42186</v>
      </c>
      <c r="B129" s="17"/>
      <c r="C129" s="28"/>
    </row>
    <row r="130" spans="1:3" x14ac:dyDescent="0.35">
      <c r="A130" s="110">
        <v>42217</v>
      </c>
      <c r="B130" s="17"/>
      <c r="C130" s="28"/>
    </row>
    <row r="131" spans="1:3" x14ac:dyDescent="0.35">
      <c r="A131" s="110">
        <v>42248</v>
      </c>
      <c r="B131" s="17"/>
      <c r="C131" s="28"/>
    </row>
    <row r="132" spans="1:3" x14ac:dyDescent="0.35">
      <c r="A132" s="110">
        <v>42278</v>
      </c>
      <c r="B132" s="17"/>
      <c r="C132" s="28"/>
    </row>
    <row r="133" spans="1:3" x14ac:dyDescent="0.35">
      <c r="A133" s="110">
        <v>42309</v>
      </c>
      <c r="B133" s="17"/>
      <c r="C133" s="28"/>
    </row>
    <row r="134" spans="1:3" x14ac:dyDescent="0.35">
      <c r="A134" s="110">
        <v>42339</v>
      </c>
      <c r="B134" s="17"/>
      <c r="C134" s="28"/>
    </row>
    <row r="135" spans="1:3" x14ac:dyDescent="0.35">
      <c r="A135" s="110">
        <v>42370</v>
      </c>
      <c r="B135" s="17"/>
      <c r="C135" s="28"/>
    </row>
    <row r="136" spans="1:3" x14ac:dyDescent="0.35">
      <c r="A136" s="110">
        <v>42401</v>
      </c>
      <c r="B136" s="17"/>
      <c r="C136" s="28"/>
    </row>
    <row r="137" spans="1:3" x14ac:dyDescent="0.35">
      <c r="A137" s="110">
        <v>42430</v>
      </c>
      <c r="B137" s="17"/>
      <c r="C137" s="28"/>
    </row>
    <row r="138" spans="1:3" x14ac:dyDescent="0.35">
      <c r="A138" s="110">
        <v>42461</v>
      </c>
      <c r="B138" s="17"/>
      <c r="C138" s="28"/>
    </row>
    <row r="139" spans="1:3" x14ac:dyDescent="0.35">
      <c r="A139" s="110">
        <v>42491</v>
      </c>
      <c r="B139" s="17"/>
      <c r="C139" s="28"/>
    </row>
    <row r="140" spans="1:3" x14ac:dyDescent="0.35">
      <c r="A140" s="110">
        <v>42522</v>
      </c>
      <c r="B140" s="17"/>
      <c r="C140" s="28"/>
    </row>
    <row r="141" spans="1:3" x14ac:dyDescent="0.35">
      <c r="A141" s="110">
        <v>42552</v>
      </c>
      <c r="B141" s="17"/>
      <c r="C141" s="28"/>
    </row>
    <row r="142" spans="1:3" x14ac:dyDescent="0.35">
      <c r="A142" s="110">
        <v>42583</v>
      </c>
      <c r="B142" s="17"/>
      <c r="C142" s="28"/>
    </row>
    <row r="143" spans="1:3" x14ac:dyDescent="0.35">
      <c r="A143" s="110">
        <v>42614</v>
      </c>
      <c r="B143" s="17"/>
      <c r="C143" s="28"/>
    </row>
    <row r="144" spans="1:3" x14ac:dyDescent="0.35">
      <c r="A144" s="110">
        <v>42644</v>
      </c>
      <c r="B144" s="17"/>
      <c r="C144" s="28"/>
    </row>
    <row r="145" spans="1:5" x14ac:dyDescent="0.35">
      <c r="A145" s="110">
        <v>42675</v>
      </c>
      <c r="B145" s="17"/>
      <c r="C145" s="28"/>
    </row>
    <row r="146" spans="1:5" x14ac:dyDescent="0.35">
      <c r="A146" s="110">
        <v>42705</v>
      </c>
      <c r="B146" s="17"/>
      <c r="C146" s="28"/>
    </row>
    <row r="147" spans="1:5" x14ac:dyDescent="0.35">
      <c r="A147" s="110">
        <v>42736</v>
      </c>
      <c r="B147" s="17"/>
      <c r="C147" s="28"/>
    </row>
    <row r="148" spans="1:5" x14ac:dyDescent="0.35">
      <c r="A148" s="110">
        <v>42767</v>
      </c>
      <c r="B148" s="17"/>
      <c r="C148" s="28"/>
    </row>
    <row r="149" spans="1:5" x14ac:dyDescent="0.35">
      <c r="A149" s="110">
        <v>42795</v>
      </c>
      <c r="B149" s="17"/>
      <c r="C149" s="28"/>
    </row>
    <row r="150" spans="1:5" x14ac:dyDescent="0.35">
      <c r="A150" s="110">
        <v>42826</v>
      </c>
      <c r="B150" s="17"/>
      <c r="C150" s="28"/>
    </row>
    <row r="151" spans="1:5" x14ac:dyDescent="0.35">
      <c r="A151" s="110">
        <v>42856</v>
      </c>
      <c r="B151" s="17"/>
      <c r="C151" s="28"/>
    </row>
    <row r="152" spans="1:5" x14ac:dyDescent="0.35">
      <c r="A152" s="110">
        <v>42887</v>
      </c>
      <c r="B152" s="17"/>
      <c r="C152" s="28"/>
    </row>
    <row r="153" spans="1:5" x14ac:dyDescent="0.35">
      <c r="A153" s="110">
        <v>42917</v>
      </c>
      <c r="B153" s="17"/>
      <c r="C153" s="28"/>
    </row>
    <row r="154" spans="1:5" x14ac:dyDescent="0.35">
      <c r="A154" s="111">
        <v>42948</v>
      </c>
      <c r="B154" s="91"/>
      <c r="C154" s="107"/>
    </row>
    <row r="155" spans="1:5" x14ac:dyDescent="0.35">
      <c r="A155" s="123">
        <v>46143</v>
      </c>
      <c r="B155" s="91">
        <v>53.3</v>
      </c>
      <c r="C155" s="107"/>
      <c r="E155" t="s">
        <v>324</v>
      </c>
    </row>
    <row r="156" spans="1:5" x14ac:dyDescent="0.35">
      <c r="A156" s="123">
        <v>46174</v>
      </c>
      <c r="B156" s="91">
        <v>53.8</v>
      </c>
      <c r="C156" s="107">
        <v>0.5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71:I156"/>
  <sheetViews>
    <sheetView topLeftCell="A71" zoomScale="70" zoomScaleNormal="70" workbookViewId="0">
      <pane ySplit="1" topLeftCell="A108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5.90625" style="19" customWidth="1"/>
    <col min="3" max="3" width="12.36328125" style="26" customWidth="1"/>
    <col min="4" max="4" width="29.90625" style="5" customWidth="1"/>
  </cols>
  <sheetData>
    <row r="71" spans="1:5" x14ac:dyDescent="0.35">
      <c r="A71" s="13" t="s">
        <v>0</v>
      </c>
      <c r="B71" s="19" t="s">
        <v>9</v>
      </c>
      <c r="C71" s="26" t="s">
        <v>5</v>
      </c>
      <c r="D71" s="5" t="s">
        <v>55</v>
      </c>
      <c r="E71" t="s">
        <v>325</v>
      </c>
    </row>
    <row r="72" spans="1:5" x14ac:dyDescent="0.35">
      <c r="A72" s="15">
        <v>40452</v>
      </c>
      <c r="B72" s="6">
        <v>50.9</v>
      </c>
    </row>
    <row r="73" spans="1:5" x14ac:dyDescent="0.35">
      <c r="A73" s="15">
        <v>40483</v>
      </c>
      <c r="B73" s="6">
        <v>51.2</v>
      </c>
      <c r="C73" s="27">
        <f t="shared" ref="C73:C86" si="0">B73-B72</f>
        <v>0.30000000000000426</v>
      </c>
    </row>
    <row r="74" spans="1:5" x14ac:dyDescent="0.35">
      <c r="A74" s="15">
        <v>40513</v>
      </c>
      <c r="B74" s="6">
        <v>52.2</v>
      </c>
      <c r="C74" s="27">
        <f t="shared" si="0"/>
        <v>1</v>
      </c>
    </row>
    <row r="75" spans="1:5" x14ac:dyDescent="0.35">
      <c r="A75" s="15">
        <v>40544</v>
      </c>
      <c r="B75" s="6">
        <v>55.8</v>
      </c>
      <c r="C75" s="27">
        <f t="shared" si="0"/>
        <v>3.5999999999999943</v>
      </c>
    </row>
    <row r="76" spans="1:5" x14ac:dyDescent="0.35">
      <c r="A76" s="15">
        <v>40575</v>
      </c>
      <c r="B76" s="6">
        <v>56.7</v>
      </c>
      <c r="C76" s="27">
        <f t="shared" si="0"/>
        <v>0.90000000000000568</v>
      </c>
    </row>
    <row r="77" spans="1:5" x14ac:dyDescent="0.35">
      <c r="A77" s="15">
        <v>40603</v>
      </c>
      <c r="B77" s="6">
        <v>55.7</v>
      </c>
      <c r="C77" s="27">
        <f t="shared" si="0"/>
        <v>-1</v>
      </c>
    </row>
    <row r="78" spans="1:5" x14ac:dyDescent="0.35">
      <c r="A78" s="15">
        <v>40634</v>
      </c>
      <c r="B78" s="6">
        <v>56</v>
      </c>
      <c r="C78" s="27">
        <f t="shared" si="0"/>
        <v>0.29999999999999716</v>
      </c>
    </row>
    <row r="79" spans="1:5" x14ac:dyDescent="0.35">
      <c r="A79" s="15">
        <v>40664</v>
      </c>
      <c r="B79" s="6">
        <v>51.8</v>
      </c>
      <c r="C79" s="27">
        <f t="shared" si="0"/>
        <v>-4.2000000000000028</v>
      </c>
    </row>
    <row r="80" spans="1:5" x14ac:dyDescent="0.35">
      <c r="A80" s="15">
        <v>40695</v>
      </c>
      <c r="B80" s="6">
        <v>49.8</v>
      </c>
      <c r="C80" s="27">
        <f t="shared" si="0"/>
        <v>-2</v>
      </c>
    </row>
    <row r="81" spans="1:9" x14ac:dyDescent="0.35">
      <c r="A81" s="15">
        <v>40725</v>
      </c>
      <c r="B81" s="6">
        <v>48.2</v>
      </c>
      <c r="C81" s="27">
        <f t="shared" si="0"/>
        <v>-1.5999999999999943</v>
      </c>
    </row>
    <row r="82" spans="1:9" x14ac:dyDescent="0.35">
      <c r="A82" s="15">
        <v>40756</v>
      </c>
      <c r="B82" s="6">
        <v>49.7</v>
      </c>
      <c r="C82" s="27">
        <f t="shared" si="0"/>
        <v>1.5</v>
      </c>
    </row>
    <row r="83" spans="1:9" x14ac:dyDescent="0.35">
      <c r="A83" s="15">
        <v>40787</v>
      </c>
      <c r="B83" s="6">
        <v>47.3</v>
      </c>
      <c r="C83" s="27">
        <f t="shared" si="0"/>
        <v>-2.4000000000000057</v>
      </c>
      <c r="D83" s="5">
        <v>-2E-3</v>
      </c>
    </row>
    <row r="84" spans="1:9" x14ac:dyDescent="0.35">
      <c r="A84" s="15">
        <v>40817</v>
      </c>
      <c r="B84" s="6">
        <v>50.1</v>
      </c>
      <c r="C84" s="27">
        <f t="shared" si="0"/>
        <v>2.8000000000000043</v>
      </c>
    </row>
    <row r="85" spans="1:9" x14ac:dyDescent="0.35">
      <c r="A85" s="15">
        <v>40848</v>
      </c>
      <c r="B85" s="6">
        <v>48.5</v>
      </c>
      <c r="C85" s="27">
        <f t="shared" si="0"/>
        <v>-1.6000000000000014</v>
      </c>
      <c r="H85" s="64" t="s">
        <v>108</v>
      </c>
      <c r="I85" t="s">
        <v>31</v>
      </c>
    </row>
    <row r="86" spans="1:9" x14ac:dyDescent="0.35">
      <c r="A86" s="15">
        <v>40878</v>
      </c>
      <c r="B86" s="6">
        <v>49.8</v>
      </c>
      <c r="C86" s="27">
        <f t="shared" si="0"/>
        <v>1.2999999999999972</v>
      </c>
      <c r="D86" s="5">
        <v>1.0999999999999999E-2</v>
      </c>
    </row>
    <row r="87" spans="1:9" x14ac:dyDescent="0.35">
      <c r="A87" s="16">
        <v>40909</v>
      </c>
      <c r="B87" s="17">
        <v>49.3</v>
      </c>
      <c r="C87" s="28">
        <f>B87-B86</f>
        <v>-0.5</v>
      </c>
    </row>
    <row r="88" spans="1:9" x14ac:dyDescent="0.35">
      <c r="A88" s="16">
        <v>40940</v>
      </c>
      <c r="B88" s="17">
        <v>49.7</v>
      </c>
      <c r="C88" s="28">
        <f>B88-B87</f>
        <v>0.40000000000000568</v>
      </c>
    </row>
    <row r="89" spans="1:9" x14ac:dyDescent="0.35">
      <c r="A89" s="16">
        <v>40969</v>
      </c>
      <c r="B89" s="17">
        <v>51.5</v>
      </c>
      <c r="C89" s="28">
        <f t="shared" ref="C89:C114" si="1">B89-B88</f>
        <v>1.7999999999999972</v>
      </c>
      <c r="D89" s="5">
        <v>-2.5000000000000001E-2</v>
      </c>
    </row>
    <row r="90" spans="1:9" x14ac:dyDescent="0.35">
      <c r="A90" s="16">
        <v>41000</v>
      </c>
      <c r="B90" s="17">
        <v>50.1</v>
      </c>
      <c r="C90" s="28">
        <f t="shared" si="1"/>
        <v>-1.3999999999999986</v>
      </c>
    </row>
    <row r="91" spans="1:9" x14ac:dyDescent="0.35">
      <c r="A91" s="16">
        <v>41030</v>
      </c>
      <c r="B91" s="17">
        <v>51.2</v>
      </c>
      <c r="C91" s="28">
        <f t="shared" si="1"/>
        <v>1.1000000000000014</v>
      </c>
    </row>
    <row r="92" spans="1:9" x14ac:dyDescent="0.35">
      <c r="A92" s="16">
        <v>41061</v>
      </c>
      <c r="B92" s="17">
        <v>53.1</v>
      </c>
      <c r="C92" s="28">
        <f t="shared" si="1"/>
        <v>1.8999999999999986</v>
      </c>
      <c r="D92" s="5">
        <v>-1E-3</v>
      </c>
    </row>
    <row r="93" spans="1:9" x14ac:dyDescent="0.35">
      <c r="A93" s="16">
        <v>41091</v>
      </c>
      <c r="B93" s="17">
        <v>53.9</v>
      </c>
      <c r="C93" s="28">
        <f t="shared" si="1"/>
        <v>0.79999999999999716</v>
      </c>
    </row>
    <row r="94" spans="1:9" x14ac:dyDescent="0.35">
      <c r="A94" s="16">
        <v>41122</v>
      </c>
      <c r="B94" s="17">
        <v>50.9</v>
      </c>
      <c r="C94" s="28">
        <f t="shared" si="1"/>
        <v>-3</v>
      </c>
    </row>
    <row r="95" spans="1:9" x14ac:dyDescent="0.35">
      <c r="A95" s="16">
        <v>41153</v>
      </c>
      <c r="B95" s="17">
        <v>51.8</v>
      </c>
      <c r="C95" s="28">
        <f t="shared" si="1"/>
        <v>0.89999999999999858</v>
      </c>
      <c r="D95" s="5">
        <v>7.0000000000000001E-3</v>
      </c>
    </row>
    <row r="96" spans="1:9" x14ac:dyDescent="0.35">
      <c r="A96" s="16">
        <v>41183</v>
      </c>
      <c r="B96" s="17">
        <v>52.1</v>
      </c>
      <c r="C96" s="28">
        <f t="shared" si="1"/>
        <v>0.30000000000000426</v>
      </c>
    </row>
    <row r="97" spans="1:4" x14ac:dyDescent="0.35">
      <c r="A97" s="16">
        <v>41214</v>
      </c>
      <c r="B97" s="17">
        <v>52.4</v>
      </c>
      <c r="C97" s="28">
        <f t="shared" si="1"/>
        <v>0.29999999999999716</v>
      </c>
    </row>
    <row r="98" spans="1:4" x14ac:dyDescent="0.35">
      <c r="A98" s="16">
        <v>41244</v>
      </c>
      <c r="B98" s="17">
        <v>51.4</v>
      </c>
      <c r="C98" s="28">
        <f t="shared" si="1"/>
        <v>-1</v>
      </c>
      <c r="D98" s="5">
        <v>2.8000000000000001E-2</v>
      </c>
    </row>
    <row r="99" spans="1:4" x14ac:dyDescent="0.35">
      <c r="A99" s="16">
        <v>41275</v>
      </c>
      <c r="B99" s="17">
        <v>50.3</v>
      </c>
      <c r="C99" s="28">
        <f t="shared" si="1"/>
        <v>-1.1000000000000014</v>
      </c>
    </row>
    <row r="100" spans="1:4" x14ac:dyDescent="0.35">
      <c r="A100" s="16">
        <v>41306</v>
      </c>
      <c r="B100" s="17">
        <v>51.5</v>
      </c>
      <c r="C100" s="28">
        <f t="shared" si="1"/>
        <v>1.2000000000000028</v>
      </c>
    </row>
    <row r="101" spans="1:4" x14ac:dyDescent="0.35">
      <c r="A101" s="16">
        <v>41334</v>
      </c>
      <c r="B101" s="17">
        <v>48.6</v>
      </c>
      <c r="C101" s="28">
        <f t="shared" si="1"/>
        <v>-2.8999999999999986</v>
      </c>
      <c r="D101" s="5">
        <v>-3.4000000000000002E-2</v>
      </c>
    </row>
    <row r="102" spans="1:4" x14ac:dyDescent="0.35">
      <c r="A102" s="16">
        <v>41365</v>
      </c>
      <c r="B102" s="17">
        <v>48</v>
      </c>
      <c r="C102" s="28">
        <f t="shared" si="1"/>
        <v>-0.60000000000000142</v>
      </c>
    </row>
    <row r="103" spans="1:4" x14ac:dyDescent="0.35">
      <c r="A103" s="16">
        <v>41395</v>
      </c>
      <c r="B103" s="17">
        <v>49.7</v>
      </c>
      <c r="C103" s="28">
        <f t="shared" si="1"/>
        <v>1.7000000000000028</v>
      </c>
    </row>
    <row r="104" spans="1:4" x14ac:dyDescent="0.35">
      <c r="A104" s="16">
        <v>41426</v>
      </c>
      <c r="B104" s="17">
        <v>50.3</v>
      </c>
      <c r="C104" s="28">
        <f t="shared" si="1"/>
        <v>0.59999999999999432</v>
      </c>
      <c r="D104" s="5">
        <v>1E-3</v>
      </c>
    </row>
    <row r="105" spans="1:4" x14ac:dyDescent="0.35">
      <c r="A105" s="16">
        <v>41456</v>
      </c>
      <c r="B105" s="17">
        <v>51</v>
      </c>
      <c r="C105" s="28">
        <f t="shared" si="1"/>
        <v>0.70000000000000284</v>
      </c>
    </row>
    <row r="106" spans="1:4" x14ac:dyDescent="0.35">
      <c r="A106" s="16">
        <v>41487</v>
      </c>
      <c r="B106" s="17">
        <v>52</v>
      </c>
      <c r="C106" s="28">
        <f t="shared" si="1"/>
        <v>1</v>
      </c>
    </row>
    <row r="107" spans="1:4" x14ac:dyDescent="0.35">
      <c r="A107" s="16">
        <v>41518</v>
      </c>
      <c r="B107" s="17">
        <v>52.7</v>
      </c>
      <c r="C107" s="28">
        <f t="shared" si="1"/>
        <v>0.70000000000000284</v>
      </c>
      <c r="D107" s="5">
        <v>2.1999999999999999E-2</v>
      </c>
    </row>
    <row r="108" spans="1:4" x14ac:dyDescent="0.35">
      <c r="A108" s="16">
        <v>41548</v>
      </c>
      <c r="B108" s="17">
        <v>54.9</v>
      </c>
      <c r="C108" s="28">
        <f t="shared" si="1"/>
        <v>2.1999999999999957</v>
      </c>
    </row>
    <row r="109" spans="1:4" x14ac:dyDescent="0.35">
      <c r="A109" s="16">
        <v>41579</v>
      </c>
      <c r="B109" s="17">
        <v>52.4</v>
      </c>
      <c r="C109" s="28">
        <f t="shared" si="1"/>
        <v>-2.5</v>
      </c>
    </row>
    <row r="110" spans="1:4" x14ac:dyDescent="0.35">
      <c r="A110" s="16">
        <v>41609</v>
      </c>
      <c r="B110" s="17">
        <v>53.5</v>
      </c>
      <c r="C110" s="28">
        <f t="shared" si="1"/>
        <v>1.1000000000000014</v>
      </c>
      <c r="D110" s="5">
        <v>-1E-3</v>
      </c>
    </row>
    <row r="111" spans="1:4" x14ac:dyDescent="0.35">
      <c r="A111" s="16">
        <v>41640</v>
      </c>
      <c r="B111" s="17">
        <v>52.8</v>
      </c>
      <c r="C111" s="28">
        <f t="shared" si="1"/>
        <v>-0.70000000000000284</v>
      </c>
    </row>
    <row r="112" spans="1:4" x14ac:dyDescent="0.35">
      <c r="A112" s="16">
        <v>41671</v>
      </c>
      <c r="B112" s="17">
        <v>52.9</v>
      </c>
      <c r="C112" s="28">
        <f t="shared" si="1"/>
        <v>0.10000000000000142</v>
      </c>
    </row>
    <row r="113" spans="1:4" x14ac:dyDescent="0.35">
      <c r="A113" s="16">
        <v>41699</v>
      </c>
      <c r="B113" s="17">
        <v>55.5</v>
      </c>
      <c r="C113" s="28">
        <f t="shared" si="1"/>
        <v>2.6000000000000014</v>
      </c>
      <c r="D113" s="5">
        <v>2.8000000000000001E-2</v>
      </c>
    </row>
    <row r="114" spans="1:4" x14ac:dyDescent="0.35">
      <c r="A114" s="16">
        <v>41730</v>
      </c>
      <c r="B114" s="17">
        <v>56.1</v>
      </c>
      <c r="C114" s="28">
        <f t="shared" si="1"/>
        <v>0.60000000000000142</v>
      </c>
    </row>
    <row r="115" spans="1:4" x14ac:dyDescent="0.35">
      <c r="A115" s="16">
        <v>41760</v>
      </c>
      <c r="B115" s="17">
        <v>55</v>
      </c>
      <c r="C115" s="28">
        <f t="shared" ref="C115:C117" si="2">B115-B114</f>
        <v>-1.1000000000000014</v>
      </c>
    </row>
    <row r="116" spans="1:4" x14ac:dyDescent="0.35">
      <c r="A116" s="16">
        <v>41791</v>
      </c>
      <c r="B116" s="17">
        <v>55.3</v>
      </c>
      <c r="C116" s="28">
        <f t="shared" si="2"/>
        <v>0.29999999999999716</v>
      </c>
      <c r="D116" s="7">
        <v>1.4999999999999999E-2</v>
      </c>
    </row>
    <row r="117" spans="1:4" x14ac:dyDescent="0.35">
      <c r="A117" s="16">
        <v>41821</v>
      </c>
      <c r="B117" s="17">
        <v>55.4</v>
      </c>
      <c r="C117" s="28">
        <f t="shared" si="2"/>
        <v>0.10000000000000142</v>
      </c>
    </row>
    <row r="118" spans="1:4" x14ac:dyDescent="0.35">
      <c r="A118" s="16">
        <v>41852</v>
      </c>
      <c r="B118" s="17">
        <v>57.3</v>
      </c>
      <c r="C118" s="28">
        <f t="shared" ref="C118" si="3">B118-B117</f>
        <v>1.8999999999999986</v>
      </c>
    </row>
    <row r="119" spans="1:4" x14ac:dyDescent="0.35">
      <c r="A119" s="16">
        <v>41883</v>
      </c>
      <c r="B119" s="17">
        <v>55.7</v>
      </c>
      <c r="C119" s="28">
        <f>IFERROR(B119-B118,"")</f>
        <v>-1.5999999999999943</v>
      </c>
      <c r="D119" s="7" t="e">
        <f>IF(VLOOKUP($I$85,Data!$O$51:$V$152,7,FALSE)=A118,VLOOKUP($I$85,Data!$O$51:$V$152,2,FALSE)/100,#N/A)</f>
        <v>#N/A</v>
      </c>
    </row>
    <row r="120" spans="1:4" x14ac:dyDescent="0.35">
      <c r="A120" s="16">
        <v>41913</v>
      </c>
      <c r="B120" s="17">
        <v>56.6</v>
      </c>
      <c r="C120" s="28">
        <v>0.89999999999999858</v>
      </c>
    </row>
    <row r="121" spans="1:4" x14ac:dyDescent="0.35">
      <c r="A121" s="16">
        <v>41944</v>
      </c>
      <c r="B121" s="17">
        <f>IF(A121=Data!$C$1,VLOOKUP($H$85,Data!$A$2:$C$36,3,FALSE),"N/A")</f>
        <v>56.2</v>
      </c>
      <c r="C121" s="28">
        <f t="shared" ref="C121" si="4">B121-B120</f>
        <v>-0.39999999999999858</v>
      </c>
    </row>
    <row r="122" spans="1:4" x14ac:dyDescent="0.35">
      <c r="A122" s="105">
        <v>41974</v>
      </c>
      <c r="B122" s="17"/>
      <c r="C122" s="28"/>
    </row>
    <row r="123" spans="1:4" x14ac:dyDescent="0.35">
      <c r="A123" s="105">
        <v>42005</v>
      </c>
      <c r="B123" s="17"/>
      <c r="C123" s="28"/>
    </row>
    <row r="124" spans="1:4" x14ac:dyDescent="0.35">
      <c r="A124" s="105">
        <v>42036</v>
      </c>
      <c r="B124" s="17"/>
      <c r="C124" s="28"/>
    </row>
    <row r="125" spans="1:4" x14ac:dyDescent="0.35">
      <c r="A125" s="105">
        <v>42064</v>
      </c>
      <c r="B125" s="17"/>
      <c r="C125" s="28"/>
    </row>
    <row r="126" spans="1:4" x14ac:dyDescent="0.35">
      <c r="A126" s="105">
        <v>42095</v>
      </c>
      <c r="B126" s="17"/>
      <c r="C126" s="28"/>
    </row>
    <row r="127" spans="1:4" x14ac:dyDescent="0.35">
      <c r="A127" s="105">
        <v>42125</v>
      </c>
      <c r="B127" s="17"/>
      <c r="C127" s="28"/>
    </row>
    <row r="128" spans="1:4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55.9</v>
      </c>
      <c r="C155" s="107"/>
      <c r="E155" t="s">
        <v>324</v>
      </c>
    </row>
    <row r="156" spans="1:5" x14ac:dyDescent="0.35">
      <c r="A156" s="122">
        <v>46174</v>
      </c>
      <c r="B156" s="91">
        <v>54.9</v>
      </c>
      <c r="C156" s="107">
        <v>-1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123"/>
  <sheetViews>
    <sheetView topLeftCell="A2" zoomScale="70" zoomScaleNormal="70" workbookViewId="0">
      <pane ySplit="1" topLeftCell="A90" activePane="bottomLeft" state="frozen"/>
      <selection activeCell="D119" sqref="D119"/>
      <selection pane="bottomLeft" activeCell="D120" sqref="D120"/>
    </sheetView>
  </sheetViews>
  <sheetFormatPr defaultRowHeight="14.5" x14ac:dyDescent="0.35"/>
  <cols>
    <col min="1" max="1" width="9.6328125" style="25" customWidth="1"/>
    <col min="2" max="2" width="21.90625" style="25" customWidth="1"/>
    <col min="3" max="3" width="12.36328125" style="32" customWidth="1"/>
    <col min="4" max="4" width="22.36328125" style="5" customWidth="1"/>
    <col min="5" max="5" width="20" customWidth="1"/>
  </cols>
  <sheetData>
    <row r="2" spans="1:5" x14ac:dyDescent="0.35">
      <c r="A2" s="92" t="s">
        <v>0</v>
      </c>
      <c r="B2" s="33" t="s">
        <v>75</v>
      </c>
      <c r="C2" s="34" t="s">
        <v>5</v>
      </c>
      <c r="D2" s="5" t="s">
        <v>74</v>
      </c>
      <c r="E2" s="5" t="s">
        <v>73</v>
      </c>
    </row>
    <row r="3" spans="1:5" x14ac:dyDescent="0.35">
      <c r="A3" s="93">
        <v>38353</v>
      </c>
      <c r="B3" s="35">
        <v>52.1</v>
      </c>
      <c r="C3" s="36"/>
      <c r="E3" s="5"/>
    </row>
    <row r="4" spans="1:5" x14ac:dyDescent="0.35">
      <c r="A4" s="93">
        <v>38384</v>
      </c>
      <c r="B4" s="35">
        <v>52.9</v>
      </c>
      <c r="C4" s="36">
        <f>B4-B3</f>
        <v>0.79999999999999716</v>
      </c>
      <c r="E4" s="5"/>
    </row>
    <row r="5" spans="1:5" x14ac:dyDescent="0.35">
      <c r="A5" s="93">
        <v>38412</v>
      </c>
      <c r="B5" s="35">
        <v>55.2</v>
      </c>
      <c r="C5" s="36">
        <f t="shared" ref="C5:C68" si="0">B5-B4</f>
        <v>2.3000000000000043</v>
      </c>
      <c r="D5" s="5">
        <v>0.105</v>
      </c>
      <c r="E5" s="5"/>
    </row>
    <row r="6" spans="1:5" x14ac:dyDescent="0.35">
      <c r="A6" s="93">
        <v>38443</v>
      </c>
      <c r="B6" s="35">
        <v>54.4</v>
      </c>
      <c r="C6" s="36">
        <f t="shared" si="0"/>
        <v>-0.80000000000000426</v>
      </c>
      <c r="E6" s="5"/>
    </row>
    <row r="7" spans="1:5" x14ac:dyDescent="0.35">
      <c r="A7" s="93">
        <v>38473</v>
      </c>
      <c r="B7" s="35">
        <v>53.3</v>
      </c>
      <c r="C7" s="36">
        <f t="shared" si="0"/>
        <v>-1.1000000000000014</v>
      </c>
      <c r="E7" s="5"/>
    </row>
    <row r="8" spans="1:5" x14ac:dyDescent="0.35">
      <c r="A8" s="93">
        <v>38504</v>
      </c>
      <c r="B8" s="35">
        <v>51</v>
      </c>
      <c r="C8" s="36">
        <f t="shared" si="0"/>
        <v>-2.2999999999999972</v>
      </c>
      <c r="D8" s="5">
        <v>0.10100000000000001</v>
      </c>
      <c r="E8" s="5"/>
    </row>
    <row r="9" spans="1:5" x14ac:dyDescent="0.35">
      <c r="A9" s="93">
        <v>38534</v>
      </c>
      <c r="B9" s="35">
        <v>51.5</v>
      </c>
      <c r="C9" s="36">
        <f t="shared" si="0"/>
        <v>0.5</v>
      </c>
      <c r="E9" s="5"/>
    </row>
    <row r="10" spans="1:5" x14ac:dyDescent="0.35">
      <c r="A10" s="93">
        <v>38565</v>
      </c>
      <c r="B10" s="35">
        <v>50.6</v>
      </c>
      <c r="C10" s="36">
        <f t="shared" si="0"/>
        <v>-0.89999999999999858</v>
      </c>
      <c r="E10" s="5"/>
    </row>
    <row r="11" spans="1:5" x14ac:dyDescent="0.35">
      <c r="A11" s="93">
        <v>38596</v>
      </c>
      <c r="B11" s="35">
        <v>50.9</v>
      </c>
      <c r="C11" s="36">
        <f t="shared" si="0"/>
        <v>0.29999999999999716</v>
      </c>
      <c r="D11" s="5">
        <v>9.98E-2</v>
      </c>
      <c r="E11" s="5"/>
    </row>
    <row r="12" spans="1:5" x14ac:dyDescent="0.35">
      <c r="A12" s="93">
        <v>38626</v>
      </c>
      <c r="B12" s="35">
        <v>50.1</v>
      </c>
      <c r="C12" s="36">
        <f t="shared" si="0"/>
        <v>-0.79999999999999716</v>
      </c>
      <c r="E12" s="5"/>
    </row>
    <row r="13" spans="1:5" x14ac:dyDescent="0.35">
      <c r="A13" s="93">
        <v>38657</v>
      </c>
      <c r="B13" s="35">
        <v>49.8</v>
      </c>
      <c r="C13" s="36">
        <f t="shared" si="0"/>
        <v>-0.30000000000000426</v>
      </c>
      <c r="E13" s="5"/>
    </row>
    <row r="14" spans="1:5" x14ac:dyDescent="0.35">
      <c r="A14" s="93">
        <v>38687</v>
      </c>
      <c r="B14" s="35">
        <v>50.1</v>
      </c>
      <c r="C14" s="36">
        <f t="shared" si="0"/>
        <v>0.30000000000000426</v>
      </c>
      <c r="D14" s="5">
        <v>9.9000000000000005E-2</v>
      </c>
      <c r="E14" s="5"/>
    </row>
    <row r="15" spans="1:5" x14ac:dyDescent="0.35">
      <c r="A15" s="93">
        <v>38718</v>
      </c>
      <c r="B15" s="35">
        <v>50.2</v>
      </c>
      <c r="C15" s="36">
        <f t="shared" si="0"/>
        <v>0.10000000000000142</v>
      </c>
      <c r="E15" s="5"/>
    </row>
    <row r="16" spans="1:5" x14ac:dyDescent="0.35">
      <c r="A16" s="93">
        <v>38749</v>
      </c>
      <c r="B16" s="35">
        <v>50.7</v>
      </c>
      <c r="C16" s="36">
        <f t="shared" si="0"/>
        <v>0.5</v>
      </c>
      <c r="E16" s="5"/>
    </row>
    <row r="17" spans="1:5" x14ac:dyDescent="0.35">
      <c r="A17" s="93">
        <v>38777</v>
      </c>
      <c r="B17" s="35">
        <v>51</v>
      </c>
      <c r="C17" s="36">
        <f t="shared" si="0"/>
        <v>0.29999999999999716</v>
      </c>
      <c r="D17" s="5">
        <v>0.114</v>
      </c>
      <c r="E17" s="5"/>
    </row>
    <row r="18" spans="1:5" x14ac:dyDescent="0.35">
      <c r="A18" s="93">
        <v>38808</v>
      </c>
      <c r="B18" s="35">
        <v>52.7</v>
      </c>
      <c r="C18" s="36">
        <f t="shared" si="0"/>
        <v>1.7000000000000028</v>
      </c>
      <c r="E18" s="5"/>
    </row>
    <row r="19" spans="1:5" x14ac:dyDescent="0.35">
      <c r="A19" s="93">
        <v>38838</v>
      </c>
      <c r="B19" s="35">
        <v>52.8</v>
      </c>
      <c r="C19" s="36">
        <f t="shared" si="0"/>
        <v>9.9999999999994316E-2</v>
      </c>
      <c r="E19" s="5"/>
    </row>
    <row r="20" spans="1:5" x14ac:dyDescent="0.35">
      <c r="A20" s="93">
        <v>38869</v>
      </c>
      <c r="B20" s="35">
        <v>52.9</v>
      </c>
      <c r="C20" s="36">
        <f t="shared" si="0"/>
        <v>0.10000000000000142</v>
      </c>
      <c r="D20" s="5">
        <v>0.115</v>
      </c>
      <c r="E20" s="5"/>
    </row>
    <row r="21" spans="1:5" x14ac:dyDescent="0.35">
      <c r="A21" s="93">
        <v>38899</v>
      </c>
      <c r="B21" s="35">
        <v>53</v>
      </c>
      <c r="C21" s="36">
        <f t="shared" si="0"/>
        <v>0.10000000000000142</v>
      </c>
      <c r="E21" s="5"/>
    </row>
    <row r="22" spans="1:5" x14ac:dyDescent="0.35">
      <c r="A22" s="93">
        <v>38930</v>
      </c>
      <c r="B22" s="35">
        <v>52.6</v>
      </c>
      <c r="C22" s="36">
        <f t="shared" si="0"/>
        <v>-0.39999999999999858</v>
      </c>
      <c r="E22" s="5"/>
    </row>
    <row r="23" spans="1:5" x14ac:dyDescent="0.35">
      <c r="A23" s="93">
        <v>38961</v>
      </c>
      <c r="B23" s="35">
        <v>52.4</v>
      </c>
      <c r="C23" s="36">
        <f t="shared" si="0"/>
        <v>-0.20000000000000284</v>
      </c>
      <c r="D23" s="5">
        <v>0.106</v>
      </c>
      <c r="E23" s="5"/>
    </row>
    <row r="24" spans="1:5" x14ac:dyDescent="0.35">
      <c r="A24" s="93">
        <v>38991</v>
      </c>
      <c r="B24" s="35">
        <v>52.1</v>
      </c>
      <c r="C24" s="36">
        <f t="shared" si="0"/>
        <v>-0.29999999999999716</v>
      </c>
      <c r="E24" s="5"/>
    </row>
    <row r="25" spans="1:5" x14ac:dyDescent="0.35">
      <c r="A25" s="93">
        <v>39022</v>
      </c>
      <c r="B25" s="35">
        <v>53</v>
      </c>
      <c r="C25" s="36">
        <f t="shared" si="0"/>
        <v>0.89999999999999858</v>
      </c>
      <c r="E25" s="5"/>
    </row>
    <row r="26" spans="1:5" x14ac:dyDescent="0.35">
      <c r="A26" s="93">
        <v>39052</v>
      </c>
      <c r="B26" s="35">
        <v>52.4</v>
      </c>
      <c r="C26" s="36">
        <f t="shared" si="0"/>
        <v>-0.60000000000000142</v>
      </c>
      <c r="D26" s="5">
        <v>0.10400000000000001</v>
      </c>
      <c r="E26" s="5"/>
    </row>
    <row r="27" spans="1:5" x14ac:dyDescent="0.35">
      <c r="A27" s="93">
        <v>39083</v>
      </c>
      <c r="B27" s="35">
        <v>52</v>
      </c>
      <c r="C27" s="36">
        <f t="shared" si="0"/>
        <v>-0.39999999999999858</v>
      </c>
      <c r="E27" s="5"/>
    </row>
    <row r="28" spans="1:5" x14ac:dyDescent="0.35">
      <c r="A28" s="93">
        <v>39114</v>
      </c>
      <c r="B28" s="35">
        <v>53</v>
      </c>
      <c r="C28" s="36">
        <f t="shared" si="0"/>
        <v>1</v>
      </c>
      <c r="E28" s="5"/>
    </row>
    <row r="29" spans="1:5" x14ac:dyDescent="0.35">
      <c r="A29" s="93">
        <v>39142</v>
      </c>
      <c r="B29" s="35">
        <v>52.3</v>
      </c>
      <c r="C29" s="36">
        <f t="shared" si="0"/>
        <v>-0.70000000000000284</v>
      </c>
      <c r="D29" s="5">
        <v>0.13</v>
      </c>
      <c r="E29" s="5"/>
    </row>
    <row r="30" spans="1:5" x14ac:dyDescent="0.35">
      <c r="A30" s="93">
        <v>39173</v>
      </c>
      <c r="B30" s="35">
        <v>53.3</v>
      </c>
      <c r="C30" s="36">
        <f t="shared" si="0"/>
        <v>1</v>
      </c>
      <c r="E30" s="5"/>
    </row>
    <row r="31" spans="1:5" x14ac:dyDescent="0.35">
      <c r="A31" s="93">
        <v>39203</v>
      </c>
      <c r="B31" s="35">
        <v>54.1</v>
      </c>
      <c r="C31" s="36">
        <f t="shared" si="0"/>
        <v>0.80000000000000426</v>
      </c>
      <c r="E31" s="5"/>
    </row>
    <row r="32" spans="1:5" x14ac:dyDescent="0.35">
      <c r="A32" s="93">
        <v>39234</v>
      </c>
      <c r="B32" s="35">
        <v>55</v>
      </c>
      <c r="C32" s="36">
        <f t="shared" si="0"/>
        <v>0.89999999999999858</v>
      </c>
      <c r="D32" s="5">
        <v>0.126</v>
      </c>
      <c r="E32" s="5"/>
    </row>
    <row r="33" spans="1:5" x14ac:dyDescent="0.35">
      <c r="A33" s="93">
        <v>39264</v>
      </c>
      <c r="B33" s="35">
        <v>53.2</v>
      </c>
      <c r="C33" s="36">
        <f t="shared" si="0"/>
        <v>-1.7999999999999972</v>
      </c>
      <c r="E33" s="5"/>
    </row>
    <row r="34" spans="1:5" x14ac:dyDescent="0.35">
      <c r="A34" s="93">
        <v>39295</v>
      </c>
      <c r="B34" s="35">
        <v>53.4</v>
      </c>
      <c r="C34" s="36">
        <f t="shared" si="0"/>
        <v>0.19999999999999574</v>
      </c>
      <c r="E34" s="5"/>
    </row>
    <row r="35" spans="1:5" x14ac:dyDescent="0.35">
      <c r="A35" s="93">
        <v>39326</v>
      </c>
      <c r="B35" s="35">
        <v>55</v>
      </c>
      <c r="C35" s="36">
        <f t="shared" si="0"/>
        <v>1.6000000000000014</v>
      </c>
      <c r="D35" s="5">
        <v>0.115</v>
      </c>
      <c r="E35" s="5"/>
    </row>
    <row r="36" spans="1:5" x14ac:dyDescent="0.35">
      <c r="A36" s="93">
        <v>39356</v>
      </c>
      <c r="B36" s="35">
        <v>55.2</v>
      </c>
      <c r="C36" s="36">
        <f t="shared" si="0"/>
        <v>0.20000000000000284</v>
      </c>
      <c r="E36" s="5"/>
    </row>
    <row r="37" spans="1:5" x14ac:dyDescent="0.35">
      <c r="A37" s="93">
        <v>39387</v>
      </c>
      <c r="B37" s="35">
        <v>52.8</v>
      </c>
      <c r="C37" s="36">
        <f t="shared" si="0"/>
        <v>-2.4000000000000057</v>
      </c>
      <c r="E37" s="5"/>
    </row>
    <row r="38" spans="1:5" x14ac:dyDescent="0.35">
      <c r="A38" s="93">
        <v>39417</v>
      </c>
      <c r="B38" s="35">
        <v>53.3</v>
      </c>
      <c r="C38" s="36">
        <f t="shared" si="0"/>
        <v>0.5</v>
      </c>
      <c r="D38" s="5">
        <v>0.11199999999999999</v>
      </c>
      <c r="E38" s="5"/>
    </row>
    <row r="39" spans="1:5" x14ac:dyDescent="0.35">
      <c r="A39" s="93">
        <v>39448</v>
      </c>
      <c r="B39" s="35">
        <v>53.2</v>
      </c>
      <c r="C39" s="36">
        <f t="shared" si="0"/>
        <v>-9.9999999999994316E-2</v>
      </c>
      <c r="E39" s="5"/>
    </row>
    <row r="40" spans="1:5" x14ac:dyDescent="0.35">
      <c r="A40" s="93">
        <v>39479</v>
      </c>
      <c r="B40" s="35">
        <v>52.8</v>
      </c>
      <c r="C40" s="36">
        <f t="shared" si="0"/>
        <v>-0.40000000000000568</v>
      </c>
      <c r="E40" s="5"/>
    </row>
    <row r="41" spans="1:5" x14ac:dyDescent="0.35">
      <c r="A41" s="93">
        <v>39508</v>
      </c>
      <c r="B41" s="35">
        <v>54.4</v>
      </c>
      <c r="C41" s="36">
        <f t="shared" si="0"/>
        <v>1.6000000000000014</v>
      </c>
      <c r="D41" s="5">
        <v>0.106</v>
      </c>
      <c r="E41" s="5"/>
    </row>
    <row r="42" spans="1:5" x14ac:dyDescent="0.35">
      <c r="A42" s="93">
        <v>39539</v>
      </c>
      <c r="B42" s="35">
        <v>55.4</v>
      </c>
      <c r="C42" s="36">
        <f t="shared" si="0"/>
        <v>1</v>
      </c>
      <c r="E42" s="5"/>
    </row>
    <row r="43" spans="1:5" x14ac:dyDescent="0.35">
      <c r="A43" s="93">
        <v>39569</v>
      </c>
      <c r="B43" s="35">
        <v>54.7</v>
      </c>
      <c r="C43" s="36">
        <f t="shared" si="0"/>
        <v>-0.69999999999999574</v>
      </c>
      <c r="E43" s="5"/>
    </row>
    <row r="44" spans="1:5" x14ac:dyDescent="0.35">
      <c r="A44" s="93">
        <v>39600</v>
      </c>
      <c r="B44" s="35">
        <v>53.3</v>
      </c>
      <c r="C44" s="36">
        <f t="shared" si="0"/>
        <v>-1.4000000000000057</v>
      </c>
      <c r="D44" s="5">
        <v>0.10099999999999999</v>
      </c>
      <c r="E44" s="5"/>
    </row>
    <row r="45" spans="1:5" x14ac:dyDescent="0.35">
      <c r="A45" s="93">
        <v>39630</v>
      </c>
      <c r="B45" s="35">
        <v>53.3</v>
      </c>
      <c r="C45" s="36">
        <f t="shared" si="0"/>
        <v>0</v>
      </c>
      <c r="E45" s="5"/>
    </row>
    <row r="46" spans="1:5" x14ac:dyDescent="0.35">
      <c r="A46" s="93">
        <v>39661</v>
      </c>
      <c r="B46" s="35">
        <v>49.2</v>
      </c>
      <c r="C46" s="36">
        <f t="shared" si="0"/>
        <v>-4.0999999999999943</v>
      </c>
      <c r="E46" s="5"/>
    </row>
    <row r="47" spans="1:5" x14ac:dyDescent="0.35">
      <c r="A47" s="93">
        <v>39692</v>
      </c>
      <c r="B47" s="35">
        <v>47.7</v>
      </c>
      <c r="C47" s="36">
        <f t="shared" si="0"/>
        <v>-1.5</v>
      </c>
      <c r="D47" s="5">
        <v>0.09</v>
      </c>
      <c r="E47" s="5"/>
    </row>
    <row r="48" spans="1:5" x14ac:dyDescent="0.35">
      <c r="A48" s="93">
        <v>39722</v>
      </c>
      <c r="B48" s="35">
        <v>45.2</v>
      </c>
      <c r="C48" s="36">
        <f t="shared" si="0"/>
        <v>-2.5</v>
      </c>
      <c r="E48" s="5"/>
    </row>
    <row r="49" spans="1:5" x14ac:dyDescent="0.35">
      <c r="A49" s="93">
        <v>39753</v>
      </c>
      <c r="B49" s="35">
        <v>40.9</v>
      </c>
      <c r="C49" s="36">
        <f t="shared" si="0"/>
        <v>-4.3000000000000043</v>
      </c>
      <c r="E49" s="5"/>
    </row>
    <row r="50" spans="1:5" x14ac:dyDescent="0.35">
      <c r="A50" s="93">
        <v>39783</v>
      </c>
      <c r="B50" s="35">
        <v>41.2</v>
      </c>
      <c r="C50" s="36">
        <f t="shared" si="0"/>
        <v>0.30000000000000426</v>
      </c>
      <c r="D50" s="5">
        <v>6.8000000000000005E-2</v>
      </c>
      <c r="E50" s="5"/>
    </row>
    <row r="51" spans="1:5" x14ac:dyDescent="0.35">
      <c r="A51" s="93">
        <v>39814</v>
      </c>
      <c r="B51" s="35">
        <v>42.2</v>
      </c>
      <c r="C51" s="36">
        <f t="shared" si="0"/>
        <v>1</v>
      </c>
      <c r="E51" s="5"/>
    </row>
    <row r="52" spans="1:5" x14ac:dyDescent="0.35">
      <c r="A52" s="93">
        <v>39845</v>
      </c>
      <c r="B52" s="35">
        <v>45.1</v>
      </c>
      <c r="C52" s="36">
        <f t="shared" si="0"/>
        <v>2.8999999999999986</v>
      </c>
      <c r="E52" s="5"/>
    </row>
    <row r="53" spans="1:5" x14ac:dyDescent="0.35">
      <c r="A53" s="93">
        <v>39873</v>
      </c>
      <c r="B53" s="35">
        <v>44.8</v>
      </c>
      <c r="C53" s="36">
        <f t="shared" si="0"/>
        <v>-0.30000000000000426</v>
      </c>
      <c r="D53" s="5">
        <v>6.2E-2</v>
      </c>
      <c r="E53" s="5"/>
    </row>
    <row r="54" spans="1:5" x14ac:dyDescent="0.35">
      <c r="A54" s="93">
        <v>39904</v>
      </c>
      <c r="B54" s="35">
        <v>50.1</v>
      </c>
      <c r="C54" s="36">
        <f t="shared" si="0"/>
        <v>5.3000000000000043</v>
      </c>
      <c r="E54" s="5"/>
    </row>
    <row r="55" spans="1:5" x14ac:dyDescent="0.35">
      <c r="A55" s="93">
        <v>39934</v>
      </c>
      <c r="B55" s="35">
        <v>51.2</v>
      </c>
      <c r="C55" s="36">
        <f t="shared" si="0"/>
        <v>1.1000000000000014</v>
      </c>
      <c r="E55" s="5"/>
    </row>
    <row r="56" spans="1:5" x14ac:dyDescent="0.35">
      <c r="A56" s="93">
        <v>39965</v>
      </c>
      <c r="B56" s="35">
        <v>51.8</v>
      </c>
      <c r="C56" s="36">
        <f t="shared" si="0"/>
        <v>0.59999999999999432</v>
      </c>
      <c r="D56" s="5">
        <v>7.9000000000000001E-2</v>
      </c>
      <c r="E56" s="5"/>
    </row>
    <row r="57" spans="1:5" x14ac:dyDescent="0.35">
      <c r="A57" s="93">
        <v>39995</v>
      </c>
      <c r="B57" s="35">
        <v>52.8</v>
      </c>
      <c r="C57" s="36">
        <f t="shared" si="0"/>
        <v>1</v>
      </c>
      <c r="E57" s="5"/>
    </row>
    <row r="58" spans="1:5" x14ac:dyDescent="0.35">
      <c r="A58" s="93">
        <v>40026</v>
      </c>
      <c r="B58" s="35">
        <v>55.1</v>
      </c>
      <c r="C58" s="36">
        <f t="shared" si="0"/>
        <v>2.3000000000000043</v>
      </c>
      <c r="E58" s="5"/>
    </row>
    <row r="59" spans="1:5" x14ac:dyDescent="0.35">
      <c r="A59" s="93">
        <v>40057</v>
      </c>
      <c r="B59" s="35">
        <v>55</v>
      </c>
      <c r="C59" s="36">
        <f t="shared" si="0"/>
        <v>-0.10000000000000142</v>
      </c>
      <c r="D59" s="5">
        <v>9.0999999999999998E-2</v>
      </c>
      <c r="E59" s="5"/>
    </row>
    <row r="60" spans="1:5" x14ac:dyDescent="0.35">
      <c r="A60" s="93">
        <v>40087</v>
      </c>
      <c r="B60" s="35">
        <v>55.4</v>
      </c>
      <c r="C60" s="36">
        <f t="shared" si="0"/>
        <v>0.39999999999999858</v>
      </c>
      <c r="E60" s="5"/>
    </row>
    <row r="61" spans="1:5" x14ac:dyDescent="0.35">
      <c r="A61" s="93">
        <v>40118</v>
      </c>
      <c r="B61" s="35">
        <v>55.7</v>
      </c>
      <c r="C61" s="36">
        <f t="shared" si="0"/>
        <v>0.30000000000000426</v>
      </c>
      <c r="E61" s="5"/>
    </row>
    <row r="62" spans="1:5" x14ac:dyDescent="0.35">
      <c r="A62" s="93">
        <v>40148</v>
      </c>
      <c r="B62" s="35">
        <v>56.1</v>
      </c>
      <c r="C62" s="36">
        <f t="shared" si="0"/>
        <v>0.39999999999999858</v>
      </c>
      <c r="D62" s="5">
        <v>0.107</v>
      </c>
      <c r="E62" s="5"/>
    </row>
    <row r="63" spans="1:5" x14ac:dyDescent="0.35">
      <c r="A63" s="93">
        <v>40179</v>
      </c>
      <c r="B63" s="35">
        <v>57.4</v>
      </c>
      <c r="C63" s="36">
        <f t="shared" si="0"/>
        <v>1.2999999999999972</v>
      </c>
      <c r="E63" s="5"/>
    </row>
    <row r="64" spans="1:5" x14ac:dyDescent="0.35">
      <c r="A64" s="93">
        <v>40210</v>
      </c>
      <c r="B64" s="35">
        <v>55.8</v>
      </c>
      <c r="C64" s="36">
        <f t="shared" si="0"/>
        <v>-1.6000000000000014</v>
      </c>
      <c r="E64" s="5"/>
    </row>
    <row r="65" spans="1:5" x14ac:dyDescent="0.35">
      <c r="A65" s="93">
        <v>40238</v>
      </c>
      <c r="B65" s="35">
        <v>57</v>
      </c>
      <c r="C65" s="36">
        <f t="shared" si="0"/>
        <v>1.2000000000000028</v>
      </c>
      <c r="D65" s="5">
        <v>0.11899999999999999</v>
      </c>
      <c r="E65" s="5"/>
    </row>
    <row r="66" spans="1:5" x14ac:dyDescent="0.35">
      <c r="A66" s="93">
        <v>40269</v>
      </c>
      <c r="B66" s="35">
        <v>55.4</v>
      </c>
      <c r="C66" s="36">
        <f t="shared" si="0"/>
        <v>-1.6000000000000014</v>
      </c>
      <c r="E66" s="5"/>
    </row>
    <row r="67" spans="1:5" x14ac:dyDescent="0.35">
      <c r="A67" s="93">
        <v>40299</v>
      </c>
      <c r="B67" s="35">
        <v>52.7</v>
      </c>
      <c r="C67" s="36">
        <f t="shared" si="0"/>
        <v>-2.6999999999999957</v>
      </c>
      <c r="E67" s="5"/>
    </row>
    <row r="68" spans="1:5" x14ac:dyDescent="0.35">
      <c r="A68" s="93">
        <v>40330</v>
      </c>
      <c r="B68" s="35">
        <v>50.4</v>
      </c>
      <c r="C68" s="36">
        <f t="shared" si="0"/>
        <v>-2.3000000000000043</v>
      </c>
      <c r="D68" s="5">
        <v>0.10299999999999999</v>
      </c>
      <c r="E68" s="5"/>
    </row>
    <row r="69" spans="1:5" x14ac:dyDescent="0.35">
      <c r="A69" s="93">
        <v>40360</v>
      </c>
      <c r="B69" s="35">
        <v>49.4</v>
      </c>
      <c r="C69" s="36">
        <f t="shared" ref="C69:C115" si="1">B69-B68</f>
        <v>-1</v>
      </c>
      <c r="E69" s="5"/>
    </row>
    <row r="70" spans="1:5" x14ac:dyDescent="0.35">
      <c r="A70" s="93">
        <v>40391</v>
      </c>
      <c r="B70" s="35">
        <v>51.9</v>
      </c>
      <c r="C70" s="36">
        <f t="shared" si="1"/>
        <v>2.5</v>
      </c>
      <c r="E70" s="5"/>
    </row>
    <row r="71" spans="1:5" x14ac:dyDescent="0.35">
      <c r="A71" s="93">
        <v>40422</v>
      </c>
      <c r="B71" s="35">
        <v>52.9</v>
      </c>
      <c r="C71" s="36">
        <f t="shared" si="1"/>
        <v>1</v>
      </c>
      <c r="D71" s="5">
        <v>9.6000000000000002E-2</v>
      </c>
      <c r="E71" s="5"/>
    </row>
    <row r="72" spans="1:5" x14ac:dyDescent="0.35">
      <c r="A72" s="93">
        <v>40452</v>
      </c>
      <c r="B72" s="35">
        <v>54.8</v>
      </c>
      <c r="C72" s="36">
        <f t="shared" si="1"/>
        <v>1.8999999999999986</v>
      </c>
      <c r="E72" s="5"/>
    </row>
    <row r="73" spans="1:5" x14ac:dyDescent="0.35">
      <c r="A73" s="93">
        <v>40483</v>
      </c>
      <c r="B73" s="35">
        <v>55.3</v>
      </c>
      <c r="C73" s="36">
        <f t="shared" si="1"/>
        <v>0.5</v>
      </c>
      <c r="E73" s="5"/>
    </row>
    <row r="74" spans="1:5" x14ac:dyDescent="0.35">
      <c r="A74" s="93">
        <v>40513</v>
      </c>
      <c r="B74" s="35">
        <v>54.4</v>
      </c>
      <c r="C74" s="36">
        <f t="shared" si="1"/>
        <v>-0.89999999999999858</v>
      </c>
      <c r="D74" s="5">
        <v>9.8000000000000004E-2</v>
      </c>
      <c r="E74" s="5">
        <v>2.4E-2</v>
      </c>
    </row>
    <row r="75" spans="1:5" x14ac:dyDescent="0.35">
      <c r="A75" s="93">
        <v>40544</v>
      </c>
      <c r="B75" s="35">
        <v>54.5</v>
      </c>
      <c r="C75" s="36">
        <f t="shared" si="1"/>
        <v>0.10000000000000142</v>
      </c>
      <c r="E75" s="5"/>
    </row>
    <row r="76" spans="1:5" x14ac:dyDescent="0.35">
      <c r="A76" s="93">
        <v>40575</v>
      </c>
      <c r="B76" s="35">
        <v>51.7</v>
      </c>
      <c r="C76" s="36">
        <f t="shared" si="1"/>
        <v>-2.7999999999999972</v>
      </c>
      <c r="E76" s="5"/>
    </row>
    <row r="77" spans="1:5" x14ac:dyDescent="0.35">
      <c r="A77" s="93">
        <v>40603</v>
      </c>
      <c r="B77" s="35">
        <v>51.8</v>
      </c>
      <c r="C77" s="36">
        <f t="shared" si="1"/>
        <v>9.9999999999994316E-2</v>
      </c>
      <c r="D77" s="5">
        <v>9.7000000000000003E-2</v>
      </c>
      <c r="E77" s="5">
        <v>2.3E-2</v>
      </c>
    </row>
    <row r="78" spans="1:5" x14ac:dyDescent="0.35">
      <c r="A78" s="93">
        <v>40634</v>
      </c>
      <c r="B78" s="35">
        <v>51.8</v>
      </c>
      <c r="C78" s="36">
        <f t="shared" si="1"/>
        <v>0</v>
      </c>
      <c r="E78" s="5"/>
    </row>
    <row r="79" spans="1:5" x14ac:dyDescent="0.35">
      <c r="A79" s="93">
        <v>40664</v>
      </c>
      <c r="B79" s="35">
        <v>51.6</v>
      </c>
      <c r="C79" s="36">
        <f t="shared" si="1"/>
        <v>-0.19999999999999574</v>
      </c>
      <c r="E79" s="5"/>
    </row>
    <row r="80" spans="1:5" x14ac:dyDescent="0.35">
      <c r="A80" s="93">
        <v>40695</v>
      </c>
      <c r="B80" s="35">
        <v>50.1</v>
      </c>
      <c r="C80" s="36">
        <f t="shared" si="1"/>
        <v>-1.5</v>
      </c>
      <c r="D80" s="5">
        <v>9.5000000000000001E-2</v>
      </c>
      <c r="E80" s="5">
        <v>2.5000000000000001E-2</v>
      </c>
    </row>
    <row r="81" spans="1:9" x14ac:dyDescent="0.35">
      <c r="A81" s="93">
        <v>40725</v>
      </c>
      <c r="B81" s="35">
        <v>49.3</v>
      </c>
      <c r="C81" s="36">
        <f t="shared" si="1"/>
        <v>-0.80000000000000426</v>
      </c>
      <c r="E81" s="5"/>
    </row>
    <row r="82" spans="1:9" x14ac:dyDescent="0.35">
      <c r="A82" s="93">
        <v>40756</v>
      </c>
      <c r="B82" s="35">
        <v>49.9</v>
      </c>
      <c r="C82" s="36">
        <f t="shared" si="1"/>
        <v>0.60000000000000142</v>
      </c>
      <c r="E82" s="5"/>
    </row>
    <row r="83" spans="1:9" x14ac:dyDescent="0.35">
      <c r="A83" s="93">
        <v>40787</v>
      </c>
      <c r="B83" s="35">
        <v>49.9</v>
      </c>
      <c r="C83" s="36">
        <f t="shared" si="1"/>
        <v>0</v>
      </c>
      <c r="D83" s="5">
        <v>9.0999999999999998E-2</v>
      </c>
      <c r="E83" s="5">
        <v>2.1999999999999999E-2</v>
      </c>
    </row>
    <row r="84" spans="1:9" x14ac:dyDescent="0.35">
      <c r="A84" s="93">
        <v>40817</v>
      </c>
      <c r="B84" s="35">
        <v>51</v>
      </c>
      <c r="C84" s="36">
        <f t="shared" si="1"/>
        <v>1.1000000000000014</v>
      </c>
      <c r="E84" s="5"/>
    </row>
    <row r="85" spans="1:9" x14ac:dyDescent="0.35">
      <c r="A85" s="93">
        <v>40848</v>
      </c>
      <c r="B85" s="35">
        <v>47.7</v>
      </c>
      <c r="C85" s="36">
        <f t="shared" si="1"/>
        <v>-3.2999999999999972</v>
      </c>
      <c r="E85" s="5"/>
      <c r="H85" s="64" t="s">
        <v>109</v>
      </c>
      <c r="I85" t="s">
        <v>85</v>
      </c>
    </row>
    <row r="86" spans="1:9" x14ac:dyDescent="0.35">
      <c r="A86" s="93">
        <v>40878</v>
      </c>
      <c r="B86" s="35">
        <v>48.7</v>
      </c>
      <c r="C86" s="36">
        <f t="shared" si="1"/>
        <v>1</v>
      </c>
      <c r="D86" s="5">
        <v>8.8999999999999996E-2</v>
      </c>
      <c r="E86" s="5">
        <v>1.7999999999999999E-2</v>
      </c>
    </row>
    <row r="87" spans="1:9" x14ac:dyDescent="0.35">
      <c r="A87" s="93">
        <v>40909</v>
      </c>
      <c r="B87" s="35">
        <v>48.8</v>
      </c>
      <c r="C87" s="36">
        <f t="shared" si="1"/>
        <v>9.9999999999994316E-2</v>
      </c>
      <c r="E87" s="5"/>
    </row>
    <row r="88" spans="1:9" x14ac:dyDescent="0.35">
      <c r="A88" s="93">
        <v>40940</v>
      </c>
      <c r="B88" s="35">
        <v>49.6</v>
      </c>
      <c r="C88" s="36">
        <f t="shared" si="1"/>
        <v>0.80000000000000426</v>
      </c>
      <c r="E88" s="5"/>
    </row>
    <row r="89" spans="1:9" x14ac:dyDescent="0.35">
      <c r="A89" s="93">
        <v>40969</v>
      </c>
      <c r="B89" s="35">
        <v>48.3</v>
      </c>
      <c r="C89" s="36">
        <f t="shared" si="1"/>
        <v>-1.3000000000000043</v>
      </c>
      <c r="D89" s="5">
        <v>8.1000000000000003E-2</v>
      </c>
      <c r="E89" s="5">
        <v>1.4E-2</v>
      </c>
    </row>
    <row r="90" spans="1:9" x14ac:dyDescent="0.35">
      <c r="A90" s="93">
        <v>41000</v>
      </c>
      <c r="B90" s="35">
        <v>49.3</v>
      </c>
      <c r="C90" s="36">
        <f t="shared" si="1"/>
        <v>1</v>
      </c>
      <c r="E90" s="5"/>
    </row>
    <row r="91" spans="1:9" x14ac:dyDescent="0.35">
      <c r="A91" s="93">
        <v>41031</v>
      </c>
      <c r="B91" s="35">
        <v>48.4</v>
      </c>
      <c r="C91" s="36">
        <f t="shared" si="1"/>
        <v>-0.89999999999999858</v>
      </c>
      <c r="E91" s="5"/>
    </row>
    <row r="92" spans="1:9" x14ac:dyDescent="0.35">
      <c r="A92" s="93">
        <v>41063</v>
      </c>
      <c r="B92" s="35">
        <v>48.2</v>
      </c>
      <c r="C92" s="36">
        <f t="shared" si="1"/>
        <v>-0.19999999999999574</v>
      </c>
      <c r="D92" s="5">
        <v>7.5999999999999998E-2</v>
      </c>
      <c r="E92" s="5">
        <v>2.1000000000000001E-2</v>
      </c>
    </row>
    <row r="93" spans="1:9" x14ac:dyDescent="0.35">
      <c r="A93" s="93">
        <v>41094</v>
      </c>
      <c r="B93" s="35">
        <v>49.3</v>
      </c>
      <c r="C93" s="36">
        <f t="shared" si="1"/>
        <v>1.0999999999999943</v>
      </c>
      <c r="E93" s="5"/>
    </row>
    <row r="94" spans="1:9" x14ac:dyDescent="0.35">
      <c r="A94" s="93">
        <v>41126</v>
      </c>
      <c r="B94" s="35">
        <v>47.7</v>
      </c>
      <c r="C94" s="36">
        <f t="shared" si="1"/>
        <v>-1.5999999999999943</v>
      </c>
      <c r="E94" s="5"/>
    </row>
    <row r="95" spans="1:9" x14ac:dyDescent="0.35">
      <c r="A95" s="93">
        <v>41158</v>
      </c>
      <c r="B95" s="37">
        <v>47.9</v>
      </c>
      <c r="C95" s="38">
        <f t="shared" si="1"/>
        <v>0.19999999999999574</v>
      </c>
      <c r="D95" s="5">
        <v>7.3999999999999996E-2</v>
      </c>
      <c r="E95" s="5">
        <v>0.02</v>
      </c>
    </row>
    <row r="96" spans="1:9" x14ac:dyDescent="0.35">
      <c r="A96" s="93">
        <v>41189</v>
      </c>
      <c r="B96" s="37">
        <v>49.5</v>
      </c>
      <c r="C96" s="38">
        <f t="shared" si="1"/>
        <v>1.6000000000000014</v>
      </c>
      <c r="E96" s="5"/>
    </row>
    <row r="97" spans="1:5" x14ac:dyDescent="0.35">
      <c r="A97" s="93">
        <v>41221</v>
      </c>
      <c r="B97" s="39">
        <v>50.5</v>
      </c>
      <c r="C97" s="38">
        <f t="shared" si="1"/>
        <v>1</v>
      </c>
      <c r="E97" s="5"/>
    </row>
    <row r="98" spans="1:5" x14ac:dyDescent="0.35">
      <c r="A98" s="93">
        <v>41252</v>
      </c>
      <c r="B98" s="39">
        <v>51.5</v>
      </c>
      <c r="C98" s="38">
        <f t="shared" si="1"/>
        <v>1</v>
      </c>
      <c r="D98" s="5">
        <v>7.9000000000000001E-2</v>
      </c>
      <c r="E98" s="5">
        <v>1.9E-2</v>
      </c>
    </row>
    <row r="99" spans="1:5" x14ac:dyDescent="0.35">
      <c r="A99" s="93">
        <v>41275</v>
      </c>
      <c r="B99" s="39">
        <v>52.3</v>
      </c>
      <c r="C99" s="38">
        <f t="shared" si="1"/>
        <v>0.79999999999999716</v>
      </c>
      <c r="E99" s="5"/>
    </row>
    <row r="100" spans="1:5" x14ac:dyDescent="0.35">
      <c r="A100" s="93">
        <v>41307</v>
      </c>
      <c r="B100" s="39">
        <v>50.4</v>
      </c>
      <c r="C100" s="40">
        <f t="shared" si="1"/>
        <v>-1.8999999999999986</v>
      </c>
      <c r="E100" s="5"/>
    </row>
    <row r="101" spans="1:5" x14ac:dyDescent="0.35">
      <c r="A101" s="93">
        <v>41336</v>
      </c>
      <c r="B101" s="39">
        <v>51.6</v>
      </c>
      <c r="C101" s="38">
        <f t="shared" si="1"/>
        <v>1.2000000000000028</v>
      </c>
      <c r="D101" s="5">
        <v>7.6999999999999999E-2</v>
      </c>
      <c r="E101" s="5">
        <v>1.4999999999999999E-2</v>
      </c>
    </row>
    <row r="102" spans="1:5" x14ac:dyDescent="0.35">
      <c r="A102" s="93">
        <v>41368</v>
      </c>
      <c r="B102" s="39">
        <v>50.4</v>
      </c>
      <c r="C102" s="40">
        <f t="shared" si="1"/>
        <v>-1.2000000000000028</v>
      </c>
      <c r="E102" s="5"/>
    </row>
    <row r="103" spans="1:5" x14ac:dyDescent="0.35">
      <c r="A103" s="93">
        <v>41399</v>
      </c>
      <c r="B103" s="37">
        <v>49.2</v>
      </c>
      <c r="C103" s="40">
        <f t="shared" si="1"/>
        <v>-1.1999999999999957</v>
      </c>
      <c r="E103" s="5"/>
    </row>
    <row r="104" spans="1:5" x14ac:dyDescent="0.35">
      <c r="A104" s="93">
        <v>41431</v>
      </c>
      <c r="B104" s="37">
        <v>48.2</v>
      </c>
      <c r="C104" s="40">
        <f t="shared" si="1"/>
        <v>-1</v>
      </c>
      <c r="D104" s="5">
        <v>7.4999999999999997E-2</v>
      </c>
      <c r="E104" s="5">
        <v>1.7999999999999999E-2</v>
      </c>
    </row>
    <row r="105" spans="1:5" x14ac:dyDescent="0.35">
      <c r="A105" s="93">
        <v>41462</v>
      </c>
      <c r="B105" s="37">
        <v>47.7</v>
      </c>
      <c r="C105" s="40">
        <f t="shared" si="1"/>
        <v>-0.5</v>
      </c>
      <c r="E105" s="5"/>
    </row>
    <row r="106" spans="1:5" x14ac:dyDescent="0.35">
      <c r="A106" s="93">
        <v>41493</v>
      </c>
      <c r="B106" s="39">
        <v>50.1</v>
      </c>
      <c r="C106" s="38">
        <f t="shared" si="1"/>
        <v>2.3999999999999986</v>
      </c>
      <c r="E106" s="5"/>
    </row>
    <row r="107" spans="1:5" x14ac:dyDescent="0.35">
      <c r="A107" s="93">
        <v>41524</v>
      </c>
      <c r="B107" s="39">
        <v>50.2</v>
      </c>
      <c r="C107" s="38">
        <f t="shared" si="1"/>
        <v>0.10000000000000142</v>
      </c>
      <c r="D107" s="5">
        <v>7.8E-2</v>
      </c>
      <c r="E107" s="5">
        <v>2.3E-2</v>
      </c>
    </row>
    <row r="108" spans="1:5" x14ac:dyDescent="0.35">
      <c r="A108" s="93">
        <v>41554</v>
      </c>
      <c r="B108" s="39">
        <v>50.9</v>
      </c>
      <c r="C108" s="38">
        <f t="shared" si="1"/>
        <v>0.69999999999999574</v>
      </c>
      <c r="E108" s="5"/>
    </row>
    <row r="109" spans="1:5" x14ac:dyDescent="0.35">
      <c r="A109" s="93">
        <v>41585</v>
      </c>
      <c r="B109" s="39">
        <v>50.8</v>
      </c>
      <c r="C109" s="40">
        <f t="shared" si="1"/>
        <v>-0.10000000000000142</v>
      </c>
      <c r="E109" s="5"/>
    </row>
    <row r="110" spans="1:5" x14ac:dyDescent="0.35">
      <c r="A110" s="93">
        <v>41615</v>
      </c>
      <c r="B110" s="39">
        <v>50.5</v>
      </c>
      <c r="C110" s="40">
        <f t="shared" si="1"/>
        <v>-0.29999999999999716</v>
      </c>
      <c r="D110" s="5">
        <v>7.6999999999999999E-2</v>
      </c>
      <c r="E110" s="5">
        <v>1.7000000000000001E-2</v>
      </c>
    </row>
    <row r="111" spans="1:5" x14ac:dyDescent="0.35">
      <c r="A111" s="93">
        <v>41640</v>
      </c>
      <c r="B111" s="39">
        <v>49.5</v>
      </c>
      <c r="C111" s="40">
        <f t="shared" si="1"/>
        <v>-1</v>
      </c>
      <c r="E111" s="5"/>
    </row>
    <row r="112" spans="1:5" x14ac:dyDescent="0.35">
      <c r="A112" s="93">
        <v>41671</v>
      </c>
      <c r="B112" s="37">
        <v>48.5</v>
      </c>
      <c r="C112" s="38">
        <f t="shared" si="1"/>
        <v>-1</v>
      </c>
      <c r="E112" s="5"/>
    </row>
    <row r="113" spans="1:5" x14ac:dyDescent="0.35">
      <c r="A113" s="93">
        <v>41699</v>
      </c>
      <c r="B113" s="39">
        <v>48</v>
      </c>
      <c r="C113" s="40">
        <f t="shared" si="1"/>
        <v>-0.5</v>
      </c>
      <c r="D113" s="5">
        <v>7.3999999999999996E-2</v>
      </c>
      <c r="E113" s="5">
        <v>1.4E-2</v>
      </c>
    </row>
    <row r="114" spans="1:5" x14ac:dyDescent="0.35">
      <c r="A114" s="93">
        <v>41730</v>
      </c>
      <c r="B114" s="39">
        <v>48.1</v>
      </c>
      <c r="C114" s="40">
        <f t="shared" si="1"/>
        <v>0.10000000000000142</v>
      </c>
      <c r="E114" s="5"/>
    </row>
    <row r="115" spans="1:5" x14ac:dyDescent="0.35">
      <c r="A115" s="93">
        <v>41760</v>
      </c>
      <c r="B115" s="39">
        <v>49.4</v>
      </c>
      <c r="C115" s="40">
        <f t="shared" si="1"/>
        <v>1.2999999999999972</v>
      </c>
      <c r="E115" s="5"/>
    </row>
    <row r="116" spans="1:5" x14ac:dyDescent="0.35">
      <c r="A116" s="93">
        <v>41791</v>
      </c>
      <c r="B116" s="39">
        <v>50.7</v>
      </c>
      <c r="C116" s="38">
        <f t="shared" ref="C116:C118" si="2">B116-B115</f>
        <v>1.3000000000000043</v>
      </c>
      <c r="D116" s="5">
        <v>7.4999999999999997E-2</v>
      </c>
      <c r="E116" s="7">
        <v>0.02</v>
      </c>
    </row>
    <row r="117" spans="1:5" x14ac:dyDescent="0.35">
      <c r="A117" s="93">
        <v>41821</v>
      </c>
      <c r="B117" s="39">
        <v>51.7</v>
      </c>
      <c r="C117" s="40">
        <f t="shared" si="2"/>
        <v>1</v>
      </c>
    </row>
    <row r="118" spans="1:5" x14ac:dyDescent="0.35">
      <c r="A118" s="93">
        <v>41852</v>
      </c>
      <c r="B118" s="39">
        <v>50.2</v>
      </c>
      <c r="C118" s="40">
        <f t="shared" si="2"/>
        <v>-1.5</v>
      </c>
    </row>
    <row r="119" spans="1:5" x14ac:dyDescent="0.35">
      <c r="A119" s="93">
        <v>41883</v>
      </c>
      <c r="B119" s="39">
        <v>51.1</v>
      </c>
      <c r="C119" s="40">
        <f>IFERROR(B119-B118,"")</f>
        <v>0.89999999999999858</v>
      </c>
      <c r="D119" s="7">
        <v>7.2999999999999995E-2</v>
      </c>
      <c r="E119" s="7">
        <f>IF(VLOOKUP(I85,Data!$O$51:$V$152,7,FALSE)=A118,VLOOKUP(I85,Data!$O$51:$V$152,2,FALSE)/100,"")</f>
        <v>1.9E-2</v>
      </c>
    </row>
    <row r="120" spans="1:5" x14ac:dyDescent="0.35">
      <c r="A120" s="93">
        <v>41913</v>
      </c>
      <c r="B120" s="39">
        <v>50.8</v>
      </c>
      <c r="C120" s="40">
        <v>-0.30000000000000426</v>
      </c>
    </row>
    <row r="121" spans="1:5" x14ac:dyDescent="0.35">
      <c r="A121" s="93">
        <v>41944</v>
      </c>
      <c r="B121" s="39">
        <f>IF(A121=Data!$C$1,VLOOKUP($H$85,Data!$A$2:$C$36,3,FALSE),"N/A")</f>
        <v>50.3</v>
      </c>
      <c r="C121" s="40">
        <f t="shared" ref="C121" si="3">B121-B120</f>
        <v>-0.5</v>
      </c>
    </row>
    <row r="122" spans="1:5" x14ac:dyDescent="0.35">
      <c r="A122" s="124">
        <v>46143</v>
      </c>
      <c r="B122" s="119">
        <v>51.8</v>
      </c>
      <c r="C122" s="120"/>
      <c r="E122" t="s">
        <v>324</v>
      </c>
    </row>
    <row r="123" spans="1:5" x14ac:dyDescent="0.35">
      <c r="A123" s="124">
        <v>46174</v>
      </c>
      <c r="B123" s="119">
        <v>51.7</v>
      </c>
      <c r="C123" s="120">
        <v>-0.1</v>
      </c>
    </row>
  </sheetData>
  <conditionalFormatting sqref="B3:B1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88:C12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95:C121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62:I156"/>
  <sheetViews>
    <sheetView topLeftCell="A62" zoomScale="70" zoomScaleNormal="70" workbookViewId="0">
      <pane ySplit="1" topLeftCell="A96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5.08984375" style="19" customWidth="1"/>
    <col min="3" max="3" width="12.36328125" style="13" customWidth="1"/>
    <col min="4" max="4" width="29" customWidth="1"/>
  </cols>
  <sheetData>
    <row r="62" spans="1:5" x14ac:dyDescent="0.35">
      <c r="A62" s="13" t="s">
        <v>0</v>
      </c>
      <c r="B62" s="19" t="s">
        <v>20</v>
      </c>
      <c r="C62" s="13" t="s">
        <v>5</v>
      </c>
      <c r="D62" t="s">
        <v>53</v>
      </c>
      <c r="E62" t="s">
        <v>325</v>
      </c>
    </row>
    <row r="63" spans="1:5" x14ac:dyDescent="0.35">
      <c r="A63" s="15">
        <v>40179</v>
      </c>
      <c r="B63" s="6">
        <v>53.8</v>
      </c>
      <c r="D63" s="5"/>
    </row>
    <row r="64" spans="1:5" x14ac:dyDescent="0.35">
      <c r="A64" s="15">
        <v>40210</v>
      </c>
      <c r="B64" s="6">
        <v>52.5</v>
      </c>
      <c r="C64" s="19">
        <f t="shared" ref="C64:C75" si="0">B64-B63</f>
        <v>-1.2999999999999972</v>
      </c>
      <c r="D64" s="5"/>
    </row>
    <row r="65" spans="1:4" x14ac:dyDescent="0.35">
      <c r="A65" s="15">
        <v>40238</v>
      </c>
      <c r="B65" s="6">
        <v>53.8</v>
      </c>
      <c r="C65" s="19">
        <f t="shared" si="0"/>
        <v>1.2999999999999972</v>
      </c>
      <c r="D65" s="5">
        <v>1.4E-2</v>
      </c>
    </row>
    <row r="66" spans="1:4" x14ac:dyDescent="0.35">
      <c r="A66" s="15">
        <v>40269</v>
      </c>
      <c r="B66" s="6">
        <v>53.5</v>
      </c>
      <c r="C66" s="19">
        <f t="shared" si="0"/>
        <v>-0.29999999999999716</v>
      </c>
      <c r="D66" s="5"/>
    </row>
    <row r="67" spans="1:4" x14ac:dyDescent="0.35">
      <c r="A67" s="15">
        <v>40299</v>
      </c>
      <c r="B67" s="6">
        <v>54.7</v>
      </c>
      <c r="C67" s="19">
        <f t="shared" si="0"/>
        <v>1.2000000000000028</v>
      </c>
      <c r="D67" s="5"/>
    </row>
    <row r="68" spans="1:4" x14ac:dyDescent="0.35">
      <c r="A68" s="15">
        <v>40330</v>
      </c>
      <c r="B68" s="6">
        <v>53.9</v>
      </c>
      <c r="C68" s="19">
        <f t="shared" si="0"/>
        <v>-0.80000000000000426</v>
      </c>
      <c r="D68" s="5">
        <v>1.0999999999999999E-2</v>
      </c>
    </row>
    <row r="69" spans="1:4" x14ac:dyDescent="0.35">
      <c r="A69" s="15">
        <v>40360</v>
      </c>
      <c r="B69" s="6">
        <v>52.8</v>
      </c>
      <c r="C69" s="19">
        <f t="shared" si="0"/>
        <v>-1.1000000000000014</v>
      </c>
      <c r="D69" s="5"/>
    </row>
    <row r="70" spans="1:4" x14ac:dyDescent="0.35">
      <c r="A70" s="15">
        <v>40391</v>
      </c>
      <c r="B70" s="6">
        <v>50.1</v>
      </c>
      <c r="C70" s="19">
        <f t="shared" si="0"/>
        <v>-2.6999999999999957</v>
      </c>
      <c r="D70" s="5"/>
    </row>
    <row r="71" spans="1:4" x14ac:dyDescent="0.35">
      <c r="A71" s="15">
        <v>40422</v>
      </c>
      <c r="B71" s="6">
        <v>49.5</v>
      </c>
      <c r="C71" s="19">
        <f t="shared" si="0"/>
        <v>-0.60000000000000142</v>
      </c>
      <c r="D71" s="5">
        <v>1.4E-2</v>
      </c>
    </row>
    <row r="72" spans="1:4" x14ac:dyDescent="0.35">
      <c r="A72" s="15">
        <v>40452</v>
      </c>
      <c r="B72" s="6">
        <v>47.2</v>
      </c>
      <c r="C72" s="19">
        <f t="shared" si="0"/>
        <v>-2.2999999999999972</v>
      </c>
      <c r="D72" s="5"/>
    </row>
    <row r="73" spans="1:4" x14ac:dyDescent="0.35">
      <c r="A73" s="15">
        <v>40483</v>
      </c>
      <c r="B73" s="6">
        <v>47.3</v>
      </c>
      <c r="C73" s="19">
        <f t="shared" si="0"/>
        <v>9.9999999999994316E-2</v>
      </c>
      <c r="D73" s="5"/>
    </row>
    <row r="74" spans="1:4" x14ac:dyDescent="0.35">
      <c r="A74" s="15">
        <v>40513</v>
      </c>
      <c r="B74" s="6">
        <v>48.3</v>
      </c>
      <c r="C74" s="19">
        <f t="shared" si="0"/>
        <v>1</v>
      </c>
      <c r="D74" s="5">
        <v>-5.0000000000000001E-3</v>
      </c>
    </row>
    <row r="75" spans="1:4" x14ac:dyDescent="0.35">
      <c r="A75" s="15">
        <v>40544</v>
      </c>
      <c r="B75" s="6">
        <v>51.4</v>
      </c>
      <c r="C75" s="19">
        <f t="shared" si="0"/>
        <v>3.1000000000000014</v>
      </c>
      <c r="D75" s="5"/>
    </row>
    <row r="76" spans="1:4" x14ac:dyDescent="0.35">
      <c r="A76" s="15">
        <v>40575</v>
      </c>
      <c r="B76" s="6">
        <v>52.9</v>
      </c>
      <c r="C76" s="19">
        <f t="shared" ref="C76:C87" si="1">B76-B75</f>
        <v>1.5</v>
      </c>
      <c r="D76" s="5"/>
    </row>
    <row r="77" spans="1:4" x14ac:dyDescent="0.35">
      <c r="A77" s="15">
        <v>40603</v>
      </c>
      <c r="B77" s="6">
        <v>41.4</v>
      </c>
      <c r="C77" s="19">
        <f t="shared" si="1"/>
        <v>-11.5</v>
      </c>
      <c r="D77" s="5">
        <v>-1.7999999999999999E-2</v>
      </c>
    </row>
    <row r="78" spans="1:4" x14ac:dyDescent="0.35">
      <c r="A78" s="15">
        <v>40634</v>
      </c>
      <c r="B78" s="6">
        <v>45.7</v>
      </c>
      <c r="C78" s="19">
        <f t="shared" si="1"/>
        <v>4.3000000000000043</v>
      </c>
      <c r="D78" s="5"/>
    </row>
    <row r="79" spans="1:4" x14ac:dyDescent="0.35">
      <c r="A79" s="15">
        <v>40664</v>
      </c>
      <c r="B79" s="6">
        <v>51.3</v>
      </c>
      <c r="C79" s="19">
        <f t="shared" si="1"/>
        <v>5.5999999999999943</v>
      </c>
      <c r="D79" s="5"/>
    </row>
    <row r="80" spans="1:4" x14ac:dyDescent="0.35">
      <c r="A80" s="15">
        <v>40695</v>
      </c>
      <c r="B80" s="6">
        <v>50.7</v>
      </c>
      <c r="C80" s="19">
        <f t="shared" si="1"/>
        <v>-0.59999999999999432</v>
      </c>
      <c r="D80" s="5">
        <v>-7.0000000000000001E-3</v>
      </c>
    </row>
    <row r="81" spans="1:9" x14ac:dyDescent="0.35">
      <c r="A81" s="15">
        <v>40725</v>
      </c>
      <c r="B81" s="6">
        <v>52.1</v>
      </c>
      <c r="C81" s="19">
        <f t="shared" si="1"/>
        <v>1.3999999999999986</v>
      </c>
      <c r="D81" s="5"/>
    </row>
    <row r="82" spans="1:9" x14ac:dyDescent="0.35">
      <c r="A82" s="15">
        <v>40756</v>
      </c>
      <c r="B82" s="6">
        <v>51.9</v>
      </c>
      <c r="C82" s="19">
        <f t="shared" si="1"/>
        <v>-0.20000000000000284</v>
      </c>
      <c r="D82" s="5"/>
    </row>
    <row r="83" spans="1:9" x14ac:dyDescent="0.35">
      <c r="A83" s="15">
        <v>40787</v>
      </c>
      <c r="B83" s="6">
        <v>49.3</v>
      </c>
      <c r="C83" s="19">
        <f t="shared" si="1"/>
        <v>-2.6000000000000014</v>
      </c>
      <c r="D83" s="5">
        <v>2.5999999999999999E-2</v>
      </c>
    </row>
    <row r="84" spans="1:9" x14ac:dyDescent="0.35">
      <c r="A84" s="15">
        <v>40817</v>
      </c>
      <c r="B84" s="6">
        <v>50.6</v>
      </c>
      <c r="C84" s="19">
        <f t="shared" si="1"/>
        <v>1.3000000000000043</v>
      </c>
      <c r="D84" s="5"/>
    </row>
    <row r="85" spans="1:9" x14ac:dyDescent="0.35">
      <c r="A85" s="15">
        <v>40848</v>
      </c>
      <c r="B85" s="6">
        <v>49.1</v>
      </c>
      <c r="C85" s="19">
        <f t="shared" si="1"/>
        <v>-1.5</v>
      </c>
      <c r="D85" s="5"/>
      <c r="H85" s="64" t="s">
        <v>110</v>
      </c>
      <c r="I85" t="s">
        <v>86</v>
      </c>
    </row>
    <row r="86" spans="1:9" x14ac:dyDescent="0.35">
      <c r="A86" s="15">
        <v>40878</v>
      </c>
      <c r="B86" s="6">
        <v>50.2</v>
      </c>
      <c r="C86" s="19">
        <f t="shared" si="1"/>
        <v>1.1000000000000014</v>
      </c>
      <c r="D86" s="5">
        <v>2E-3</v>
      </c>
    </row>
    <row r="87" spans="1:9" x14ac:dyDescent="0.35">
      <c r="A87" s="16">
        <v>40909</v>
      </c>
      <c r="B87" s="17">
        <v>50.7</v>
      </c>
      <c r="C87" s="20">
        <f t="shared" si="1"/>
        <v>0.5</v>
      </c>
      <c r="D87" s="5"/>
    </row>
    <row r="88" spans="1:9" x14ac:dyDescent="0.35">
      <c r="A88" s="16">
        <v>40940</v>
      </c>
      <c r="B88" s="17">
        <v>50.5</v>
      </c>
      <c r="C88" s="20">
        <f>B88-B87</f>
        <v>-0.20000000000000284</v>
      </c>
      <c r="D88" s="5"/>
    </row>
    <row r="89" spans="1:9" x14ac:dyDescent="0.35">
      <c r="A89" s="16">
        <v>40969</v>
      </c>
      <c r="B89" s="17">
        <v>51.1</v>
      </c>
      <c r="C89" s="20">
        <f t="shared" ref="C89:C114" si="2">B89-B88</f>
        <v>0.60000000000000142</v>
      </c>
      <c r="D89" s="5">
        <v>8.9999999999999993E-3</v>
      </c>
    </row>
    <row r="90" spans="1:9" x14ac:dyDescent="0.35">
      <c r="A90" s="16">
        <v>41000</v>
      </c>
      <c r="B90" s="17">
        <v>50.7</v>
      </c>
      <c r="C90" s="20">
        <f t="shared" si="2"/>
        <v>-0.39999999999999858</v>
      </c>
      <c r="D90" s="5"/>
    </row>
    <row r="91" spans="1:9" x14ac:dyDescent="0.35">
      <c r="A91" s="16">
        <v>41030</v>
      </c>
      <c r="B91" s="17">
        <v>50.7</v>
      </c>
      <c r="C91" s="20">
        <f t="shared" si="2"/>
        <v>0</v>
      </c>
      <c r="D91" s="5"/>
    </row>
    <row r="92" spans="1:9" x14ac:dyDescent="0.35">
      <c r="A92" s="16">
        <v>41061</v>
      </c>
      <c r="B92" s="17">
        <v>52.6</v>
      </c>
      <c r="C92" s="20">
        <f t="shared" si="2"/>
        <v>1.8999999999999986</v>
      </c>
      <c r="D92" s="5">
        <v>-5.0000000000000001E-3</v>
      </c>
    </row>
    <row r="93" spans="1:9" x14ac:dyDescent="0.35">
      <c r="A93" s="16">
        <v>41091</v>
      </c>
      <c r="B93" s="17">
        <v>52</v>
      </c>
      <c r="C93" s="20">
        <f t="shared" si="2"/>
        <v>-0.60000000000000142</v>
      </c>
      <c r="D93" s="5"/>
    </row>
    <row r="94" spans="1:9" x14ac:dyDescent="0.35">
      <c r="A94" s="16">
        <v>41122</v>
      </c>
      <c r="B94" s="17">
        <v>52.1</v>
      </c>
      <c r="C94" s="20">
        <f t="shared" si="2"/>
        <v>0.10000000000000142</v>
      </c>
      <c r="D94" s="5"/>
    </row>
    <row r="95" spans="1:9" x14ac:dyDescent="0.35">
      <c r="A95" s="16">
        <v>41153</v>
      </c>
      <c r="B95" s="17">
        <v>48</v>
      </c>
      <c r="C95" s="20">
        <f t="shared" si="2"/>
        <v>-4.1000000000000014</v>
      </c>
      <c r="D95" s="5">
        <v>-8.0000000000000002E-3</v>
      </c>
    </row>
    <row r="96" spans="1:9" x14ac:dyDescent="0.35">
      <c r="A96" s="16">
        <v>41183</v>
      </c>
      <c r="B96" s="17">
        <v>46.9</v>
      </c>
      <c r="C96" s="20">
        <f t="shared" si="2"/>
        <v>-1.1000000000000014</v>
      </c>
      <c r="D96" s="5"/>
    </row>
    <row r="97" spans="1:4" x14ac:dyDescent="0.35">
      <c r="A97" s="16">
        <v>41214</v>
      </c>
      <c r="B97" s="17">
        <v>46.5</v>
      </c>
      <c r="C97" s="20">
        <f t="shared" si="2"/>
        <v>-0.39999999999999858</v>
      </c>
      <c r="D97" s="5"/>
    </row>
    <row r="98" spans="1:4" x14ac:dyDescent="0.35">
      <c r="A98" s="16">
        <v>41244</v>
      </c>
      <c r="B98" s="17">
        <v>45</v>
      </c>
      <c r="C98" s="20">
        <f t="shared" si="2"/>
        <v>-1.5</v>
      </c>
      <c r="D98" s="5">
        <v>1E-3</v>
      </c>
    </row>
    <row r="99" spans="1:4" x14ac:dyDescent="0.35">
      <c r="A99" s="16">
        <v>41275</v>
      </c>
      <c r="B99" s="17">
        <v>47.7</v>
      </c>
      <c r="C99" s="20">
        <f t="shared" si="2"/>
        <v>2.7000000000000028</v>
      </c>
      <c r="D99" s="5"/>
    </row>
    <row r="100" spans="1:4" x14ac:dyDescent="0.35">
      <c r="A100" s="16">
        <v>41306</v>
      </c>
      <c r="B100" s="17">
        <v>48.5</v>
      </c>
      <c r="C100" s="20">
        <f t="shared" si="2"/>
        <v>0.79999999999999716</v>
      </c>
      <c r="D100" s="5"/>
    </row>
    <row r="101" spans="1:4" x14ac:dyDescent="0.35">
      <c r="A101" s="16">
        <v>41334</v>
      </c>
      <c r="B101" s="17">
        <v>50.4</v>
      </c>
      <c r="C101" s="20">
        <f t="shared" si="2"/>
        <v>1.8999999999999986</v>
      </c>
      <c r="D101" s="5">
        <v>1.2E-2</v>
      </c>
    </row>
    <row r="102" spans="1:4" x14ac:dyDescent="0.35">
      <c r="A102" s="16">
        <v>41365</v>
      </c>
      <c r="B102" s="17">
        <v>51.1</v>
      </c>
      <c r="C102" s="20">
        <f t="shared" si="2"/>
        <v>0.70000000000000284</v>
      </c>
      <c r="D102" s="5"/>
    </row>
    <row r="103" spans="1:4" x14ac:dyDescent="0.35">
      <c r="A103" s="16">
        <v>41395</v>
      </c>
      <c r="B103" s="17">
        <v>51.5</v>
      </c>
      <c r="C103" s="20">
        <f t="shared" si="2"/>
        <v>0.39999999999999858</v>
      </c>
      <c r="D103" s="5"/>
    </row>
    <row r="104" spans="1:4" x14ac:dyDescent="0.35">
      <c r="A104" s="16">
        <v>41426</v>
      </c>
      <c r="B104" s="17">
        <v>52.3</v>
      </c>
      <c r="C104" s="20">
        <f t="shared" si="2"/>
        <v>0.79999999999999716</v>
      </c>
      <c r="D104" s="5">
        <v>8.9999999999999993E-3</v>
      </c>
    </row>
    <row r="105" spans="1:4" x14ac:dyDescent="0.35">
      <c r="A105" s="16">
        <v>41456</v>
      </c>
      <c r="B105" s="17">
        <v>50.7</v>
      </c>
      <c r="C105" s="20">
        <f t="shared" si="2"/>
        <v>-1.5999999999999943</v>
      </c>
      <c r="D105" s="5"/>
    </row>
    <row r="106" spans="1:4" x14ac:dyDescent="0.35">
      <c r="A106" s="16">
        <v>41487</v>
      </c>
      <c r="B106" s="17">
        <v>52.2</v>
      </c>
      <c r="C106" s="20">
        <f t="shared" si="2"/>
        <v>1.5</v>
      </c>
      <c r="D106" s="5"/>
    </row>
    <row r="107" spans="1:4" x14ac:dyDescent="0.35">
      <c r="A107" s="16">
        <v>41518</v>
      </c>
      <c r="B107" s="17">
        <v>52.5</v>
      </c>
      <c r="C107" s="20">
        <f t="shared" si="2"/>
        <v>0.29999999999999716</v>
      </c>
      <c r="D107" s="5">
        <v>3.0000000000000001E-3</v>
      </c>
    </row>
    <row r="108" spans="1:4" x14ac:dyDescent="0.35">
      <c r="A108" s="16">
        <v>41548</v>
      </c>
      <c r="B108" s="17">
        <v>54.2</v>
      </c>
      <c r="C108" s="20">
        <f t="shared" si="2"/>
        <v>1.7000000000000028</v>
      </c>
      <c r="D108" s="5"/>
    </row>
    <row r="109" spans="1:4" x14ac:dyDescent="0.35">
      <c r="A109" s="16">
        <v>41579</v>
      </c>
      <c r="B109" s="17">
        <v>55.1</v>
      </c>
      <c r="C109" s="20">
        <f t="shared" si="2"/>
        <v>0.89999999999999858</v>
      </c>
      <c r="D109" s="5"/>
    </row>
    <row r="110" spans="1:4" x14ac:dyDescent="0.35">
      <c r="A110" s="16">
        <v>41609</v>
      </c>
      <c r="B110" s="17">
        <v>55.2</v>
      </c>
      <c r="C110" s="20">
        <f t="shared" si="2"/>
        <v>0.10000000000000142</v>
      </c>
      <c r="D110" s="5">
        <v>1E-3</v>
      </c>
    </row>
    <row r="111" spans="1:4" x14ac:dyDescent="0.35">
      <c r="A111" s="16">
        <v>41640</v>
      </c>
      <c r="B111" s="17">
        <v>56.6</v>
      </c>
      <c r="C111" s="20">
        <f>B111-B110</f>
        <v>1.3999999999999986</v>
      </c>
      <c r="D111" s="5"/>
    </row>
    <row r="112" spans="1:4" x14ac:dyDescent="0.35">
      <c r="A112" s="16">
        <v>41671</v>
      </c>
      <c r="B112" s="17">
        <v>55.5</v>
      </c>
      <c r="C112" s="20">
        <f t="shared" si="2"/>
        <v>-1.1000000000000014</v>
      </c>
      <c r="D112" s="5"/>
    </row>
    <row r="113" spans="1:4" x14ac:dyDescent="0.35">
      <c r="A113" s="16">
        <v>41699</v>
      </c>
      <c r="B113" s="17">
        <v>53.9</v>
      </c>
      <c r="C113" s="20">
        <f t="shared" si="2"/>
        <v>-1.6000000000000014</v>
      </c>
      <c r="D113" s="5">
        <v>1.6E-2</v>
      </c>
    </row>
    <row r="114" spans="1:4" x14ac:dyDescent="0.35">
      <c r="A114" s="16">
        <v>41730</v>
      </c>
      <c r="B114" s="17">
        <v>49.4</v>
      </c>
      <c r="C114" s="20">
        <f t="shared" si="2"/>
        <v>-4.5</v>
      </c>
      <c r="D114" s="5"/>
    </row>
    <row r="115" spans="1:4" x14ac:dyDescent="0.35">
      <c r="A115" s="16">
        <v>41760</v>
      </c>
      <c r="B115" s="17">
        <v>49.9</v>
      </c>
      <c r="C115" s="20">
        <f t="shared" ref="C115:C116" si="3">B115-B114</f>
        <v>0.5</v>
      </c>
      <c r="D115" s="5"/>
    </row>
    <row r="116" spans="1:4" x14ac:dyDescent="0.35">
      <c r="A116" s="16">
        <v>41791</v>
      </c>
      <c r="B116" s="17">
        <v>51.5</v>
      </c>
      <c r="C116" s="20">
        <f t="shared" si="3"/>
        <v>1.6000000000000014</v>
      </c>
      <c r="D116" s="7">
        <v>-1.7000000000000001E-2</v>
      </c>
    </row>
    <row r="117" spans="1:4" x14ac:dyDescent="0.35">
      <c r="A117" s="16">
        <v>41821</v>
      </c>
      <c r="B117" s="17">
        <v>50.5</v>
      </c>
      <c r="C117" s="20">
        <f t="shared" ref="C117:C118" si="4">B117-B116</f>
        <v>-1</v>
      </c>
    </row>
    <row r="118" spans="1:4" x14ac:dyDescent="0.35">
      <c r="A118" s="16">
        <v>41852</v>
      </c>
      <c r="B118" s="17">
        <v>52.2</v>
      </c>
      <c r="C118" s="20">
        <f t="shared" si="4"/>
        <v>1.7000000000000028</v>
      </c>
    </row>
    <row r="119" spans="1:4" x14ac:dyDescent="0.35">
      <c r="A119" s="16">
        <v>41883</v>
      </c>
      <c r="B119" s="17">
        <v>51.7</v>
      </c>
      <c r="C119" s="20">
        <f>IFERROR(B119-B118,"")</f>
        <v>-0.5</v>
      </c>
      <c r="D119" s="7">
        <f>IF(VLOOKUP(I85,Data!$O$51:$V$152,7,FALSE)=A118,VLOOKUP(I85,Data!$O$51:$V$152,2,FALSE)/100,"")</f>
        <v>-4.0000000000000001E-3</v>
      </c>
    </row>
    <row r="120" spans="1:4" x14ac:dyDescent="0.35">
      <c r="A120" s="16">
        <v>41913</v>
      </c>
      <c r="B120" s="17">
        <v>52.4</v>
      </c>
      <c r="C120" s="20">
        <v>0.69999999999999574</v>
      </c>
    </row>
    <row r="121" spans="1:4" x14ac:dyDescent="0.35">
      <c r="A121" s="16">
        <v>41944</v>
      </c>
      <c r="B121" s="17">
        <f>IF(A121=Data!$C$1,VLOOKUP($H$85,Data!$A$2:$C$36,3,FALSE),"N/A")</f>
        <v>52</v>
      </c>
      <c r="C121" s="20">
        <f t="shared" ref="C121" si="5">B121-B120</f>
        <v>-0.39999999999999858</v>
      </c>
    </row>
    <row r="122" spans="1:4" x14ac:dyDescent="0.35">
      <c r="A122" s="105">
        <v>41974</v>
      </c>
      <c r="B122" s="17"/>
      <c r="C122" s="20"/>
    </row>
    <row r="123" spans="1:4" x14ac:dyDescent="0.35">
      <c r="A123" s="105">
        <v>42005</v>
      </c>
      <c r="B123" s="17"/>
      <c r="C123" s="20"/>
    </row>
    <row r="124" spans="1:4" x14ac:dyDescent="0.35">
      <c r="A124" s="105">
        <v>42036</v>
      </c>
      <c r="B124" s="17"/>
      <c r="C124" s="20"/>
    </row>
    <row r="125" spans="1:4" x14ac:dyDescent="0.35">
      <c r="A125" s="105">
        <v>42064</v>
      </c>
      <c r="B125" s="17"/>
      <c r="C125" s="20"/>
    </row>
    <row r="126" spans="1:4" x14ac:dyDescent="0.35">
      <c r="A126" s="105">
        <v>42095</v>
      </c>
      <c r="B126" s="17"/>
      <c r="C126" s="20"/>
    </row>
    <row r="127" spans="1:4" x14ac:dyDescent="0.35">
      <c r="A127" s="105">
        <v>42125</v>
      </c>
      <c r="B127" s="17"/>
      <c r="C127" s="20"/>
    </row>
    <row r="128" spans="1:4" x14ac:dyDescent="0.35">
      <c r="A128" s="105">
        <v>42156</v>
      </c>
      <c r="B128" s="17"/>
      <c r="C128" s="20"/>
    </row>
    <row r="129" spans="1:3" x14ac:dyDescent="0.35">
      <c r="A129" s="105">
        <v>42186</v>
      </c>
      <c r="B129" s="17"/>
      <c r="C129" s="20"/>
    </row>
    <row r="130" spans="1:3" x14ac:dyDescent="0.35">
      <c r="A130" s="105">
        <v>42217</v>
      </c>
      <c r="B130" s="17"/>
      <c r="C130" s="20"/>
    </row>
    <row r="131" spans="1:3" x14ac:dyDescent="0.35">
      <c r="A131" s="105">
        <v>42248</v>
      </c>
      <c r="B131" s="17"/>
      <c r="C131" s="20"/>
    </row>
    <row r="132" spans="1:3" x14ac:dyDescent="0.35">
      <c r="A132" s="105">
        <v>42278</v>
      </c>
      <c r="B132" s="17"/>
      <c r="C132" s="20"/>
    </row>
    <row r="133" spans="1:3" x14ac:dyDescent="0.35">
      <c r="A133" s="105">
        <v>42309</v>
      </c>
      <c r="B133" s="17"/>
      <c r="C133" s="20"/>
    </row>
    <row r="134" spans="1:3" x14ac:dyDescent="0.35">
      <c r="A134" s="105">
        <v>42339</v>
      </c>
      <c r="B134" s="17"/>
      <c r="C134" s="20"/>
    </row>
    <row r="135" spans="1:3" x14ac:dyDescent="0.35">
      <c r="A135" s="105">
        <v>42370</v>
      </c>
      <c r="B135" s="17"/>
      <c r="C135" s="20"/>
    </row>
    <row r="136" spans="1:3" x14ac:dyDescent="0.35">
      <c r="A136" s="105">
        <v>42401</v>
      </c>
      <c r="B136" s="17"/>
      <c r="C136" s="20"/>
    </row>
    <row r="137" spans="1:3" x14ac:dyDescent="0.35">
      <c r="A137" s="105">
        <v>42430</v>
      </c>
      <c r="B137" s="17"/>
      <c r="C137" s="20"/>
    </row>
    <row r="138" spans="1:3" x14ac:dyDescent="0.35">
      <c r="A138" s="105">
        <v>42461</v>
      </c>
      <c r="B138" s="17"/>
      <c r="C138" s="20"/>
    </row>
    <row r="139" spans="1:3" x14ac:dyDescent="0.35">
      <c r="A139" s="105">
        <v>42491</v>
      </c>
      <c r="B139" s="17"/>
      <c r="C139" s="20"/>
    </row>
    <row r="140" spans="1:3" x14ac:dyDescent="0.35">
      <c r="A140" s="105">
        <v>42522</v>
      </c>
      <c r="B140" s="17"/>
      <c r="C140" s="20"/>
    </row>
    <row r="141" spans="1:3" x14ac:dyDescent="0.35">
      <c r="A141" s="105">
        <v>42552</v>
      </c>
      <c r="B141" s="17"/>
      <c r="C141" s="20"/>
    </row>
    <row r="142" spans="1:3" x14ac:dyDescent="0.35">
      <c r="A142" s="105">
        <v>42583</v>
      </c>
      <c r="B142" s="17"/>
      <c r="C142" s="20"/>
    </row>
    <row r="143" spans="1:3" x14ac:dyDescent="0.35">
      <c r="A143" s="105">
        <v>42614</v>
      </c>
      <c r="B143" s="17"/>
      <c r="C143" s="20"/>
    </row>
    <row r="144" spans="1:3" x14ac:dyDescent="0.35">
      <c r="A144" s="105">
        <v>42644</v>
      </c>
      <c r="B144" s="17"/>
      <c r="C144" s="20"/>
    </row>
    <row r="145" spans="1:5" x14ac:dyDescent="0.35">
      <c r="A145" s="105">
        <v>42675</v>
      </c>
      <c r="B145" s="17"/>
      <c r="C145" s="20"/>
    </row>
    <row r="146" spans="1:5" x14ac:dyDescent="0.35">
      <c r="A146" s="105">
        <v>42705</v>
      </c>
      <c r="B146" s="17"/>
      <c r="C146" s="20"/>
    </row>
    <row r="147" spans="1:5" x14ac:dyDescent="0.35">
      <c r="A147" s="105">
        <v>42736</v>
      </c>
      <c r="B147" s="17"/>
      <c r="C147" s="20"/>
    </row>
    <row r="148" spans="1:5" x14ac:dyDescent="0.35">
      <c r="A148" s="105">
        <v>42767</v>
      </c>
      <c r="B148" s="17"/>
      <c r="C148" s="20"/>
    </row>
    <row r="149" spans="1:5" x14ac:dyDescent="0.35">
      <c r="A149" s="105">
        <v>42795</v>
      </c>
      <c r="B149" s="17"/>
      <c r="C149" s="20"/>
    </row>
    <row r="150" spans="1:5" x14ac:dyDescent="0.35">
      <c r="A150" s="105">
        <v>42826</v>
      </c>
      <c r="B150" s="17"/>
      <c r="C150" s="20"/>
    </row>
    <row r="151" spans="1:5" x14ac:dyDescent="0.35">
      <c r="A151" s="105">
        <v>42856</v>
      </c>
      <c r="B151" s="17"/>
      <c r="C151" s="20"/>
    </row>
    <row r="152" spans="1:5" x14ac:dyDescent="0.35">
      <c r="A152" s="105">
        <v>42887</v>
      </c>
      <c r="B152" s="17"/>
      <c r="C152" s="20"/>
    </row>
    <row r="153" spans="1:5" x14ac:dyDescent="0.35">
      <c r="A153" s="105">
        <v>42917</v>
      </c>
      <c r="B153" s="17"/>
      <c r="C153" s="20"/>
    </row>
    <row r="154" spans="1:5" x14ac:dyDescent="0.35">
      <c r="A154" s="106">
        <v>42948</v>
      </c>
      <c r="B154" s="91"/>
      <c r="C154" s="112"/>
    </row>
    <row r="155" spans="1:5" x14ac:dyDescent="0.35">
      <c r="A155" s="122">
        <v>46143</v>
      </c>
      <c r="B155" s="91">
        <v>54.5</v>
      </c>
      <c r="C155" s="112"/>
      <c r="E155" t="s">
        <v>324</v>
      </c>
    </row>
    <row r="156" spans="1:5" x14ac:dyDescent="0.35">
      <c r="A156" s="122">
        <v>46174</v>
      </c>
      <c r="B156" s="91">
        <v>54.8</v>
      </c>
      <c r="C156" s="112">
        <v>0.3</v>
      </c>
    </row>
  </sheetData>
  <conditionalFormatting sqref="B63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71:I156"/>
  <sheetViews>
    <sheetView topLeftCell="A71" zoomScale="70" zoomScaleNormal="70" workbookViewId="0">
      <pane ySplit="1" topLeftCell="A93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4.453125" style="19" customWidth="1"/>
    <col min="3" max="3" width="12.36328125" style="27" customWidth="1"/>
    <col min="4" max="4" width="28.453125" style="5" customWidth="1"/>
  </cols>
  <sheetData>
    <row r="71" spans="1:5" x14ac:dyDescent="0.35">
      <c r="A71" s="13" t="s">
        <v>0</v>
      </c>
      <c r="B71" s="19" t="s">
        <v>12</v>
      </c>
      <c r="C71" s="27" t="s">
        <v>5</v>
      </c>
      <c r="D71" s="5" t="s">
        <v>57</v>
      </c>
      <c r="E71" t="s">
        <v>325</v>
      </c>
    </row>
    <row r="72" spans="1:5" x14ac:dyDescent="0.35">
      <c r="A72" s="15">
        <v>40452</v>
      </c>
      <c r="B72" s="6">
        <v>49.5</v>
      </c>
    </row>
    <row r="73" spans="1:5" x14ac:dyDescent="0.35">
      <c r="A73" s="15">
        <v>40483</v>
      </c>
      <c r="B73" s="6">
        <v>49.9</v>
      </c>
      <c r="C73" s="27">
        <f t="shared" ref="C73:C77" si="0">B73-B72</f>
        <v>0.39999999999999858</v>
      </c>
    </row>
    <row r="74" spans="1:5" x14ac:dyDescent="0.35">
      <c r="A74" s="15">
        <v>40513</v>
      </c>
      <c r="B74" s="6">
        <v>52.4</v>
      </c>
      <c r="C74" s="27">
        <f t="shared" si="0"/>
        <v>2.5</v>
      </c>
      <c r="D74" s="5">
        <v>1.0999999999999999E-2</v>
      </c>
    </row>
    <row r="75" spans="1:5" x14ac:dyDescent="0.35">
      <c r="A75" s="15">
        <v>40544</v>
      </c>
      <c r="B75" s="6">
        <v>53.1</v>
      </c>
      <c r="C75" s="27">
        <f t="shared" si="0"/>
        <v>0.70000000000000284</v>
      </c>
    </row>
    <row r="76" spans="1:5" x14ac:dyDescent="0.35">
      <c r="A76" s="15">
        <v>40575</v>
      </c>
      <c r="B76" s="6">
        <v>54.6</v>
      </c>
      <c r="C76" s="27">
        <f t="shared" si="0"/>
        <v>1.5</v>
      </c>
    </row>
    <row r="77" spans="1:5" x14ac:dyDescent="0.35">
      <c r="A77" s="15">
        <v>40603</v>
      </c>
      <c r="B77" s="6">
        <v>53.2</v>
      </c>
      <c r="C77" s="27">
        <f t="shared" si="0"/>
        <v>-1.3999999999999986</v>
      </c>
      <c r="D77" s="5">
        <v>6.0000000000000001E-3</v>
      </c>
    </row>
    <row r="78" spans="1:5" x14ac:dyDescent="0.35">
      <c r="A78" s="15">
        <v>40634</v>
      </c>
      <c r="B78" s="6">
        <v>52.5</v>
      </c>
      <c r="C78" s="27">
        <f t="shared" ref="C78:C87" si="1">B78-B77</f>
        <v>-0.70000000000000284</v>
      </c>
    </row>
    <row r="79" spans="1:5" x14ac:dyDescent="0.35">
      <c r="A79" s="15">
        <v>40664</v>
      </c>
      <c r="B79" s="6">
        <v>53</v>
      </c>
      <c r="C79" s="27">
        <f t="shared" si="1"/>
        <v>0.5</v>
      </c>
    </row>
    <row r="80" spans="1:5" x14ac:dyDescent="0.35">
      <c r="A80" s="15">
        <v>40695</v>
      </c>
      <c r="B80" s="6">
        <v>49</v>
      </c>
      <c r="C80" s="27">
        <f t="shared" si="1"/>
        <v>-4</v>
      </c>
      <c r="D80" s="5">
        <v>5.0000000000000001E-3</v>
      </c>
    </row>
    <row r="81" spans="1:9" x14ac:dyDescent="0.35">
      <c r="A81" s="15">
        <v>40725</v>
      </c>
      <c r="B81" s="6">
        <v>47.8</v>
      </c>
      <c r="C81" s="27">
        <f t="shared" si="1"/>
        <v>-1.2000000000000028</v>
      </c>
    </row>
    <row r="82" spans="1:9" x14ac:dyDescent="0.35">
      <c r="A82" s="15">
        <v>40756</v>
      </c>
      <c r="B82" s="6">
        <v>46</v>
      </c>
      <c r="C82" s="27">
        <f t="shared" si="1"/>
        <v>-1.7999999999999972</v>
      </c>
    </row>
    <row r="83" spans="1:9" x14ac:dyDescent="0.35">
      <c r="A83" s="15">
        <v>40787</v>
      </c>
      <c r="B83" s="6">
        <v>45.5</v>
      </c>
      <c r="C83" s="27">
        <f t="shared" si="1"/>
        <v>-0.5</v>
      </c>
      <c r="D83" s="5">
        <v>-1E-3</v>
      </c>
    </row>
    <row r="84" spans="1:9" x14ac:dyDescent="0.35">
      <c r="A84" s="15">
        <v>40817</v>
      </c>
      <c r="B84" s="6">
        <v>46.5</v>
      </c>
      <c r="C84" s="27">
        <f t="shared" si="1"/>
        <v>1</v>
      </c>
    </row>
    <row r="85" spans="1:9" x14ac:dyDescent="0.35">
      <c r="A85" s="15">
        <v>40848</v>
      </c>
      <c r="B85" s="6">
        <v>48.7</v>
      </c>
      <c r="C85" s="27">
        <f t="shared" si="1"/>
        <v>2.2000000000000028</v>
      </c>
      <c r="H85" s="64" t="s">
        <v>111</v>
      </c>
      <c r="I85" t="s">
        <v>24</v>
      </c>
    </row>
    <row r="86" spans="1:9" x14ac:dyDescent="0.35">
      <c r="A86" s="15">
        <v>40878</v>
      </c>
      <c r="B86" s="6">
        <v>49.3</v>
      </c>
      <c r="C86" s="27">
        <f t="shared" si="1"/>
        <v>0.59999999999999432</v>
      </c>
      <c r="D86" s="5">
        <v>1E-3</v>
      </c>
    </row>
    <row r="87" spans="1:9" x14ac:dyDescent="0.35">
      <c r="A87" s="16">
        <v>40909</v>
      </c>
      <c r="B87" s="17">
        <v>50.6</v>
      </c>
      <c r="C87" s="28">
        <f t="shared" si="1"/>
        <v>1.3000000000000043</v>
      </c>
    </row>
    <row r="88" spans="1:9" x14ac:dyDescent="0.35">
      <c r="A88" s="16">
        <v>40940</v>
      </c>
      <c r="B88" s="17">
        <v>51.4</v>
      </c>
      <c r="C88" s="28">
        <f>B88-B87</f>
        <v>0.79999999999999716</v>
      </c>
    </row>
    <row r="89" spans="1:9" x14ac:dyDescent="0.35">
      <c r="A89" s="16">
        <v>40969</v>
      </c>
      <c r="B89" s="17">
        <v>51.1</v>
      </c>
      <c r="C89" s="28">
        <f t="shared" ref="C89:C114" si="2">B89-B88</f>
        <v>-0.29999999999999716</v>
      </c>
      <c r="D89" s="5">
        <v>1E-3</v>
      </c>
    </row>
    <row r="90" spans="1:9" x14ac:dyDescent="0.35">
      <c r="A90" s="16">
        <v>41000</v>
      </c>
      <c r="B90" s="17">
        <v>49.3</v>
      </c>
      <c r="C90" s="28">
        <f t="shared" si="2"/>
        <v>-1.8000000000000043</v>
      </c>
    </row>
    <row r="91" spans="1:9" x14ac:dyDescent="0.35">
      <c r="A91" s="16">
        <v>41030</v>
      </c>
      <c r="B91" s="17">
        <v>49.3</v>
      </c>
      <c r="C91" s="28">
        <f t="shared" si="2"/>
        <v>0</v>
      </c>
    </row>
    <row r="92" spans="1:9" x14ac:dyDescent="0.35">
      <c r="A92" s="16">
        <v>41061</v>
      </c>
      <c r="B92" s="17">
        <v>48.5</v>
      </c>
      <c r="C92" s="28">
        <f t="shared" si="2"/>
        <v>-0.79999999999999716</v>
      </c>
      <c r="D92" s="5">
        <v>1E-3</v>
      </c>
    </row>
    <row r="93" spans="1:9" x14ac:dyDescent="0.35">
      <c r="A93" s="16">
        <v>41091</v>
      </c>
      <c r="B93" s="17">
        <v>48.7</v>
      </c>
      <c r="C93" s="28">
        <f t="shared" si="2"/>
        <v>0.20000000000000284</v>
      </c>
    </row>
    <row r="94" spans="1:9" x14ac:dyDescent="0.35">
      <c r="A94" s="16">
        <v>41122</v>
      </c>
      <c r="B94" s="17">
        <v>49.3</v>
      </c>
      <c r="C94" s="28">
        <f t="shared" si="2"/>
        <v>0.59999999999999432</v>
      </c>
    </row>
    <row r="95" spans="1:9" x14ac:dyDescent="0.35">
      <c r="A95" s="16">
        <v>41153</v>
      </c>
      <c r="B95" s="17">
        <v>49.8</v>
      </c>
      <c r="C95" s="28">
        <f t="shared" si="2"/>
        <v>0.5</v>
      </c>
      <c r="D95" s="5">
        <v>6.0000000000000001E-3</v>
      </c>
    </row>
    <row r="96" spans="1:9" x14ac:dyDescent="0.35">
      <c r="A96" s="16">
        <v>41183</v>
      </c>
      <c r="B96" s="17">
        <v>50.2</v>
      </c>
      <c r="C96" s="28">
        <f t="shared" si="2"/>
        <v>0.40000000000000568</v>
      </c>
    </row>
    <row r="97" spans="1:4" x14ac:dyDescent="0.35">
      <c r="A97" s="16">
        <v>41214</v>
      </c>
      <c r="B97" s="17">
        <v>52.2</v>
      </c>
      <c r="C97" s="28">
        <f t="shared" si="2"/>
        <v>2</v>
      </c>
    </row>
    <row r="98" spans="1:4" x14ac:dyDescent="0.35">
      <c r="A98" s="16">
        <v>41244</v>
      </c>
      <c r="B98" s="17">
        <v>51.1</v>
      </c>
      <c r="C98" s="28">
        <f t="shared" si="2"/>
        <v>-1.1000000000000014</v>
      </c>
      <c r="D98" s="5">
        <v>8.9999999999999993E-3</v>
      </c>
    </row>
    <row r="99" spans="1:4" x14ac:dyDescent="0.35">
      <c r="A99" s="16">
        <v>41275</v>
      </c>
      <c r="B99" s="17">
        <v>53.2</v>
      </c>
      <c r="C99" s="28">
        <f t="shared" si="2"/>
        <v>2.1000000000000014</v>
      </c>
    </row>
    <row r="100" spans="1:4" x14ac:dyDescent="0.35">
      <c r="A100" s="16">
        <v>41306</v>
      </c>
      <c r="B100" s="17">
        <v>52.5</v>
      </c>
      <c r="C100" s="28">
        <f t="shared" si="2"/>
        <v>-0.70000000000000284</v>
      </c>
    </row>
    <row r="101" spans="1:4" x14ac:dyDescent="0.35">
      <c r="A101" s="16">
        <v>41334</v>
      </c>
      <c r="B101" s="17">
        <v>51.8</v>
      </c>
      <c r="C101" s="28">
        <f t="shared" si="2"/>
        <v>-0.70000000000000284</v>
      </c>
      <c r="D101" s="5">
        <v>0</v>
      </c>
    </row>
    <row r="102" spans="1:4" x14ac:dyDescent="0.35">
      <c r="A102" s="16">
        <v>41365</v>
      </c>
      <c r="B102" s="17">
        <v>50.8</v>
      </c>
      <c r="C102" s="28">
        <f t="shared" si="2"/>
        <v>-1</v>
      </c>
    </row>
    <row r="103" spans="1:4" x14ac:dyDescent="0.35">
      <c r="A103" s="16">
        <v>41395</v>
      </c>
      <c r="B103" s="17">
        <v>50.4</v>
      </c>
      <c r="C103" s="28">
        <f t="shared" si="2"/>
        <v>-0.39999999999999858</v>
      </c>
    </row>
    <row r="104" spans="1:4" x14ac:dyDescent="0.35">
      <c r="A104" s="16">
        <v>41426</v>
      </c>
      <c r="B104" s="17">
        <v>50.4</v>
      </c>
      <c r="C104" s="28">
        <f t="shared" si="2"/>
        <v>0</v>
      </c>
      <c r="D104" s="5">
        <v>1.7999999999999999E-2</v>
      </c>
    </row>
    <row r="105" spans="1:4" x14ac:dyDescent="0.35">
      <c r="A105" s="16">
        <v>41456</v>
      </c>
      <c r="B105" s="17">
        <v>48.5</v>
      </c>
      <c r="C105" s="28">
        <f t="shared" si="2"/>
        <v>-1.8999999999999986</v>
      </c>
    </row>
    <row r="106" spans="1:4" x14ac:dyDescent="0.35">
      <c r="A106" s="16">
        <v>41487</v>
      </c>
      <c r="B106" s="17">
        <v>49.4</v>
      </c>
      <c r="C106" s="28">
        <f t="shared" si="2"/>
        <v>0.89999999999999858</v>
      </c>
    </row>
    <row r="107" spans="1:4" x14ac:dyDescent="0.35">
      <c r="A107" s="16">
        <v>41518</v>
      </c>
      <c r="B107" s="17">
        <v>49.9</v>
      </c>
      <c r="C107" s="28">
        <f t="shared" si="2"/>
        <v>0.5</v>
      </c>
      <c r="D107" s="5">
        <v>-5.0000000000000001E-3</v>
      </c>
    </row>
    <row r="108" spans="1:4" x14ac:dyDescent="0.35">
      <c r="A108" s="16">
        <v>41548</v>
      </c>
      <c r="B108" s="17">
        <v>50.2</v>
      </c>
      <c r="C108" s="28">
        <f t="shared" si="2"/>
        <v>0.30000000000000426</v>
      </c>
    </row>
    <row r="109" spans="1:4" x14ac:dyDescent="0.35">
      <c r="A109" s="16">
        <v>41579</v>
      </c>
      <c r="B109" s="17">
        <v>49.7</v>
      </c>
      <c r="C109" s="28">
        <f t="shared" si="2"/>
        <v>-0.5</v>
      </c>
    </row>
    <row r="110" spans="1:4" x14ac:dyDescent="0.35">
      <c r="A110" s="16">
        <v>41609</v>
      </c>
      <c r="B110" s="17">
        <v>50.5</v>
      </c>
      <c r="C110" s="28">
        <f t="shared" si="2"/>
        <v>0.79999999999999716</v>
      </c>
      <c r="D110" s="5">
        <v>7.0000000000000001E-3</v>
      </c>
    </row>
    <row r="111" spans="1:4" x14ac:dyDescent="0.35">
      <c r="A111" s="16">
        <v>41640</v>
      </c>
      <c r="B111" s="17">
        <v>51.7</v>
      </c>
      <c r="C111" s="28">
        <f t="shared" si="2"/>
        <v>1.2000000000000028</v>
      </c>
    </row>
    <row r="112" spans="1:4" x14ac:dyDescent="0.35">
      <c r="A112" s="16">
        <v>41671</v>
      </c>
      <c r="B112" s="17">
        <v>50.4</v>
      </c>
      <c r="C112" s="28">
        <f t="shared" si="2"/>
        <v>-1.3000000000000043</v>
      </c>
    </row>
    <row r="113" spans="1:4" x14ac:dyDescent="0.35">
      <c r="A113" s="16">
        <v>41699</v>
      </c>
      <c r="B113" s="17">
        <v>50.6</v>
      </c>
      <c r="C113" s="28">
        <f t="shared" si="2"/>
        <v>0.20000000000000284</v>
      </c>
      <c r="D113" s="5">
        <v>2E-3</v>
      </c>
    </row>
    <row r="114" spans="1:4" x14ac:dyDescent="0.35">
      <c r="A114" s="16">
        <v>41730</v>
      </c>
      <c r="B114" s="17">
        <v>49.3</v>
      </c>
      <c r="C114" s="28">
        <f t="shared" si="2"/>
        <v>-1.3000000000000043</v>
      </c>
    </row>
    <row r="115" spans="1:4" x14ac:dyDescent="0.35">
      <c r="A115" s="16">
        <v>41760</v>
      </c>
      <c r="B115" s="17">
        <v>48.8</v>
      </c>
      <c r="C115" s="28">
        <f t="shared" ref="C115:C118" si="3">B115-B114</f>
        <v>-0.5</v>
      </c>
    </row>
    <row r="116" spans="1:4" x14ac:dyDescent="0.35">
      <c r="A116" s="16">
        <v>41791</v>
      </c>
      <c r="B116" s="17">
        <v>48.7</v>
      </c>
      <c r="C116" s="28">
        <f t="shared" si="3"/>
        <v>-9.9999999999994316E-2</v>
      </c>
      <c r="D116" s="5">
        <v>-6.0000000000000001E-3</v>
      </c>
    </row>
    <row r="117" spans="1:4" x14ac:dyDescent="0.35">
      <c r="A117" s="16">
        <v>41821</v>
      </c>
      <c r="B117" s="17">
        <v>49.1</v>
      </c>
      <c r="C117" s="28">
        <f t="shared" si="3"/>
        <v>0.39999999999999858</v>
      </c>
    </row>
    <row r="118" spans="1:4" x14ac:dyDescent="0.35">
      <c r="A118" s="16">
        <v>41852</v>
      </c>
      <c r="B118" s="17">
        <v>50.2</v>
      </c>
      <c r="C118" s="28">
        <f t="shared" si="3"/>
        <v>1.1000000000000014</v>
      </c>
    </row>
    <row r="119" spans="1:4" x14ac:dyDescent="0.35">
      <c r="A119" s="16">
        <v>41883</v>
      </c>
      <c r="B119" s="17">
        <v>49.3</v>
      </c>
      <c r="C119" s="28">
        <f>IFERROR(B119-B118,"")</f>
        <v>-0.90000000000000568</v>
      </c>
      <c r="D119" s="7">
        <f>IF(VLOOKUP(I85,Data!$O$51:$V$152,7,FALSE)=A118,VLOOKUP(I85,Data!$O$51:$V$152,2,FALSE)/100,"")</f>
        <v>1E-3</v>
      </c>
    </row>
    <row r="120" spans="1:4" x14ac:dyDescent="0.35">
      <c r="A120" s="16">
        <v>41913</v>
      </c>
      <c r="B120" s="17">
        <v>49.1</v>
      </c>
      <c r="C120" s="28">
        <v>-0.19999999999999574</v>
      </c>
    </row>
    <row r="121" spans="1:4" x14ac:dyDescent="0.35">
      <c r="A121" s="16">
        <v>41944</v>
      </c>
      <c r="B121" s="17">
        <f>IF(A121=Data!$C$1,VLOOKUP($H$85,Data!$A$2:$C$36,3,FALSE),"N/A")</f>
        <v>48.7</v>
      </c>
      <c r="C121" s="28">
        <f t="shared" ref="C121" si="4">B121-B120</f>
        <v>-0.39999999999999858</v>
      </c>
    </row>
    <row r="122" spans="1:4" x14ac:dyDescent="0.35">
      <c r="A122" s="105">
        <v>41974</v>
      </c>
      <c r="B122" s="17"/>
      <c r="C122" s="28"/>
    </row>
    <row r="123" spans="1:4" x14ac:dyDescent="0.35">
      <c r="A123" s="105">
        <v>42005</v>
      </c>
      <c r="B123" s="17"/>
      <c r="C123" s="28"/>
    </row>
    <row r="124" spans="1:4" x14ac:dyDescent="0.35">
      <c r="A124" s="105">
        <v>42036</v>
      </c>
      <c r="B124" s="17"/>
      <c r="C124" s="28"/>
    </row>
    <row r="125" spans="1:4" x14ac:dyDescent="0.35">
      <c r="A125" s="105">
        <v>42064</v>
      </c>
      <c r="B125" s="17"/>
      <c r="C125" s="28"/>
    </row>
    <row r="126" spans="1:4" x14ac:dyDescent="0.35">
      <c r="A126" s="105">
        <v>42095</v>
      </c>
      <c r="B126" s="17"/>
      <c r="C126" s="28"/>
    </row>
    <row r="127" spans="1:4" x14ac:dyDescent="0.35">
      <c r="A127" s="105">
        <v>42125</v>
      </c>
      <c r="B127" s="17"/>
      <c r="C127" s="28"/>
    </row>
    <row r="128" spans="1:4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49.1</v>
      </c>
      <c r="C155" s="107"/>
      <c r="E155" t="s">
        <v>324</v>
      </c>
    </row>
    <row r="156" spans="1:5" x14ac:dyDescent="0.35">
      <c r="A156" s="122">
        <v>46174</v>
      </c>
      <c r="B156" s="91">
        <v>50.8</v>
      </c>
      <c r="C156" s="107">
        <v>1.7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71:I156"/>
  <sheetViews>
    <sheetView topLeftCell="A71" zoomScale="70" zoomScaleNormal="70" workbookViewId="0">
      <pane ySplit="1" topLeftCell="A102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3.6328125" style="19" customWidth="1"/>
    <col min="3" max="3" width="12.36328125" style="26" customWidth="1"/>
    <col min="4" max="4" width="27.54296875" customWidth="1"/>
  </cols>
  <sheetData>
    <row r="71" spans="1:5" x14ac:dyDescent="0.35">
      <c r="A71" s="13" t="s">
        <v>0</v>
      </c>
      <c r="B71" s="19" t="s">
        <v>11</v>
      </c>
      <c r="C71" s="26" t="s">
        <v>5</v>
      </c>
      <c r="D71" t="s">
        <v>56</v>
      </c>
      <c r="E71" t="s">
        <v>325</v>
      </c>
    </row>
    <row r="72" spans="1:5" x14ac:dyDescent="0.35">
      <c r="A72" s="15">
        <v>40452</v>
      </c>
      <c r="B72" s="6">
        <v>57.2</v>
      </c>
      <c r="D72" s="5"/>
    </row>
    <row r="73" spans="1:5" x14ac:dyDescent="0.35">
      <c r="A73" s="15">
        <v>40483</v>
      </c>
      <c r="B73" s="6">
        <v>58.4</v>
      </c>
      <c r="C73" s="27">
        <f t="shared" ref="C73:C87" si="0">B73-B72</f>
        <v>1.1999999999999957</v>
      </c>
      <c r="D73" s="5"/>
    </row>
    <row r="74" spans="1:5" x14ac:dyDescent="0.35">
      <c r="A74" s="15">
        <v>40513</v>
      </c>
      <c r="B74" s="6">
        <v>56.7</v>
      </c>
      <c r="C74" s="27">
        <f t="shared" si="0"/>
        <v>-1.6999999999999957</v>
      </c>
      <c r="D74" s="5">
        <v>2.3E-2</v>
      </c>
    </row>
    <row r="75" spans="1:5" x14ac:dyDescent="0.35">
      <c r="A75" s="15">
        <v>40544</v>
      </c>
      <c r="B75" s="6">
        <v>56.8</v>
      </c>
      <c r="C75" s="27">
        <f t="shared" si="0"/>
        <v>9.9999999999994316E-2</v>
      </c>
      <c r="D75" s="5"/>
    </row>
    <row r="76" spans="1:5" x14ac:dyDescent="0.35">
      <c r="A76" s="15">
        <v>40575</v>
      </c>
      <c r="B76" s="6">
        <v>57.9</v>
      </c>
      <c r="C76" s="27">
        <f t="shared" si="0"/>
        <v>1.1000000000000014</v>
      </c>
      <c r="D76" s="5"/>
    </row>
    <row r="77" spans="1:5" x14ac:dyDescent="0.35">
      <c r="A77" s="15">
        <v>40603</v>
      </c>
      <c r="B77" s="6">
        <v>57.9</v>
      </c>
      <c r="C77" s="27">
        <f t="shared" si="0"/>
        <v>0</v>
      </c>
      <c r="D77" s="5">
        <v>1.9E-2</v>
      </c>
    </row>
    <row r="78" spans="1:5" x14ac:dyDescent="0.35">
      <c r="A78" s="15">
        <v>40634</v>
      </c>
      <c r="B78" s="6">
        <v>58</v>
      </c>
      <c r="C78" s="27">
        <f t="shared" si="0"/>
        <v>0.10000000000000142</v>
      </c>
      <c r="D78" s="5"/>
    </row>
    <row r="79" spans="1:5" x14ac:dyDescent="0.35">
      <c r="A79" s="15">
        <v>40664</v>
      </c>
      <c r="B79" s="6">
        <v>57.5</v>
      </c>
      <c r="C79" s="27">
        <f t="shared" si="0"/>
        <v>-0.5</v>
      </c>
      <c r="D79" s="5"/>
    </row>
    <row r="80" spans="1:5" x14ac:dyDescent="0.35">
      <c r="A80" s="15">
        <v>40695</v>
      </c>
      <c r="B80" s="6">
        <v>55.3</v>
      </c>
      <c r="C80" s="27">
        <f t="shared" si="0"/>
        <v>-2.2000000000000028</v>
      </c>
      <c r="D80" s="5">
        <v>1.6E-2</v>
      </c>
    </row>
    <row r="81" spans="1:9" x14ac:dyDescent="0.35">
      <c r="A81" s="15">
        <v>40725</v>
      </c>
      <c r="B81" s="6">
        <v>56.3</v>
      </c>
      <c r="C81" s="27">
        <f t="shared" si="0"/>
        <v>1</v>
      </c>
      <c r="D81" s="5"/>
    </row>
    <row r="82" spans="1:9" x14ac:dyDescent="0.35">
      <c r="A82" s="15">
        <v>40756</v>
      </c>
      <c r="B82" s="6">
        <v>52.6</v>
      </c>
      <c r="C82" s="27">
        <f t="shared" si="0"/>
        <v>-3.6999999999999957</v>
      </c>
      <c r="D82" s="5"/>
    </row>
    <row r="83" spans="1:9" x14ac:dyDescent="0.35">
      <c r="A83" s="15">
        <v>40787</v>
      </c>
      <c r="B83" s="6">
        <v>50.4</v>
      </c>
      <c r="C83" s="27">
        <f t="shared" si="0"/>
        <v>-2.2000000000000028</v>
      </c>
      <c r="D83" s="5">
        <v>1.0999999999999999E-2</v>
      </c>
    </row>
    <row r="84" spans="1:9" x14ac:dyDescent="0.35">
      <c r="A84" s="15">
        <v>40817</v>
      </c>
      <c r="B84" s="6">
        <v>51</v>
      </c>
      <c r="C84" s="27">
        <f t="shared" si="0"/>
        <v>0.60000000000000142</v>
      </c>
      <c r="D84" s="5"/>
    </row>
    <row r="85" spans="1:9" x14ac:dyDescent="0.35">
      <c r="A85" s="15">
        <v>40848</v>
      </c>
      <c r="B85" s="6">
        <v>52</v>
      </c>
      <c r="C85" s="27">
        <f t="shared" si="0"/>
        <v>1</v>
      </c>
      <c r="D85" s="5"/>
      <c r="H85" s="64" t="s">
        <v>112</v>
      </c>
      <c r="I85" t="s">
        <v>32</v>
      </c>
    </row>
    <row r="86" spans="1:9" x14ac:dyDescent="0.35">
      <c r="A86" s="15">
        <v>40878</v>
      </c>
      <c r="B86" s="6">
        <v>57</v>
      </c>
      <c r="C86" s="27">
        <f t="shared" si="0"/>
        <v>5</v>
      </c>
      <c r="D86" s="5">
        <v>1.0999999999999999E-2</v>
      </c>
    </row>
    <row r="87" spans="1:9" x14ac:dyDescent="0.35">
      <c r="A87" s="16">
        <v>40909</v>
      </c>
      <c r="B87" s="17">
        <v>57.5</v>
      </c>
      <c r="C87" s="28">
        <f t="shared" si="0"/>
        <v>0.5</v>
      </c>
      <c r="D87" s="5"/>
    </row>
    <row r="88" spans="1:9" x14ac:dyDescent="0.35">
      <c r="A88" s="16">
        <v>40940</v>
      </c>
      <c r="B88" s="17">
        <v>56.6</v>
      </c>
      <c r="C88" s="28">
        <f>B88-B87</f>
        <v>-0.89999999999999858</v>
      </c>
      <c r="D88" s="5"/>
    </row>
    <row r="89" spans="1:9" x14ac:dyDescent="0.35">
      <c r="A89" s="16">
        <v>40969</v>
      </c>
      <c r="B89" s="17">
        <v>54.7</v>
      </c>
      <c r="C89" s="28">
        <f t="shared" ref="C89:C114" si="1">B89-B88</f>
        <v>-1.8999999999999986</v>
      </c>
      <c r="D89" s="5">
        <v>1.2999999999999999E-2</v>
      </c>
    </row>
    <row r="90" spans="1:9" x14ac:dyDescent="0.35">
      <c r="A90" s="16">
        <v>41000</v>
      </c>
      <c r="B90" s="17">
        <v>54.9</v>
      </c>
      <c r="C90" s="28">
        <f t="shared" si="1"/>
        <v>0.19999999999999574</v>
      </c>
      <c r="D90" s="5"/>
    </row>
    <row r="91" spans="1:9" x14ac:dyDescent="0.35">
      <c r="A91" s="16">
        <v>41030</v>
      </c>
      <c r="B91" s="17">
        <v>54.8</v>
      </c>
      <c r="C91" s="28">
        <f t="shared" si="1"/>
        <v>-0.10000000000000142</v>
      </c>
      <c r="D91" s="5"/>
    </row>
    <row r="92" spans="1:9" x14ac:dyDescent="0.35">
      <c r="A92" s="16">
        <v>41061</v>
      </c>
      <c r="B92" s="17">
        <v>55</v>
      </c>
      <c r="C92" s="28">
        <f t="shared" si="1"/>
        <v>0.20000000000000284</v>
      </c>
      <c r="D92" s="5">
        <v>1.4E-2</v>
      </c>
    </row>
    <row r="93" spans="1:9" x14ac:dyDescent="0.35">
      <c r="A93" s="16">
        <v>41091</v>
      </c>
      <c r="B93" s="17">
        <v>52.9</v>
      </c>
      <c r="C93" s="28">
        <f t="shared" si="1"/>
        <v>-2.1000000000000014</v>
      </c>
      <c r="D93" s="5"/>
    </row>
    <row r="94" spans="1:9" x14ac:dyDescent="0.35">
      <c r="A94" s="16">
        <v>41122</v>
      </c>
      <c r="B94" s="17">
        <v>52.8</v>
      </c>
      <c r="C94" s="28">
        <f t="shared" si="1"/>
        <v>-0.10000000000000142</v>
      </c>
      <c r="D94" s="5"/>
    </row>
    <row r="95" spans="1:9" x14ac:dyDescent="0.35">
      <c r="A95" s="16">
        <v>41153</v>
      </c>
      <c r="B95" s="17">
        <v>52.8</v>
      </c>
      <c r="C95" s="28">
        <f t="shared" si="1"/>
        <v>0</v>
      </c>
      <c r="D95" s="5">
        <v>7.0000000000000001E-3</v>
      </c>
    </row>
    <row r="96" spans="1:9" x14ac:dyDescent="0.35">
      <c r="A96" s="16">
        <v>41183</v>
      </c>
      <c r="B96" s="17">
        <v>52.9</v>
      </c>
      <c r="C96" s="28">
        <f t="shared" si="1"/>
        <v>0.10000000000000142</v>
      </c>
      <c r="D96" s="5"/>
    </row>
    <row r="97" spans="1:4" x14ac:dyDescent="0.35">
      <c r="A97" s="16">
        <v>41214</v>
      </c>
      <c r="B97" s="17">
        <v>53.7</v>
      </c>
      <c r="C97" s="28">
        <f t="shared" si="1"/>
        <v>0.80000000000000426</v>
      </c>
      <c r="D97" s="5"/>
    </row>
    <row r="98" spans="1:4" x14ac:dyDescent="0.35">
      <c r="A98" s="16">
        <v>41244</v>
      </c>
      <c r="B98" s="17">
        <v>54.7</v>
      </c>
      <c r="C98" s="28">
        <f t="shared" si="1"/>
        <v>1</v>
      </c>
      <c r="D98" s="5">
        <v>1.4999999999999999E-2</v>
      </c>
    </row>
    <row r="99" spans="1:4" x14ac:dyDescent="0.35">
      <c r="A99" s="16">
        <v>41275</v>
      </c>
      <c r="B99" s="17">
        <v>53.2</v>
      </c>
      <c r="C99" s="28">
        <f t="shared" si="1"/>
        <v>-1.5</v>
      </c>
      <c r="D99" s="5"/>
    </row>
    <row r="100" spans="1:4" x14ac:dyDescent="0.35">
      <c r="A100" s="16">
        <v>41306</v>
      </c>
      <c r="B100" s="17">
        <v>54.2</v>
      </c>
      <c r="C100" s="28">
        <f t="shared" si="1"/>
        <v>1</v>
      </c>
      <c r="D100" s="5"/>
    </row>
    <row r="101" spans="1:4" x14ac:dyDescent="0.35">
      <c r="A101" s="16">
        <v>41334</v>
      </c>
      <c r="B101" s="17">
        <v>52</v>
      </c>
      <c r="C101" s="28">
        <f t="shared" si="1"/>
        <v>-2.2000000000000028</v>
      </c>
      <c r="D101" s="5">
        <v>0.01</v>
      </c>
    </row>
    <row r="102" spans="1:4" x14ac:dyDescent="0.35">
      <c r="A102" s="16">
        <v>41365</v>
      </c>
      <c r="B102" s="17">
        <v>51</v>
      </c>
      <c r="C102" s="28">
        <f t="shared" si="1"/>
        <v>-1</v>
      </c>
      <c r="D102" s="5"/>
    </row>
    <row r="103" spans="1:4" x14ac:dyDescent="0.35">
      <c r="A103" s="16">
        <v>41395</v>
      </c>
      <c r="B103" s="17">
        <v>50.1</v>
      </c>
      <c r="C103" s="28">
        <f t="shared" si="1"/>
        <v>-0.89999999999999858</v>
      </c>
      <c r="D103" s="5"/>
    </row>
    <row r="104" spans="1:4" x14ac:dyDescent="0.35">
      <c r="A104" s="16">
        <v>41426</v>
      </c>
      <c r="B104" s="17">
        <v>50.3</v>
      </c>
      <c r="C104" s="28">
        <f t="shared" si="1"/>
        <v>0.19999999999999574</v>
      </c>
      <c r="D104" s="5">
        <v>7.0000000000000001E-3</v>
      </c>
    </row>
    <row r="105" spans="1:4" x14ac:dyDescent="0.35">
      <c r="A105" s="16">
        <v>41456</v>
      </c>
      <c r="B105" s="17">
        <v>50.1</v>
      </c>
      <c r="C105" s="28">
        <f t="shared" si="1"/>
        <v>-0.19999999999999574</v>
      </c>
      <c r="D105" s="5"/>
    </row>
    <row r="106" spans="1:4" x14ac:dyDescent="0.35">
      <c r="A106" s="16">
        <v>41487</v>
      </c>
      <c r="B106" s="17">
        <v>48.5</v>
      </c>
      <c r="C106" s="28">
        <f t="shared" si="1"/>
        <v>-1.6000000000000014</v>
      </c>
      <c r="D106" s="5"/>
    </row>
    <row r="107" spans="1:4" x14ac:dyDescent="0.35">
      <c r="A107" s="16">
        <v>41518</v>
      </c>
      <c r="B107" s="17">
        <v>49.6</v>
      </c>
      <c r="C107" s="28">
        <f t="shared" si="1"/>
        <v>1.1000000000000014</v>
      </c>
      <c r="D107" s="5">
        <v>1.7999999999999999E-2</v>
      </c>
    </row>
    <row r="108" spans="1:4" x14ac:dyDescent="0.35">
      <c r="A108" s="16">
        <v>41548</v>
      </c>
      <c r="B108" s="17">
        <v>49.6</v>
      </c>
      <c r="C108" s="28">
        <f t="shared" si="1"/>
        <v>0</v>
      </c>
      <c r="D108" s="5"/>
    </row>
    <row r="109" spans="1:4" x14ac:dyDescent="0.35">
      <c r="A109" s="16">
        <v>41579</v>
      </c>
      <c r="B109" s="17">
        <v>51.3</v>
      </c>
      <c r="C109" s="28">
        <f t="shared" si="1"/>
        <v>1.6999999999999957</v>
      </c>
      <c r="D109" s="5"/>
    </row>
    <row r="110" spans="1:4" x14ac:dyDescent="0.35">
      <c r="A110" s="16">
        <v>41609</v>
      </c>
      <c r="B110" s="17">
        <v>50.7</v>
      </c>
      <c r="C110" s="28">
        <f t="shared" si="1"/>
        <v>-0.59999999999999432</v>
      </c>
      <c r="D110" s="5">
        <v>1.0999999999999999E-2</v>
      </c>
    </row>
    <row r="111" spans="1:4" x14ac:dyDescent="0.35">
      <c r="A111" s="16">
        <v>41640</v>
      </c>
      <c r="B111" s="17">
        <v>51.4</v>
      </c>
      <c r="C111" s="28">
        <f>B111-B110</f>
        <v>0.69999999999999574</v>
      </c>
    </row>
    <row r="112" spans="1:4" x14ac:dyDescent="0.35">
      <c r="A112" s="16">
        <v>41671</v>
      </c>
      <c r="B112" s="17">
        <v>52.5</v>
      </c>
      <c r="C112" s="28">
        <f t="shared" si="1"/>
        <v>1.1000000000000014</v>
      </c>
    </row>
    <row r="113" spans="1:4" x14ac:dyDescent="0.35">
      <c r="A113" s="16">
        <v>41699</v>
      </c>
      <c r="B113" s="17">
        <v>51.3</v>
      </c>
      <c r="C113" s="28">
        <f t="shared" si="1"/>
        <v>-1.2000000000000028</v>
      </c>
      <c r="D113" s="7">
        <v>2.1000000000000001E-2</v>
      </c>
    </row>
    <row r="114" spans="1:4" x14ac:dyDescent="0.35">
      <c r="A114" s="16">
        <v>41730</v>
      </c>
      <c r="B114" s="17">
        <v>51.3</v>
      </c>
      <c r="C114" s="28">
        <f t="shared" si="1"/>
        <v>0</v>
      </c>
    </row>
    <row r="115" spans="1:4" x14ac:dyDescent="0.35">
      <c r="A115" s="16">
        <v>41760</v>
      </c>
      <c r="B115" s="17">
        <v>51.4</v>
      </c>
      <c r="C115" s="28">
        <f t="shared" ref="C115:C118" si="2">B115-B114</f>
        <v>0.10000000000000142</v>
      </c>
    </row>
    <row r="116" spans="1:4" x14ac:dyDescent="0.35">
      <c r="A116" s="16">
        <v>41791</v>
      </c>
      <c r="B116" s="17">
        <v>51.5</v>
      </c>
      <c r="C116" s="28">
        <f t="shared" si="2"/>
        <v>0.10000000000000142</v>
      </c>
      <c r="D116" s="7">
        <v>2.4899999999999999E-2</v>
      </c>
    </row>
    <row r="117" spans="1:4" x14ac:dyDescent="0.35">
      <c r="A117" s="16">
        <v>41821</v>
      </c>
      <c r="B117" s="17">
        <v>53</v>
      </c>
      <c r="C117" s="28">
        <f t="shared" si="2"/>
        <v>1.5</v>
      </c>
    </row>
    <row r="118" spans="1:4" x14ac:dyDescent="0.35">
      <c r="A118" s="16">
        <v>41852</v>
      </c>
      <c r="B118" s="17">
        <v>52.4</v>
      </c>
      <c r="C118" s="28">
        <f t="shared" si="2"/>
        <v>-0.60000000000000142</v>
      </c>
    </row>
    <row r="119" spans="1:4" x14ac:dyDescent="0.35">
      <c r="A119" s="16">
        <v>41883</v>
      </c>
      <c r="B119" s="17">
        <v>51</v>
      </c>
      <c r="C119" s="28">
        <f>IFERROR(B119-B118,"")</f>
        <v>-1.3999999999999986</v>
      </c>
      <c r="D119" s="7">
        <f>IF(VLOOKUP(I85,Data!$O$51:$V$152,7,FALSE)=A118,VLOOKUP(I85,Data!$O$51:$V$152,2,FALSE)/100,"")</f>
        <v>2.9600000000000001E-2</v>
      </c>
    </row>
    <row r="120" spans="1:4" x14ac:dyDescent="0.35">
      <c r="A120" s="16">
        <v>41913</v>
      </c>
      <c r="B120" s="17">
        <v>51.6</v>
      </c>
      <c r="C120" s="28">
        <v>0.60000000000000142</v>
      </c>
    </row>
    <row r="121" spans="1:4" x14ac:dyDescent="0.35">
      <c r="A121" s="16">
        <v>41944</v>
      </c>
      <c r="B121" s="17">
        <f>IF(A121=Data!$C$1,VLOOKUP($H$85,Data!$A$2:$C$36,3,FALSE),"N/A")</f>
        <v>53.3</v>
      </c>
      <c r="C121" s="28">
        <f t="shared" ref="C121" si="3">B121-B120</f>
        <v>1.6999999999999957</v>
      </c>
    </row>
    <row r="122" spans="1:4" x14ac:dyDescent="0.35">
      <c r="A122" s="105">
        <v>41974</v>
      </c>
      <c r="B122" s="17"/>
      <c r="C122" s="28"/>
    </row>
    <row r="123" spans="1:4" x14ac:dyDescent="0.35">
      <c r="A123" s="105">
        <v>42005</v>
      </c>
      <c r="B123" s="17"/>
      <c r="C123" s="28"/>
    </row>
    <row r="124" spans="1:4" x14ac:dyDescent="0.35">
      <c r="A124" s="105">
        <v>42036</v>
      </c>
      <c r="B124" s="17"/>
      <c r="C124" s="28"/>
    </row>
    <row r="125" spans="1:4" x14ac:dyDescent="0.35">
      <c r="A125" s="105">
        <v>42064</v>
      </c>
      <c r="B125" s="17"/>
      <c r="C125" s="28"/>
    </row>
    <row r="126" spans="1:4" x14ac:dyDescent="0.35">
      <c r="A126" s="105">
        <v>42095</v>
      </c>
      <c r="B126" s="17"/>
      <c r="C126" s="28"/>
    </row>
    <row r="127" spans="1:4" x14ac:dyDescent="0.35">
      <c r="A127" s="105">
        <v>42125</v>
      </c>
      <c r="B127" s="17"/>
      <c r="C127" s="28"/>
    </row>
    <row r="128" spans="1:4" x14ac:dyDescent="0.35">
      <c r="A128" s="105">
        <v>42156</v>
      </c>
      <c r="B128" s="17"/>
      <c r="C128" s="28"/>
    </row>
    <row r="129" spans="1:3" x14ac:dyDescent="0.35">
      <c r="A129" s="105">
        <v>42186</v>
      </c>
      <c r="B129" s="17"/>
      <c r="C129" s="28"/>
    </row>
    <row r="130" spans="1:3" x14ac:dyDescent="0.35">
      <c r="A130" s="105">
        <v>42217</v>
      </c>
      <c r="B130" s="17"/>
      <c r="C130" s="28"/>
    </row>
    <row r="131" spans="1:3" x14ac:dyDescent="0.35">
      <c r="A131" s="105">
        <v>42248</v>
      </c>
      <c r="B131" s="17"/>
      <c r="C131" s="28"/>
    </row>
    <row r="132" spans="1:3" x14ac:dyDescent="0.35">
      <c r="A132" s="105">
        <v>42278</v>
      </c>
      <c r="B132" s="17"/>
      <c r="C132" s="28"/>
    </row>
    <row r="133" spans="1:3" x14ac:dyDescent="0.35">
      <c r="A133" s="105">
        <v>42309</v>
      </c>
      <c r="B133" s="17"/>
      <c r="C133" s="28"/>
    </row>
    <row r="134" spans="1:3" x14ac:dyDescent="0.35">
      <c r="A134" s="105">
        <v>42339</v>
      </c>
      <c r="B134" s="17"/>
      <c r="C134" s="28"/>
    </row>
    <row r="135" spans="1:3" x14ac:dyDescent="0.35">
      <c r="A135" s="105">
        <v>42370</v>
      </c>
      <c r="B135" s="17"/>
      <c r="C135" s="28"/>
    </row>
    <row r="136" spans="1:3" x14ac:dyDescent="0.35">
      <c r="A136" s="105">
        <v>42401</v>
      </c>
      <c r="B136" s="17"/>
      <c r="C136" s="28"/>
    </row>
    <row r="137" spans="1:3" x14ac:dyDescent="0.35">
      <c r="A137" s="105">
        <v>42430</v>
      </c>
      <c r="B137" s="17"/>
      <c r="C137" s="28"/>
    </row>
    <row r="138" spans="1:3" x14ac:dyDescent="0.35">
      <c r="A138" s="105">
        <v>42461</v>
      </c>
      <c r="B138" s="17"/>
      <c r="C138" s="28"/>
    </row>
    <row r="139" spans="1:3" x14ac:dyDescent="0.35">
      <c r="A139" s="105">
        <v>42491</v>
      </c>
      <c r="B139" s="17"/>
      <c r="C139" s="28"/>
    </row>
    <row r="140" spans="1:3" x14ac:dyDescent="0.35">
      <c r="A140" s="105">
        <v>42522</v>
      </c>
      <c r="B140" s="17"/>
      <c r="C140" s="28"/>
    </row>
    <row r="141" spans="1:3" x14ac:dyDescent="0.35">
      <c r="A141" s="105">
        <v>42552</v>
      </c>
      <c r="B141" s="17"/>
      <c r="C141" s="28"/>
    </row>
    <row r="142" spans="1:3" x14ac:dyDescent="0.35">
      <c r="A142" s="105">
        <v>42583</v>
      </c>
      <c r="B142" s="17"/>
      <c r="C142" s="28"/>
    </row>
    <row r="143" spans="1:3" x14ac:dyDescent="0.35">
      <c r="A143" s="105">
        <v>42614</v>
      </c>
      <c r="B143" s="17"/>
      <c r="C143" s="28"/>
    </row>
    <row r="144" spans="1:3" x14ac:dyDescent="0.35">
      <c r="A144" s="105">
        <v>42644</v>
      </c>
      <c r="B144" s="17"/>
      <c r="C144" s="28"/>
    </row>
    <row r="145" spans="1:5" x14ac:dyDescent="0.35">
      <c r="A145" s="105">
        <v>42675</v>
      </c>
      <c r="B145" s="17"/>
      <c r="C145" s="28"/>
    </row>
    <row r="146" spans="1:5" x14ac:dyDescent="0.35">
      <c r="A146" s="105">
        <v>42705</v>
      </c>
      <c r="B146" s="17"/>
      <c r="C146" s="28"/>
    </row>
    <row r="147" spans="1:5" x14ac:dyDescent="0.35">
      <c r="A147" s="105">
        <v>42736</v>
      </c>
      <c r="B147" s="17"/>
      <c r="C147" s="28"/>
    </row>
    <row r="148" spans="1:5" x14ac:dyDescent="0.35">
      <c r="A148" s="105">
        <v>42767</v>
      </c>
      <c r="B148" s="17"/>
      <c r="C148" s="28"/>
    </row>
    <row r="149" spans="1:5" x14ac:dyDescent="0.35">
      <c r="A149" s="105">
        <v>42795</v>
      </c>
      <c r="B149" s="17"/>
      <c r="C149" s="28"/>
    </row>
    <row r="150" spans="1:5" x14ac:dyDescent="0.35">
      <c r="A150" s="105">
        <v>42826</v>
      </c>
      <c r="B150" s="17"/>
      <c r="C150" s="28"/>
    </row>
    <row r="151" spans="1:5" x14ac:dyDescent="0.35">
      <c r="A151" s="105">
        <v>42856</v>
      </c>
      <c r="B151" s="17"/>
      <c r="C151" s="28"/>
    </row>
    <row r="152" spans="1:5" x14ac:dyDescent="0.35">
      <c r="A152" s="105">
        <v>42887</v>
      </c>
      <c r="B152" s="17"/>
      <c r="C152" s="28"/>
    </row>
    <row r="153" spans="1:5" x14ac:dyDescent="0.35">
      <c r="A153" s="105">
        <v>42917</v>
      </c>
      <c r="B153" s="17"/>
      <c r="C153" s="28"/>
    </row>
    <row r="154" spans="1:5" x14ac:dyDescent="0.35">
      <c r="A154" s="106">
        <v>42948</v>
      </c>
      <c r="B154" s="91"/>
      <c r="C154" s="107"/>
    </row>
    <row r="155" spans="1:5" x14ac:dyDescent="0.35">
      <c r="A155" s="122">
        <v>46143</v>
      </c>
      <c r="B155" s="91">
        <v>55</v>
      </c>
      <c r="C155" s="107"/>
      <c r="E155" t="s">
        <v>324</v>
      </c>
    </row>
    <row r="156" spans="1:5" x14ac:dyDescent="0.35">
      <c r="A156" s="122">
        <v>46174</v>
      </c>
      <c r="B156" s="91">
        <v>54.2</v>
      </c>
      <c r="C156" s="107">
        <v>-0.8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71:I156"/>
  <sheetViews>
    <sheetView topLeftCell="A71" zoomScale="70" zoomScaleNormal="70" workbookViewId="0">
      <pane ySplit="1" topLeftCell="A105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5.6328125" style="14" customWidth="1"/>
    <col min="3" max="3" width="12.36328125" style="13" customWidth="1"/>
    <col min="4" max="4" width="31" style="5" customWidth="1"/>
  </cols>
  <sheetData>
    <row r="71" spans="1:5" x14ac:dyDescent="0.35">
      <c r="A71" s="13" t="s">
        <v>0</v>
      </c>
      <c r="B71" s="14" t="s">
        <v>14</v>
      </c>
      <c r="C71" s="13" t="s">
        <v>5</v>
      </c>
      <c r="D71" s="5" t="s">
        <v>65</v>
      </c>
      <c r="E71" t="s">
        <v>325</v>
      </c>
    </row>
    <row r="72" spans="1:5" x14ac:dyDescent="0.35">
      <c r="A72" s="15">
        <v>40452</v>
      </c>
      <c r="B72" s="6">
        <v>51.8</v>
      </c>
    </row>
    <row r="73" spans="1:5" x14ac:dyDescent="0.35">
      <c r="A73" s="15">
        <v>40483</v>
      </c>
      <c r="B73" s="6">
        <v>51.1</v>
      </c>
      <c r="C73" s="19">
        <f t="shared" ref="C73:C87" si="0">B73-B72</f>
        <v>-0.69999999999999574</v>
      </c>
    </row>
    <row r="74" spans="1:5" x14ac:dyDescent="0.35">
      <c r="A74" s="15">
        <v>40513</v>
      </c>
      <c r="B74" s="6">
        <v>53.5</v>
      </c>
      <c r="C74" s="19">
        <f t="shared" si="0"/>
        <v>2.3999999999999986</v>
      </c>
      <c r="D74" s="5">
        <v>0.01</v>
      </c>
    </row>
    <row r="75" spans="1:5" x14ac:dyDescent="0.35">
      <c r="A75" s="15">
        <v>40544</v>
      </c>
      <c r="B75" s="6">
        <v>53.5</v>
      </c>
      <c r="C75" s="19">
        <f t="shared" si="0"/>
        <v>0</v>
      </c>
    </row>
    <row r="76" spans="1:5" x14ac:dyDescent="0.35">
      <c r="A76" s="15">
        <v>40575</v>
      </c>
      <c r="B76" s="6">
        <v>56.4</v>
      </c>
      <c r="C76" s="19">
        <f t="shared" si="0"/>
        <v>2.8999999999999986</v>
      </c>
    </row>
    <row r="77" spans="1:5" x14ac:dyDescent="0.35">
      <c r="A77" s="15">
        <v>40603</v>
      </c>
      <c r="B77" s="6">
        <v>55.1</v>
      </c>
      <c r="C77" s="19">
        <f t="shared" si="0"/>
        <v>-1.2999999999999972</v>
      </c>
      <c r="D77" s="5">
        <v>8.9999999999999993E-3</v>
      </c>
    </row>
    <row r="78" spans="1:5" x14ac:dyDescent="0.35">
      <c r="A78" s="15">
        <v>40634</v>
      </c>
      <c r="B78" s="6">
        <v>52.1</v>
      </c>
      <c r="C78" s="19">
        <f t="shared" si="0"/>
        <v>-3</v>
      </c>
    </row>
    <row r="79" spans="1:5" x14ac:dyDescent="0.35">
      <c r="A79" s="15">
        <v>40664</v>
      </c>
      <c r="B79" s="6">
        <v>50.9</v>
      </c>
      <c r="C79" s="19">
        <f t="shared" si="0"/>
        <v>-1.2000000000000028</v>
      </c>
    </row>
    <row r="80" spans="1:5" x14ac:dyDescent="0.35">
      <c r="A80" s="15">
        <v>40695</v>
      </c>
      <c r="B80" s="6">
        <v>50.6</v>
      </c>
      <c r="C80" s="19">
        <f t="shared" si="0"/>
        <v>-0.29999999999999716</v>
      </c>
      <c r="D80" s="5">
        <v>1.2999999999999999E-2</v>
      </c>
    </row>
    <row r="81" spans="1:9" x14ac:dyDescent="0.35">
      <c r="A81" s="15">
        <v>40725</v>
      </c>
      <c r="B81" s="6">
        <v>49.8</v>
      </c>
      <c r="C81" s="19">
        <f t="shared" si="0"/>
        <v>-0.80000000000000426</v>
      </c>
    </row>
    <row r="82" spans="1:9" x14ac:dyDescent="0.35">
      <c r="A82" s="15">
        <v>40756</v>
      </c>
      <c r="B82" s="6">
        <v>49.9</v>
      </c>
      <c r="C82" s="19">
        <f t="shared" si="0"/>
        <v>0.10000000000000142</v>
      </c>
    </row>
    <row r="83" spans="1:9" x14ac:dyDescent="0.35">
      <c r="A83" s="15">
        <v>40787</v>
      </c>
      <c r="B83" s="6">
        <v>50</v>
      </c>
      <c r="C83" s="19">
        <f t="shared" si="0"/>
        <v>0.10000000000000142</v>
      </c>
      <c r="D83" s="5">
        <v>1.4E-2</v>
      </c>
    </row>
    <row r="84" spans="1:9" x14ac:dyDescent="0.35">
      <c r="A84" s="15">
        <v>40817</v>
      </c>
      <c r="B84" s="6">
        <v>50.4</v>
      </c>
      <c r="C84" s="19">
        <f t="shared" si="0"/>
        <v>0.39999999999999858</v>
      </c>
    </row>
    <row r="85" spans="1:9" x14ac:dyDescent="0.35">
      <c r="A85" s="15">
        <v>40848</v>
      </c>
      <c r="B85" s="6">
        <v>52.6</v>
      </c>
      <c r="C85" s="19">
        <f t="shared" si="0"/>
        <v>2.2000000000000028</v>
      </c>
      <c r="H85" s="64" t="s">
        <v>113</v>
      </c>
      <c r="I85" t="s">
        <v>27</v>
      </c>
    </row>
    <row r="86" spans="1:9" x14ac:dyDescent="0.35">
      <c r="A86" s="15">
        <v>40878</v>
      </c>
      <c r="B86" s="6">
        <v>51.6</v>
      </c>
      <c r="C86" s="19">
        <f t="shared" si="0"/>
        <v>-1</v>
      </c>
      <c r="D86" s="5">
        <v>1.4999999999999999E-2</v>
      </c>
    </row>
    <row r="87" spans="1:9" x14ac:dyDescent="0.35">
      <c r="A87" s="16">
        <v>40909</v>
      </c>
      <c r="B87" s="17">
        <v>50.8</v>
      </c>
      <c r="C87" s="20">
        <f t="shared" si="0"/>
        <v>-0.80000000000000426</v>
      </c>
    </row>
    <row r="88" spans="1:9" x14ac:dyDescent="0.35">
      <c r="A88" s="16">
        <v>40940</v>
      </c>
      <c r="B88" s="17">
        <v>50.7</v>
      </c>
      <c r="C88" s="20">
        <f>B88-B87</f>
        <v>-9.9999999999994316E-2</v>
      </c>
    </row>
    <row r="89" spans="1:9" x14ac:dyDescent="0.35">
      <c r="A89" s="16">
        <v>40969</v>
      </c>
      <c r="B89" s="17">
        <v>50.8</v>
      </c>
      <c r="C89" s="20">
        <f t="shared" ref="C89:C114" si="1">B89-B88</f>
        <v>9.9999999999994316E-2</v>
      </c>
      <c r="D89" s="5">
        <v>8.0000000000000002E-3</v>
      </c>
    </row>
    <row r="90" spans="1:9" x14ac:dyDescent="0.35">
      <c r="A90" s="16">
        <v>41000</v>
      </c>
      <c r="B90" s="17">
        <v>52.9</v>
      </c>
      <c r="C90" s="20">
        <f t="shared" si="1"/>
        <v>2.1000000000000014</v>
      </c>
    </row>
    <row r="91" spans="1:9" x14ac:dyDescent="0.35">
      <c r="A91" s="16">
        <v>41030</v>
      </c>
      <c r="B91" s="17">
        <v>53.2</v>
      </c>
      <c r="C91" s="20">
        <f t="shared" si="1"/>
        <v>0.30000000000000426</v>
      </c>
    </row>
    <row r="92" spans="1:9" x14ac:dyDescent="0.35">
      <c r="A92" s="16">
        <v>41061</v>
      </c>
      <c r="B92" s="17">
        <v>51</v>
      </c>
      <c r="C92" s="20">
        <f t="shared" si="1"/>
        <v>-2.2000000000000028</v>
      </c>
      <c r="D92" s="5">
        <v>6.0000000000000001E-3</v>
      </c>
    </row>
    <row r="93" spans="1:9" x14ac:dyDescent="0.35">
      <c r="A93" s="16">
        <v>41091</v>
      </c>
      <c r="B93" s="17">
        <v>52</v>
      </c>
      <c r="C93" s="20">
        <f t="shared" si="1"/>
        <v>1</v>
      </c>
    </row>
    <row r="94" spans="1:9" x14ac:dyDescent="0.35">
      <c r="A94" s="16">
        <v>41122</v>
      </c>
      <c r="B94" s="17">
        <v>51</v>
      </c>
      <c r="C94" s="20">
        <f t="shared" si="1"/>
        <v>-1</v>
      </c>
    </row>
    <row r="95" spans="1:9" x14ac:dyDescent="0.35">
      <c r="A95" s="16">
        <v>41153</v>
      </c>
      <c r="B95" s="17">
        <v>52.4</v>
      </c>
      <c r="C95" s="20">
        <f t="shared" si="1"/>
        <v>1.3999999999999986</v>
      </c>
      <c r="D95" s="5">
        <v>3.0000000000000001E-3</v>
      </c>
    </row>
    <row r="96" spans="1:9" x14ac:dyDescent="0.35">
      <c r="A96" s="16">
        <v>41183</v>
      </c>
      <c r="B96" s="17">
        <v>52.9</v>
      </c>
      <c r="C96" s="20">
        <f t="shared" si="1"/>
        <v>0.5</v>
      </c>
    </row>
    <row r="97" spans="1:4" x14ac:dyDescent="0.35">
      <c r="A97" s="16">
        <v>41214</v>
      </c>
      <c r="B97" s="17">
        <v>52.2</v>
      </c>
      <c r="C97" s="20">
        <f t="shared" si="1"/>
        <v>-0.69999999999999574</v>
      </c>
    </row>
    <row r="98" spans="1:4" x14ac:dyDescent="0.35">
      <c r="A98" s="16">
        <v>41244</v>
      </c>
      <c r="B98" s="17">
        <v>50</v>
      </c>
      <c r="C98" s="20">
        <f t="shared" si="1"/>
        <v>-2.2000000000000028</v>
      </c>
      <c r="D98" s="5">
        <v>-2E-3</v>
      </c>
    </row>
    <row r="99" spans="1:4" x14ac:dyDescent="0.35">
      <c r="A99" s="16">
        <v>41275</v>
      </c>
      <c r="B99" s="17">
        <v>52</v>
      </c>
      <c r="C99" s="20">
        <f t="shared" si="1"/>
        <v>2</v>
      </c>
    </row>
    <row r="100" spans="1:4" x14ac:dyDescent="0.35">
      <c r="A100" s="16">
        <v>41306</v>
      </c>
      <c r="B100" s="17">
        <v>52</v>
      </c>
      <c r="C100" s="20">
        <f t="shared" si="1"/>
        <v>0</v>
      </c>
    </row>
    <row r="101" spans="1:4" x14ac:dyDescent="0.35">
      <c r="A101" s="16">
        <v>41334</v>
      </c>
      <c r="B101" s="17">
        <v>50.8</v>
      </c>
      <c r="C101" s="20">
        <f t="shared" si="1"/>
        <v>-1.2000000000000028</v>
      </c>
      <c r="D101" s="5">
        <v>5.0000000000000001E-3</v>
      </c>
    </row>
    <row r="102" spans="1:4" x14ac:dyDescent="0.35">
      <c r="A102" s="16">
        <v>41365</v>
      </c>
      <c r="B102" s="17">
        <v>50.6</v>
      </c>
      <c r="C102" s="20">
        <f t="shared" si="1"/>
        <v>-0.19999999999999574</v>
      </c>
    </row>
    <row r="103" spans="1:4" x14ac:dyDescent="0.35">
      <c r="A103" s="16">
        <v>41395</v>
      </c>
      <c r="B103" s="17">
        <v>50.4</v>
      </c>
      <c r="C103" s="20">
        <f t="shared" si="1"/>
        <v>-0.20000000000000284</v>
      </c>
    </row>
    <row r="104" spans="1:4" x14ac:dyDescent="0.35">
      <c r="A104" s="16">
        <v>41426</v>
      </c>
      <c r="B104" s="17">
        <v>51.7</v>
      </c>
      <c r="C104" s="20">
        <f t="shared" si="1"/>
        <v>1.3000000000000043</v>
      </c>
      <c r="D104" s="5">
        <v>4.0000000000000001E-3</v>
      </c>
    </row>
    <row r="105" spans="1:4" x14ac:dyDescent="0.35">
      <c r="A105" s="16">
        <v>41456</v>
      </c>
      <c r="B105" s="17">
        <v>49.2</v>
      </c>
      <c r="C105" s="20">
        <f t="shared" si="1"/>
        <v>-2.5</v>
      </c>
    </row>
    <row r="106" spans="1:4" x14ac:dyDescent="0.35">
      <c r="A106" s="16">
        <v>41487</v>
      </c>
      <c r="B106" s="17">
        <v>49.4</v>
      </c>
      <c r="C106" s="20">
        <f t="shared" si="1"/>
        <v>0.19999999999999574</v>
      </c>
    </row>
    <row r="107" spans="1:4" x14ac:dyDescent="0.35">
      <c r="A107" s="16">
        <v>41518</v>
      </c>
      <c r="B107" s="17">
        <v>49.4</v>
      </c>
      <c r="C107" s="20">
        <f t="shared" si="1"/>
        <v>0</v>
      </c>
      <c r="D107" s="5">
        <v>3.0000000000000001E-3</v>
      </c>
    </row>
    <row r="108" spans="1:4" x14ac:dyDescent="0.35">
      <c r="A108" s="16">
        <v>41548</v>
      </c>
      <c r="B108" s="17">
        <v>51.8</v>
      </c>
      <c r="C108" s="20">
        <f t="shared" si="1"/>
        <v>2.3999999999999986</v>
      </c>
    </row>
    <row r="109" spans="1:4" x14ac:dyDescent="0.35">
      <c r="A109" s="16">
        <v>41579</v>
      </c>
      <c r="B109" s="17">
        <v>49.4</v>
      </c>
      <c r="C109" s="20">
        <f t="shared" si="1"/>
        <v>-2.3999999999999986</v>
      </c>
    </row>
    <row r="110" spans="1:4" x14ac:dyDescent="0.35">
      <c r="A110" s="16">
        <v>41609</v>
      </c>
      <c r="B110" s="17">
        <v>48.8</v>
      </c>
      <c r="C110" s="20">
        <f t="shared" si="1"/>
        <v>-0.60000000000000142</v>
      </c>
      <c r="D110" s="5">
        <v>3.0000000000000001E-3</v>
      </c>
    </row>
    <row r="111" spans="1:4" x14ac:dyDescent="0.35">
      <c r="A111" s="16">
        <v>41640</v>
      </c>
      <c r="B111" s="17">
        <v>48</v>
      </c>
      <c r="C111" s="20">
        <f t="shared" si="1"/>
        <v>-0.79999999999999716</v>
      </c>
    </row>
    <row r="112" spans="1:4" x14ac:dyDescent="0.35">
      <c r="A112" s="16">
        <v>41671</v>
      </c>
      <c r="B112" s="17">
        <v>48.5</v>
      </c>
      <c r="C112" s="20">
        <f t="shared" si="1"/>
        <v>0.5</v>
      </c>
    </row>
    <row r="113" spans="1:4" x14ac:dyDescent="0.35">
      <c r="A113" s="16">
        <v>41699</v>
      </c>
      <c r="B113" s="17">
        <v>48.3</v>
      </c>
      <c r="C113" s="20">
        <f t="shared" si="1"/>
        <v>-0.20000000000000284</v>
      </c>
      <c r="D113" s="5">
        <v>-3.0000000000000001E-3</v>
      </c>
    </row>
    <row r="114" spans="1:4" x14ac:dyDescent="0.35">
      <c r="A114" s="16">
        <v>41730</v>
      </c>
      <c r="B114" s="17">
        <v>48.5</v>
      </c>
      <c r="C114" s="20">
        <f t="shared" si="1"/>
        <v>0.20000000000000284</v>
      </c>
    </row>
    <row r="115" spans="1:4" x14ac:dyDescent="0.35">
      <c r="A115" s="16">
        <v>41760</v>
      </c>
      <c r="B115" s="17">
        <v>48.9</v>
      </c>
      <c r="C115" s="20">
        <f t="shared" ref="C115:C118" si="2">B115-B114</f>
        <v>0.39999999999999858</v>
      </c>
    </row>
    <row r="116" spans="1:4" x14ac:dyDescent="0.35">
      <c r="A116" s="16">
        <v>41791</v>
      </c>
      <c r="B116" s="17">
        <v>49.1</v>
      </c>
      <c r="C116" s="20">
        <f t="shared" si="2"/>
        <v>0.20000000000000284</v>
      </c>
      <c r="D116" s="7">
        <v>2.5000000000000001E-3</v>
      </c>
    </row>
    <row r="117" spans="1:4" x14ac:dyDescent="0.35">
      <c r="A117" s="16">
        <v>41821</v>
      </c>
      <c r="B117" s="17">
        <v>51</v>
      </c>
      <c r="C117" s="20">
        <f t="shared" si="2"/>
        <v>1.8999999999999986</v>
      </c>
    </row>
    <row r="118" spans="1:4" x14ac:dyDescent="0.35">
      <c r="A118" s="16">
        <v>41852</v>
      </c>
      <c r="B118" s="17">
        <v>51</v>
      </c>
      <c r="C118" s="20">
        <f t="shared" si="2"/>
        <v>0</v>
      </c>
    </row>
    <row r="119" spans="1:4" x14ac:dyDescent="0.35">
      <c r="A119" s="16">
        <v>41883</v>
      </c>
      <c r="B119" s="17">
        <v>50.4</v>
      </c>
      <c r="C119" s="20">
        <f>IFERROR(B119-B118,"")</f>
        <v>-0.60000000000000142</v>
      </c>
      <c r="D119" s="7" t="e">
        <f>IF(VLOOKUP(I85,Data!$O$51:$V$152,7,FALSE)=A118,VLOOKUP(I85,Data!$O$51:$V$152,2,FALSE)/100,#N/A)</f>
        <v>#N/A</v>
      </c>
    </row>
    <row r="120" spans="1:4" x14ac:dyDescent="0.35">
      <c r="A120" s="16">
        <v>41913</v>
      </c>
      <c r="B120" s="17">
        <v>50.3</v>
      </c>
      <c r="C120" s="20">
        <v>-0.10000000000000142</v>
      </c>
    </row>
    <row r="121" spans="1:4" x14ac:dyDescent="0.35">
      <c r="A121" s="16">
        <v>41944</v>
      </c>
      <c r="B121" s="17">
        <f>IF(A121=Data!$C$1,VLOOKUP($H$85,Data!$A$2:$C$36,3,FALSE),"N/A")</f>
        <v>51.7</v>
      </c>
      <c r="C121" s="20">
        <f t="shared" ref="C121" si="3">B121-B120</f>
        <v>1.4000000000000057</v>
      </c>
    </row>
    <row r="122" spans="1:4" x14ac:dyDescent="0.35">
      <c r="A122" s="105">
        <v>41974</v>
      </c>
      <c r="B122" s="17"/>
      <c r="C122" s="20"/>
    </row>
    <row r="123" spans="1:4" x14ac:dyDescent="0.35">
      <c r="A123" s="105">
        <v>42005</v>
      </c>
      <c r="B123" s="17"/>
      <c r="C123" s="20"/>
    </row>
    <row r="124" spans="1:4" x14ac:dyDescent="0.35">
      <c r="A124" s="105">
        <v>42036</v>
      </c>
      <c r="B124" s="17"/>
      <c r="C124" s="20"/>
    </row>
    <row r="125" spans="1:4" x14ac:dyDescent="0.35">
      <c r="A125" s="105">
        <v>42064</v>
      </c>
      <c r="B125" s="17"/>
      <c r="C125" s="20"/>
    </row>
    <row r="126" spans="1:4" x14ac:dyDescent="0.35">
      <c r="A126" s="105">
        <v>42095</v>
      </c>
      <c r="B126" s="17"/>
      <c r="C126" s="20"/>
    </row>
    <row r="127" spans="1:4" x14ac:dyDescent="0.35">
      <c r="A127" s="105">
        <v>42125</v>
      </c>
      <c r="B127" s="17"/>
      <c r="C127" s="20"/>
    </row>
    <row r="128" spans="1:4" x14ac:dyDescent="0.35">
      <c r="A128" s="105">
        <v>42156</v>
      </c>
      <c r="B128" s="17"/>
      <c r="C128" s="20"/>
    </row>
    <row r="129" spans="1:3" x14ac:dyDescent="0.35">
      <c r="A129" s="105">
        <v>42186</v>
      </c>
      <c r="B129" s="17"/>
      <c r="C129" s="20"/>
    </row>
    <row r="130" spans="1:3" x14ac:dyDescent="0.35">
      <c r="A130" s="105">
        <v>42217</v>
      </c>
      <c r="B130" s="17"/>
      <c r="C130" s="20"/>
    </row>
    <row r="131" spans="1:3" x14ac:dyDescent="0.35">
      <c r="A131" s="105">
        <v>42248</v>
      </c>
      <c r="B131" s="17"/>
      <c r="C131" s="20"/>
    </row>
    <row r="132" spans="1:3" x14ac:dyDescent="0.35">
      <c r="A132" s="105">
        <v>42278</v>
      </c>
      <c r="B132" s="17"/>
      <c r="C132" s="20"/>
    </row>
    <row r="133" spans="1:3" x14ac:dyDescent="0.35">
      <c r="A133" s="105">
        <v>42309</v>
      </c>
      <c r="B133" s="17"/>
      <c r="C133" s="20"/>
    </row>
    <row r="134" spans="1:3" x14ac:dyDescent="0.35">
      <c r="A134" s="105">
        <v>42339</v>
      </c>
      <c r="B134" s="17"/>
      <c r="C134" s="20"/>
    </row>
    <row r="135" spans="1:3" x14ac:dyDescent="0.35">
      <c r="A135" s="105">
        <v>42370</v>
      </c>
      <c r="B135" s="17"/>
      <c r="C135" s="20"/>
    </row>
    <row r="136" spans="1:3" x14ac:dyDescent="0.35">
      <c r="A136" s="105">
        <v>42401</v>
      </c>
      <c r="B136" s="17"/>
      <c r="C136" s="20"/>
    </row>
    <row r="137" spans="1:3" x14ac:dyDescent="0.35">
      <c r="A137" s="105">
        <v>42430</v>
      </c>
      <c r="B137" s="17"/>
      <c r="C137" s="20"/>
    </row>
    <row r="138" spans="1:3" x14ac:dyDescent="0.35">
      <c r="A138" s="105">
        <v>42461</v>
      </c>
      <c r="B138" s="17"/>
      <c r="C138" s="20"/>
    </row>
    <row r="139" spans="1:3" x14ac:dyDescent="0.35">
      <c r="A139" s="105">
        <v>42491</v>
      </c>
      <c r="B139" s="17"/>
      <c r="C139" s="20"/>
    </row>
    <row r="140" spans="1:3" x14ac:dyDescent="0.35">
      <c r="A140" s="105">
        <v>42522</v>
      </c>
      <c r="B140" s="17"/>
      <c r="C140" s="20"/>
    </row>
    <row r="141" spans="1:3" x14ac:dyDescent="0.35">
      <c r="A141" s="105">
        <v>42552</v>
      </c>
      <c r="B141" s="17"/>
      <c r="C141" s="20"/>
    </row>
    <row r="142" spans="1:3" x14ac:dyDescent="0.35">
      <c r="A142" s="105">
        <v>42583</v>
      </c>
      <c r="B142" s="17"/>
      <c r="C142" s="20"/>
    </row>
    <row r="143" spans="1:3" x14ac:dyDescent="0.35">
      <c r="A143" s="105">
        <v>42614</v>
      </c>
      <c r="B143" s="17"/>
      <c r="C143" s="20"/>
    </row>
    <row r="144" spans="1:3" x14ac:dyDescent="0.35">
      <c r="A144" s="105">
        <v>42644</v>
      </c>
      <c r="B144" s="17"/>
      <c r="C144" s="20"/>
    </row>
    <row r="145" spans="1:5" x14ac:dyDescent="0.35">
      <c r="A145" s="105">
        <v>42675</v>
      </c>
      <c r="B145" s="17"/>
      <c r="C145" s="20"/>
    </row>
    <row r="146" spans="1:5" x14ac:dyDescent="0.35">
      <c r="A146" s="105">
        <v>42705</v>
      </c>
      <c r="B146" s="17"/>
      <c r="C146" s="20"/>
    </row>
    <row r="147" spans="1:5" x14ac:dyDescent="0.35">
      <c r="A147" s="105">
        <v>42736</v>
      </c>
      <c r="B147" s="17"/>
      <c r="C147" s="20"/>
    </row>
    <row r="148" spans="1:5" x14ac:dyDescent="0.35">
      <c r="A148" s="105">
        <v>42767</v>
      </c>
      <c r="B148" s="17"/>
      <c r="C148" s="20"/>
    </row>
    <row r="149" spans="1:5" x14ac:dyDescent="0.35">
      <c r="A149" s="105">
        <v>42795</v>
      </c>
      <c r="B149" s="17"/>
      <c r="C149" s="20"/>
    </row>
    <row r="150" spans="1:5" x14ac:dyDescent="0.35">
      <c r="A150" s="105">
        <v>42826</v>
      </c>
      <c r="B150" s="17"/>
      <c r="C150" s="20"/>
    </row>
    <row r="151" spans="1:5" x14ac:dyDescent="0.35">
      <c r="A151" s="105">
        <v>42856</v>
      </c>
      <c r="B151" s="17"/>
      <c r="C151" s="20"/>
    </row>
    <row r="152" spans="1:5" x14ac:dyDescent="0.35">
      <c r="A152" s="105">
        <v>42887</v>
      </c>
      <c r="B152" s="17"/>
      <c r="C152" s="20"/>
    </row>
    <row r="153" spans="1:5" x14ac:dyDescent="0.35">
      <c r="A153" s="105">
        <v>42917</v>
      </c>
      <c r="B153" s="17"/>
      <c r="C153" s="20"/>
    </row>
    <row r="154" spans="1:5" x14ac:dyDescent="0.35">
      <c r="A154" s="106">
        <v>42948</v>
      </c>
      <c r="B154" s="91"/>
      <c r="C154" s="112"/>
    </row>
    <row r="155" spans="1:5" x14ac:dyDescent="0.35">
      <c r="A155" s="122">
        <v>46143</v>
      </c>
      <c r="B155" s="91">
        <v>48.8</v>
      </c>
      <c r="C155" s="112"/>
      <c r="E155" t="s">
        <v>324</v>
      </c>
    </row>
    <row r="156" spans="1:5" x14ac:dyDescent="0.35">
      <c r="A156" s="122">
        <v>46174</v>
      </c>
      <c r="B156" s="91">
        <v>50.3</v>
      </c>
      <c r="C156" s="112">
        <v>1.5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77:I156"/>
  <sheetViews>
    <sheetView topLeftCell="A76" zoomScale="70" zoomScaleNormal="70" workbookViewId="0">
      <pane ySplit="2" topLeftCell="A99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6.08984375" style="6" customWidth="1"/>
    <col min="3" max="3" width="12.36328125" style="13" customWidth="1"/>
    <col min="4" max="4" width="30" style="5" customWidth="1"/>
  </cols>
  <sheetData>
    <row r="77" spans="1:5" x14ac:dyDescent="0.35">
      <c r="A77" s="13" t="s">
        <v>0</v>
      </c>
      <c r="B77" s="6" t="s">
        <v>13</v>
      </c>
      <c r="C77" s="13" t="s">
        <v>5</v>
      </c>
      <c r="D77" s="5" t="s">
        <v>58</v>
      </c>
      <c r="E77" t="s">
        <v>325</v>
      </c>
    </row>
    <row r="78" spans="1:5" x14ac:dyDescent="0.35">
      <c r="A78" s="15">
        <v>40634</v>
      </c>
      <c r="B78" s="6">
        <v>56.1</v>
      </c>
    </row>
    <row r="79" spans="1:5" x14ac:dyDescent="0.35">
      <c r="A79" s="15">
        <v>40664</v>
      </c>
      <c r="B79" s="6">
        <v>54.5</v>
      </c>
      <c r="C79" s="19">
        <f t="shared" ref="C79:C87" si="0">B79-B78</f>
        <v>-1.6000000000000014</v>
      </c>
    </row>
    <row r="80" spans="1:5" x14ac:dyDescent="0.35">
      <c r="A80" s="15">
        <v>40695</v>
      </c>
      <c r="B80" s="6">
        <v>55.1</v>
      </c>
      <c r="C80" s="19">
        <f t="shared" si="0"/>
        <v>0.60000000000000142</v>
      </c>
      <c r="D80" s="5">
        <v>8.9999999999999993E-3</v>
      </c>
    </row>
    <row r="81" spans="1:9" x14ac:dyDescent="0.35">
      <c r="A81" s="15">
        <v>40725</v>
      </c>
      <c r="B81" s="6">
        <v>54.8</v>
      </c>
      <c r="C81" s="19">
        <f t="shared" si="0"/>
        <v>-0.30000000000000426</v>
      </c>
    </row>
    <row r="82" spans="1:9" x14ac:dyDescent="0.35">
      <c r="A82" s="15">
        <v>40756</v>
      </c>
      <c r="B82" s="6">
        <v>51.7</v>
      </c>
      <c r="C82" s="19">
        <f t="shared" si="0"/>
        <v>-3.0999999999999943</v>
      </c>
    </row>
    <row r="83" spans="1:9" x14ac:dyDescent="0.35">
      <c r="A83" s="15">
        <v>40787</v>
      </c>
      <c r="B83" s="6">
        <v>53.2</v>
      </c>
      <c r="C83" s="19">
        <f t="shared" si="0"/>
        <v>1.5</v>
      </c>
      <c r="D83" s="5">
        <v>1.4E-2</v>
      </c>
    </row>
    <row r="84" spans="1:9" x14ac:dyDescent="0.35">
      <c r="A84" s="15">
        <v>40817</v>
      </c>
      <c r="B84" s="6">
        <v>54.8</v>
      </c>
      <c r="C84" s="19">
        <f t="shared" si="0"/>
        <v>1.5999999999999943</v>
      </c>
    </row>
    <row r="85" spans="1:9" x14ac:dyDescent="0.35">
      <c r="A85" s="15">
        <v>40848</v>
      </c>
      <c r="B85" s="6">
        <v>53.9</v>
      </c>
      <c r="C85" s="19">
        <f t="shared" si="0"/>
        <v>-0.89999999999999858</v>
      </c>
      <c r="H85" s="64" t="s">
        <v>114</v>
      </c>
      <c r="I85" t="s">
        <v>29</v>
      </c>
    </row>
    <row r="86" spans="1:9" x14ac:dyDescent="0.35">
      <c r="A86" s="15">
        <v>40878</v>
      </c>
      <c r="B86" s="6">
        <v>53.1</v>
      </c>
      <c r="C86" s="19">
        <f t="shared" si="0"/>
        <v>-0.79999999999999716</v>
      </c>
      <c r="D86" s="5">
        <v>8.0000000000000002E-3</v>
      </c>
    </row>
    <row r="87" spans="1:9" x14ac:dyDescent="0.35">
      <c r="A87" s="16">
        <v>40909</v>
      </c>
      <c r="B87" s="17">
        <v>52.2</v>
      </c>
      <c r="C87" s="20">
        <f t="shared" si="0"/>
        <v>-0.89999999999999858</v>
      </c>
    </row>
    <row r="88" spans="1:9" x14ac:dyDescent="0.35">
      <c r="A88" s="16">
        <v>40940</v>
      </c>
      <c r="B88" s="17">
        <v>53.7</v>
      </c>
      <c r="C88" s="20">
        <f>B88-B87</f>
        <v>1.5</v>
      </c>
    </row>
    <row r="89" spans="1:9" x14ac:dyDescent="0.35">
      <c r="A89" s="16">
        <v>40969</v>
      </c>
      <c r="B89" s="17">
        <v>53.8</v>
      </c>
      <c r="C89" s="20">
        <f t="shared" ref="C89:C114" si="1">B89-B88</f>
        <v>9.9999999999994316E-2</v>
      </c>
      <c r="D89" s="5">
        <v>7.0000000000000001E-3</v>
      </c>
    </row>
    <row r="90" spans="1:9" x14ac:dyDescent="0.35">
      <c r="A90" s="16">
        <v>41000</v>
      </c>
      <c r="B90" s="17">
        <v>56.3</v>
      </c>
      <c r="C90" s="20">
        <f t="shared" si="1"/>
        <v>2.5</v>
      </c>
    </row>
    <row r="91" spans="1:9" x14ac:dyDescent="0.35">
      <c r="A91" s="16">
        <v>41030</v>
      </c>
      <c r="B91" s="17">
        <v>55.2</v>
      </c>
      <c r="C91" s="20">
        <f t="shared" si="1"/>
        <v>-1.0999999999999943</v>
      </c>
    </row>
    <row r="92" spans="1:9" x14ac:dyDescent="0.35">
      <c r="A92" s="16">
        <v>41061</v>
      </c>
      <c r="B92" s="17">
        <v>55.9</v>
      </c>
      <c r="C92" s="20">
        <f t="shared" si="1"/>
        <v>0.69999999999999574</v>
      </c>
      <c r="D92" s="5">
        <v>1.6E-2</v>
      </c>
    </row>
    <row r="93" spans="1:9" x14ac:dyDescent="0.35">
      <c r="A93" s="16">
        <v>41091</v>
      </c>
      <c r="B93" s="17">
        <v>55.2</v>
      </c>
      <c r="C93" s="20">
        <f t="shared" si="1"/>
        <v>-0.69999999999999574</v>
      </c>
    </row>
    <row r="94" spans="1:9" x14ac:dyDescent="0.35">
      <c r="A94" s="16">
        <v>41122</v>
      </c>
      <c r="B94" s="17">
        <v>55.1</v>
      </c>
      <c r="C94" s="20">
        <f t="shared" si="1"/>
        <v>-0.10000000000000142</v>
      </c>
    </row>
    <row r="95" spans="1:9" x14ac:dyDescent="0.35">
      <c r="A95" s="16">
        <v>41153</v>
      </c>
      <c r="B95" s="17">
        <v>54.4</v>
      </c>
      <c r="C95" s="20">
        <f t="shared" si="1"/>
        <v>-0.70000000000000284</v>
      </c>
      <c r="D95" s="5">
        <v>1E-3</v>
      </c>
    </row>
    <row r="96" spans="1:9" x14ac:dyDescent="0.35">
      <c r="A96" s="16">
        <v>41183</v>
      </c>
      <c r="B96" s="17">
        <v>55.5</v>
      </c>
      <c r="C96" s="20">
        <f t="shared" si="1"/>
        <v>1.1000000000000014</v>
      </c>
    </row>
    <row r="97" spans="1:4" x14ac:dyDescent="0.35">
      <c r="A97" s="16">
        <v>41214</v>
      </c>
      <c r="B97" s="17">
        <v>55.6</v>
      </c>
      <c r="C97" s="20">
        <f t="shared" si="1"/>
        <v>0.10000000000000142</v>
      </c>
    </row>
    <row r="98" spans="1:4" x14ac:dyDescent="0.35">
      <c r="A98" s="16">
        <v>41244</v>
      </c>
      <c r="B98" s="17">
        <v>57.1</v>
      </c>
      <c r="C98" s="20">
        <f t="shared" si="1"/>
        <v>1.5</v>
      </c>
      <c r="D98" s="5">
        <v>8.9999999999999993E-3</v>
      </c>
    </row>
    <row r="99" spans="1:4" x14ac:dyDescent="0.35">
      <c r="A99" s="16">
        <v>41275</v>
      </c>
      <c r="B99" s="17">
        <v>55</v>
      </c>
      <c r="C99" s="20">
        <f t="shared" si="1"/>
        <v>-2.1000000000000014</v>
      </c>
    </row>
    <row r="100" spans="1:4" x14ac:dyDescent="0.35">
      <c r="A100" s="16">
        <v>41306</v>
      </c>
      <c r="B100" s="17">
        <v>53.4</v>
      </c>
      <c r="C100" s="20">
        <f t="shared" si="1"/>
        <v>-1.6000000000000014</v>
      </c>
    </row>
    <row r="101" spans="1:4" x14ac:dyDescent="0.35">
      <c r="A101" s="16">
        <v>41334</v>
      </c>
      <c r="B101" s="17">
        <v>52.2</v>
      </c>
      <c r="C101" s="20">
        <f t="shared" si="1"/>
        <v>-1.1999999999999957</v>
      </c>
      <c r="D101" s="5">
        <v>2E-3</v>
      </c>
    </row>
    <row r="102" spans="1:4" x14ac:dyDescent="0.35">
      <c r="A102" s="16">
        <v>41365</v>
      </c>
      <c r="B102" s="17">
        <v>51.7</v>
      </c>
      <c r="C102" s="20">
        <f t="shared" si="1"/>
        <v>-0.5</v>
      </c>
    </row>
    <row r="103" spans="1:4" x14ac:dyDescent="0.35">
      <c r="A103" s="16">
        <v>41395</v>
      </c>
      <c r="B103" s="17">
        <v>51.8</v>
      </c>
      <c r="C103" s="20">
        <f t="shared" si="1"/>
        <v>9.9999999999994316E-2</v>
      </c>
    </row>
    <row r="104" spans="1:4" x14ac:dyDescent="0.35">
      <c r="A104" s="16">
        <v>41426</v>
      </c>
      <c r="B104" s="17">
        <v>51.3</v>
      </c>
      <c r="C104" s="20">
        <f t="shared" si="1"/>
        <v>-0.5</v>
      </c>
      <c r="D104" s="5">
        <v>-7.0000000000000001E-3</v>
      </c>
    </row>
    <row r="105" spans="1:4" x14ac:dyDescent="0.35">
      <c r="A105" s="16">
        <v>41456</v>
      </c>
      <c r="B105" s="17">
        <v>49.7</v>
      </c>
      <c r="C105" s="20">
        <f t="shared" si="1"/>
        <v>-1.5999999999999943</v>
      </c>
    </row>
    <row r="106" spans="1:4" x14ac:dyDescent="0.35">
      <c r="A106" s="16">
        <v>41487</v>
      </c>
      <c r="B106" s="17">
        <v>50.8</v>
      </c>
      <c r="C106" s="20">
        <f t="shared" si="1"/>
        <v>1.0999999999999943</v>
      </c>
    </row>
    <row r="107" spans="1:4" x14ac:dyDescent="0.35">
      <c r="A107" s="16">
        <v>41518</v>
      </c>
      <c r="B107" s="17">
        <v>50</v>
      </c>
      <c r="C107" s="20">
        <f t="shared" si="1"/>
        <v>-0.79999999999999716</v>
      </c>
      <c r="D107" s="5">
        <v>8.9999999999999993E-3</v>
      </c>
    </row>
    <row r="108" spans="1:4" x14ac:dyDescent="0.35">
      <c r="A108" s="16">
        <v>41548</v>
      </c>
      <c r="B108" s="17">
        <v>50.2</v>
      </c>
      <c r="C108" s="20">
        <f t="shared" si="1"/>
        <v>0.20000000000000284</v>
      </c>
    </row>
    <row r="109" spans="1:4" x14ac:dyDescent="0.35">
      <c r="A109" s="16">
        <v>41579</v>
      </c>
      <c r="B109" s="17">
        <v>51.9</v>
      </c>
      <c r="C109" s="20">
        <f t="shared" si="1"/>
        <v>1.6999999999999957</v>
      </c>
    </row>
    <row r="110" spans="1:4" x14ac:dyDescent="0.35">
      <c r="A110" s="16">
        <v>41609</v>
      </c>
      <c r="B110" s="17">
        <v>52.6</v>
      </c>
      <c r="C110" s="20">
        <f t="shared" si="1"/>
        <v>0.70000000000000284</v>
      </c>
      <c r="D110" s="5">
        <v>1E-3</v>
      </c>
    </row>
    <row r="111" spans="1:4" x14ac:dyDescent="0.35">
      <c r="A111" s="16">
        <v>41640</v>
      </c>
      <c r="B111" s="17">
        <v>54</v>
      </c>
      <c r="C111" s="20">
        <f t="shared" si="1"/>
        <v>1.3999999999999986</v>
      </c>
    </row>
    <row r="112" spans="1:4" x14ac:dyDescent="0.35">
      <c r="A112" s="16">
        <v>41671</v>
      </c>
      <c r="B112" s="17">
        <v>52</v>
      </c>
      <c r="C112" s="20">
        <f t="shared" si="1"/>
        <v>-2</v>
      </c>
    </row>
    <row r="113" spans="1:4" x14ac:dyDescent="0.35">
      <c r="A113" s="16">
        <v>41699</v>
      </c>
      <c r="B113" s="17">
        <v>51.7</v>
      </c>
      <c r="C113" s="20">
        <f t="shared" si="1"/>
        <v>-0.29999999999999716</v>
      </c>
      <c r="D113" s="5">
        <v>2E-3</v>
      </c>
    </row>
    <row r="114" spans="1:4" x14ac:dyDescent="0.35">
      <c r="A114" s="16">
        <v>41730</v>
      </c>
      <c r="B114" s="17">
        <v>51.8</v>
      </c>
      <c r="C114" s="20">
        <f t="shared" si="1"/>
        <v>9.9999999999994316E-2</v>
      </c>
    </row>
    <row r="115" spans="1:4" x14ac:dyDescent="0.35">
      <c r="A115" s="16">
        <v>41760</v>
      </c>
      <c r="B115" s="17">
        <v>51.9</v>
      </c>
      <c r="C115" s="20">
        <f t="shared" ref="C115:C117" si="2">B115-B114</f>
        <v>0.10000000000000142</v>
      </c>
    </row>
    <row r="116" spans="1:4" x14ac:dyDescent="0.35">
      <c r="A116" s="16">
        <v>41791</v>
      </c>
      <c r="B116" s="17">
        <v>51.8</v>
      </c>
      <c r="C116" s="20">
        <f t="shared" si="2"/>
        <v>-0.10000000000000142</v>
      </c>
      <c r="D116" s="5">
        <v>0.01</v>
      </c>
    </row>
    <row r="117" spans="1:4" x14ac:dyDescent="0.35">
      <c r="A117" s="16">
        <v>41821</v>
      </c>
      <c r="B117" s="17">
        <v>51.5</v>
      </c>
      <c r="C117" s="20">
        <f t="shared" si="2"/>
        <v>-0.29999999999999716</v>
      </c>
    </row>
    <row r="118" spans="1:4" x14ac:dyDescent="0.35">
      <c r="A118" s="16">
        <v>41852</v>
      </c>
      <c r="B118" s="17">
        <v>52.1</v>
      </c>
      <c r="C118" s="20">
        <f t="shared" ref="C118" si="3">B118-B117</f>
        <v>0.60000000000000142</v>
      </c>
    </row>
    <row r="119" spans="1:4" x14ac:dyDescent="0.35">
      <c r="A119" s="16">
        <v>41883</v>
      </c>
      <c r="B119" s="17">
        <v>52.6</v>
      </c>
      <c r="C119" s="20">
        <f>IFERROR(B119-B118,"")</f>
        <v>0.5</v>
      </c>
      <c r="D119" s="7">
        <f>IF(VLOOKUP(I85,Data!$O$51:$V$152,7,FALSE)=A118,VLOOKUP(I85,Data!$O$51:$V$152,2,FALSE)/100,"")</f>
        <v>5.0000000000000001E-3</v>
      </c>
    </row>
    <row r="120" spans="1:4" x14ac:dyDescent="0.35">
      <c r="A120" s="16">
        <v>41913</v>
      </c>
      <c r="B120" s="17">
        <v>53.3</v>
      </c>
      <c r="C120" s="20">
        <v>0.69999999999999574</v>
      </c>
    </row>
    <row r="121" spans="1:4" x14ac:dyDescent="0.35">
      <c r="A121" s="16">
        <v>41944</v>
      </c>
      <c r="B121" s="17">
        <f>IF(A121=Data!$C$1,VLOOKUP($H$85,Data!$A$2:$C$36,3,FALSE),"N/A")</f>
        <v>54.3</v>
      </c>
      <c r="C121" s="20">
        <f t="shared" ref="C121" si="4">B121-B120</f>
        <v>1</v>
      </c>
    </row>
    <row r="122" spans="1:4" x14ac:dyDescent="0.35">
      <c r="A122" s="105">
        <v>41974</v>
      </c>
      <c r="B122" s="17"/>
      <c r="C122" s="20"/>
    </row>
    <row r="123" spans="1:4" x14ac:dyDescent="0.35">
      <c r="A123" s="105">
        <v>42005</v>
      </c>
      <c r="B123" s="17"/>
      <c r="C123" s="20"/>
    </row>
    <row r="124" spans="1:4" x14ac:dyDescent="0.35">
      <c r="A124" s="105">
        <v>42036</v>
      </c>
      <c r="B124" s="17"/>
      <c r="C124" s="20"/>
    </row>
    <row r="125" spans="1:4" x14ac:dyDescent="0.35">
      <c r="A125" s="105">
        <v>42064</v>
      </c>
      <c r="B125" s="17"/>
      <c r="C125" s="20"/>
    </row>
    <row r="126" spans="1:4" x14ac:dyDescent="0.35">
      <c r="A126" s="105">
        <v>42095</v>
      </c>
      <c r="B126" s="17"/>
      <c r="C126" s="20"/>
    </row>
    <row r="127" spans="1:4" x14ac:dyDescent="0.35">
      <c r="A127" s="105">
        <v>42125</v>
      </c>
      <c r="B127" s="17"/>
      <c r="C127" s="20"/>
    </row>
    <row r="128" spans="1:4" x14ac:dyDescent="0.35">
      <c r="A128" s="105">
        <v>42156</v>
      </c>
      <c r="B128" s="17"/>
      <c r="C128" s="20"/>
    </row>
    <row r="129" spans="1:3" x14ac:dyDescent="0.35">
      <c r="A129" s="105">
        <v>42186</v>
      </c>
      <c r="B129" s="17"/>
      <c r="C129" s="20"/>
    </row>
    <row r="130" spans="1:3" x14ac:dyDescent="0.35">
      <c r="A130" s="105">
        <v>42217</v>
      </c>
      <c r="B130" s="17"/>
      <c r="C130" s="20"/>
    </row>
    <row r="131" spans="1:3" x14ac:dyDescent="0.35">
      <c r="A131" s="105">
        <v>42248</v>
      </c>
      <c r="B131" s="17"/>
      <c r="C131" s="20"/>
    </row>
    <row r="132" spans="1:3" x14ac:dyDescent="0.35">
      <c r="A132" s="105">
        <v>42278</v>
      </c>
      <c r="B132" s="17"/>
      <c r="C132" s="20"/>
    </row>
    <row r="133" spans="1:3" x14ac:dyDescent="0.35">
      <c r="A133" s="105">
        <v>42309</v>
      </c>
      <c r="B133" s="17"/>
      <c r="C133" s="20"/>
    </row>
    <row r="134" spans="1:3" x14ac:dyDescent="0.35">
      <c r="A134" s="105">
        <v>42339</v>
      </c>
      <c r="B134" s="17"/>
      <c r="C134" s="20"/>
    </row>
    <row r="135" spans="1:3" x14ac:dyDescent="0.35">
      <c r="A135" s="105">
        <v>42370</v>
      </c>
      <c r="B135" s="17"/>
      <c r="C135" s="20"/>
    </row>
    <row r="136" spans="1:3" x14ac:dyDescent="0.35">
      <c r="A136" s="105">
        <v>42401</v>
      </c>
      <c r="B136" s="17"/>
      <c r="C136" s="20"/>
    </row>
    <row r="137" spans="1:3" x14ac:dyDescent="0.35">
      <c r="A137" s="105">
        <v>42430</v>
      </c>
      <c r="B137" s="17"/>
      <c r="C137" s="20"/>
    </row>
    <row r="138" spans="1:3" x14ac:dyDescent="0.35">
      <c r="A138" s="105">
        <v>42461</v>
      </c>
      <c r="B138" s="17"/>
      <c r="C138" s="20"/>
    </row>
    <row r="139" spans="1:3" x14ac:dyDescent="0.35">
      <c r="A139" s="105">
        <v>42491</v>
      </c>
      <c r="B139" s="17"/>
      <c r="C139" s="20"/>
    </row>
    <row r="140" spans="1:3" x14ac:dyDescent="0.35">
      <c r="A140" s="105">
        <v>42522</v>
      </c>
      <c r="B140" s="17"/>
      <c r="C140" s="20"/>
    </row>
    <row r="141" spans="1:3" x14ac:dyDescent="0.35">
      <c r="A141" s="105">
        <v>42552</v>
      </c>
      <c r="B141" s="17"/>
      <c r="C141" s="20"/>
    </row>
    <row r="142" spans="1:3" x14ac:dyDescent="0.35">
      <c r="A142" s="105">
        <v>42583</v>
      </c>
      <c r="B142" s="17"/>
      <c r="C142" s="20"/>
    </row>
    <row r="143" spans="1:3" x14ac:dyDescent="0.35">
      <c r="A143" s="105">
        <v>42614</v>
      </c>
      <c r="B143" s="17"/>
      <c r="C143" s="20"/>
    </row>
    <row r="144" spans="1:3" x14ac:dyDescent="0.35">
      <c r="A144" s="105">
        <v>42644</v>
      </c>
      <c r="B144" s="17"/>
      <c r="C144" s="20"/>
    </row>
    <row r="145" spans="1:5" x14ac:dyDescent="0.35">
      <c r="A145" s="105">
        <v>42675</v>
      </c>
      <c r="B145" s="17"/>
      <c r="C145" s="20"/>
    </row>
    <row r="146" spans="1:5" x14ac:dyDescent="0.35">
      <c r="A146" s="105">
        <v>42705</v>
      </c>
      <c r="B146" s="17"/>
      <c r="C146" s="20"/>
    </row>
    <row r="147" spans="1:5" x14ac:dyDescent="0.35">
      <c r="A147" s="105">
        <v>42736</v>
      </c>
      <c r="B147" s="17"/>
      <c r="C147" s="20"/>
    </row>
    <row r="148" spans="1:5" x14ac:dyDescent="0.35">
      <c r="A148" s="105">
        <v>42767</v>
      </c>
      <c r="B148" s="17"/>
      <c r="C148" s="20"/>
    </row>
    <row r="149" spans="1:5" x14ac:dyDescent="0.35">
      <c r="A149" s="105">
        <v>42795</v>
      </c>
      <c r="B149" s="17"/>
      <c r="C149" s="20"/>
    </row>
    <row r="150" spans="1:5" x14ac:dyDescent="0.35">
      <c r="A150" s="105">
        <v>42826</v>
      </c>
      <c r="B150" s="17"/>
      <c r="C150" s="20"/>
    </row>
    <row r="151" spans="1:5" x14ac:dyDescent="0.35">
      <c r="A151" s="105">
        <v>42856</v>
      </c>
      <c r="B151" s="17"/>
      <c r="C151" s="20"/>
    </row>
    <row r="152" spans="1:5" x14ac:dyDescent="0.35">
      <c r="A152" s="105">
        <v>42887</v>
      </c>
      <c r="B152" s="17"/>
      <c r="C152" s="20"/>
    </row>
    <row r="153" spans="1:5" x14ac:dyDescent="0.35">
      <c r="A153" s="105">
        <v>42917</v>
      </c>
      <c r="B153" s="17"/>
      <c r="C153" s="20"/>
    </row>
    <row r="154" spans="1:5" x14ac:dyDescent="0.35">
      <c r="A154" s="106">
        <v>42948</v>
      </c>
      <c r="B154" s="91"/>
      <c r="C154" s="112"/>
    </row>
    <row r="155" spans="1:5" x14ac:dyDescent="0.35">
      <c r="A155" s="122">
        <v>46143</v>
      </c>
      <c r="B155" s="91">
        <v>49.6</v>
      </c>
      <c r="C155" s="112"/>
      <c r="E155" t="s">
        <v>324</v>
      </c>
    </row>
    <row r="156" spans="1:5" x14ac:dyDescent="0.35">
      <c r="A156" s="122">
        <v>46174</v>
      </c>
      <c r="B156" s="91">
        <v>51.3</v>
      </c>
      <c r="C156" s="112">
        <v>1.7</v>
      </c>
    </row>
  </sheetData>
  <conditionalFormatting sqref="B78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9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42:J156"/>
  <sheetViews>
    <sheetView topLeftCell="A42" zoomScale="70" zoomScaleNormal="70" workbookViewId="0">
      <pane ySplit="1" topLeftCell="A103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8.08984375" style="13" customWidth="1"/>
    <col min="3" max="3" width="12.36328125" style="26" customWidth="1"/>
    <col min="4" max="4" width="22.453125" style="5" customWidth="1"/>
    <col min="9" max="9" width="9.6328125" bestFit="1" customWidth="1"/>
  </cols>
  <sheetData>
    <row r="42" spans="1:5" x14ac:dyDescent="0.35">
      <c r="A42" s="13" t="s">
        <v>0</v>
      </c>
      <c r="B42" s="13" t="s">
        <v>10</v>
      </c>
      <c r="C42" s="26" t="s">
        <v>5</v>
      </c>
      <c r="D42" s="5" t="s">
        <v>50</v>
      </c>
      <c r="E42" t="s">
        <v>325</v>
      </c>
    </row>
    <row r="43" spans="1:5" x14ac:dyDescent="0.35">
      <c r="A43" s="23">
        <v>39569</v>
      </c>
      <c r="B43" s="6">
        <v>51.4</v>
      </c>
    </row>
    <row r="44" spans="1:5" x14ac:dyDescent="0.35">
      <c r="A44" s="23">
        <v>39600</v>
      </c>
      <c r="B44" s="6">
        <v>51.2</v>
      </c>
      <c r="C44" s="27">
        <f>B44-B43</f>
        <v>-0.19999999999999574</v>
      </c>
      <c r="D44" s="5">
        <v>1E-3</v>
      </c>
    </row>
    <row r="45" spans="1:5" x14ac:dyDescent="0.35">
      <c r="A45" s="23">
        <v>39630</v>
      </c>
      <c r="B45" s="6">
        <v>52.7</v>
      </c>
      <c r="C45" s="27">
        <f t="shared" ref="C45:C86" si="0">B45-B44</f>
        <v>1.5</v>
      </c>
    </row>
    <row r="46" spans="1:5" x14ac:dyDescent="0.35">
      <c r="A46" s="23">
        <v>39661</v>
      </c>
      <c r="B46" s="6">
        <v>51.2</v>
      </c>
      <c r="C46" s="27">
        <f t="shared" si="0"/>
        <v>-1.5</v>
      </c>
    </row>
    <row r="47" spans="1:5" x14ac:dyDescent="0.35">
      <c r="A47" s="23">
        <v>39692</v>
      </c>
      <c r="B47" s="6">
        <v>47</v>
      </c>
      <c r="C47" s="27">
        <f t="shared" si="0"/>
        <v>-4.2000000000000028</v>
      </c>
      <c r="D47" s="5">
        <v>6.0000000000000001E-3</v>
      </c>
    </row>
    <row r="48" spans="1:5" x14ac:dyDescent="0.35">
      <c r="A48" s="23">
        <v>39722</v>
      </c>
      <c r="B48" s="6">
        <v>46.9</v>
      </c>
      <c r="C48" s="27">
        <f t="shared" si="0"/>
        <v>-0.10000000000000142</v>
      </c>
    </row>
    <row r="49" spans="1:4" x14ac:dyDescent="0.35">
      <c r="A49" s="23">
        <v>39753</v>
      </c>
      <c r="B49" s="6">
        <v>40.4</v>
      </c>
      <c r="C49" s="27">
        <f t="shared" si="0"/>
        <v>-6.5</v>
      </c>
    </row>
    <row r="50" spans="1:4" x14ac:dyDescent="0.35">
      <c r="A50" s="23">
        <v>39783</v>
      </c>
      <c r="B50" s="6">
        <v>33.700000000000003</v>
      </c>
      <c r="C50" s="27">
        <f t="shared" si="0"/>
        <v>-6.6999999999999957</v>
      </c>
      <c r="D50" s="5">
        <v>-7.0000000000000001E-3</v>
      </c>
    </row>
    <row r="51" spans="1:4" x14ac:dyDescent="0.35">
      <c r="A51" s="23">
        <v>39814</v>
      </c>
      <c r="B51" s="6">
        <v>36.6</v>
      </c>
      <c r="C51" s="27">
        <f t="shared" si="0"/>
        <v>2.8999999999999986</v>
      </c>
    </row>
    <row r="52" spans="1:4" x14ac:dyDescent="0.35">
      <c r="A52" s="23">
        <v>39845</v>
      </c>
      <c r="B52" s="6">
        <v>31.7</v>
      </c>
      <c r="C52" s="27">
        <f t="shared" si="0"/>
        <v>-4.9000000000000021</v>
      </c>
    </row>
    <row r="53" spans="1:4" x14ac:dyDescent="0.35">
      <c r="A53" s="23">
        <v>39873</v>
      </c>
      <c r="B53" s="6">
        <v>33.4</v>
      </c>
      <c r="C53" s="27">
        <f t="shared" si="0"/>
        <v>1.6999999999999993</v>
      </c>
      <c r="D53" s="5">
        <v>8.0000000000000002E-3</v>
      </c>
    </row>
    <row r="54" spans="1:4" x14ac:dyDescent="0.35">
      <c r="A54" s="23">
        <v>39904</v>
      </c>
      <c r="B54" s="6">
        <v>30.1</v>
      </c>
      <c r="C54" s="27">
        <f t="shared" si="0"/>
        <v>-3.2999999999999972</v>
      </c>
    </row>
    <row r="55" spans="1:4" x14ac:dyDescent="0.35">
      <c r="A55" s="23">
        <v>39934</v>
      </c>
      <c r="B55" s="6">
        <v>37.5</v>
      </c>
      <c r="C55" s="27">
        <f t="shared" si="0"/>
        <v>7.3999999999999986</v>
      </c>
    </row>
    <row r="56" spans="1:4" x14ac:dyDescent="0.35">
      <c r="A56" s="23">
        <v>39965</v>
      </c>
      <c r="B56" s="6">
        <v>38.4</v>
      </c>
      <c r="C56" s="27">
        <f t="shared" si="0"/>
        <v>0.89999999999999858</v>
      </c>
      <c r="D56" s="5">
        <v>1E-3</v>
      </c>
    </row>
    <row r="57" spans="1:4" x14ac:dyDescent="0.35">
      <c r="A57" s="23">
        <v>39995</v>
      </c>
      <c r="B57" s="6">
        <v>44.5</v>
      </c>
      <c r="C57" s="27">
        <f t="shared" si="0"/>
        <v>6.1000000000000014</v>
      </c>
    </row>
    <row r="58" spans="1:4" x14ac:dyDescent="0.35">
      <c r="A58" s="23">
        <v>40026</v>
      </c>
      <c r="B58" s="6">
        <v>51.7</v>
      </c>
      <c r="C58" s="27">
        <f t="shared" si="0"/>
        <v>7.2000000000000028</v>
      </c>
    </row>
    <row r="59" spans="1:4" x14ac:dyDescent="0.35">
      <c r="A59" s="23">
        <v>40057</v>
      </c>
      <c r="B59" s="6">
        <v>52</v>
      </c>
      <c r="C59" s="27">
        <f t="shared" si="0"/>
        <v>0.29999999999999716</v>
      </c>
      <c r="D59" s="5">
        <v>8.0000000000000002E-3</v>
      </c>
    </row>
    <row r="60" spans="1:4" x14ac:dyDescent="0.35">
      <c r="A60" s="23">
        <v>40087</v>
      </c>
      <c r="B60" s="6">
        <v>51.7</v>
      </c>
      <c r="C60" s="27">
        <f t="shared" si="0"/>
        <v>-0.29999999999999716</v>
      </c>
    </row>
    <row r="61" spans="1:4" x14ac:dyDescent="0.35">
      <c r="A61" s="23">
        <v>40118</v>
      </c>
      <c r="B61" s="6">
        <v>51.2</v>
      </c>
      <c r="C61" s="27">
        <f t="shared" si="0"/>
        <v>-0.5</v>
      </c>
    </row>
    <row r="62" spans="1:4" x14ac:dyDescent="0.35">
      <c r="A62" s="23">
        <v>40148</v>
      </c>
      <c r="B62" s="6">
        <v>48.5</v>
      </c>
      <c r="C62" s="27">
        <f t="shared" si="0"/>
        <v>-2.7000000000000028</v>
      </c>
      <c r="D62" s="5">
        <v>8.0000000000000002E-3</v>
      </c>
    </row>
    <row r="63" spans="1:4" x14ac:dyDescent="0.35">
      <c r="A63" s="23">
        <v>40179</v>
      </c>
      <c r="B63" s="6">
        <v>51</v>
      </c>
      <c r="C63" s="27">
        <f t="shared" si="0"/>
        <v>2.5</v>
      </c>
    </row>
    <row r="64" spans="1:4" x14ac:dyDescent="0.35">
      <c r="A64" s="23">
        <v>40210</v>
      </c>
      <c r="B64" s="6">
        <v>53.8</v>
      </c>
      <c r="C64" s="27">
        <f t="shared" si="0"/>
        <v>2.7999999999999972</v>
      </c>
    </row>
    <row r="65" spans="1:10" x14ac:dyDescent="0.35">
      <c r="A65" s="23">
        <v>40238</v>
      </c>
      <c r="B65" s="6">
        <v>50.2</v>
      </c>
      <c r="C65" s="27">
        <f t="shared" si="0"/>
        <v>-3.5999999999999943</v>
      </c>
      <c r="D65" s="5">
        <v>7.0000000000000001E-3</v>
      </c>
    </row>
    <row r="66" spans="1:10" x14ac:dyDescent="0.35">
      <c r="A66" s="23">
        <v>40269</v>
      </c>
      <c r="B66" s="6">
        <v>59.8</v>
      </c>
      <c r="C66" s="27">
        <f t="shared" si="0"/>
        <v>9.5999999999999943</v>
      </c>
    </row>
    <row r="67" spans="1:10" x14ac:dyDescent="0.35">
      <c r="A67" s="23">
        <v>40299</v>
      </c>
      <c r="B67" s="6">
        <v>56.3</v>
      </c>
      <c r="C67" s="27">
        <f t="shared" si="0"/>
        <v>-3.5</v>
      </c>
    </row>
    <row r="68" spans="1:10" x14ac:dyDescent="0.35">
      <c r="A68" s="23">
        <v>40330</v>
      </c>
      <c r="B68" s="6">
        <v>52.9</v>
      </c>
      <c r="C68" s="27">
        <f t="shared" si="0"/>
        <v>-3.3999999999999986</v>
      </c>
      <c r="D68" s="5">
        <v>6.0000000000000001E-3</v>
      </c>
    </row>
    <row r="69" spans="1:10" x14ac:dyDescent="0.35">
      <c r="A69" s="23">
        <v>40360</v>
      </c>
      <c r="B69" s="6">
        <v>54.4</v>
      </c>
      <c r="C69" s="27">
        <f t="shared" si="0"/>
        <v>1.5</v>
      </c>
    </row>
    <row r="70" spans="1:10" x14ac:dyDescent="0.35">
      <c r="A70" s="23">
        <v>40391</v>
      </c>
      <c r="B70" s="6">
        <v>51.7</v>
      </c>
      <c r="C70" s="27">
        <f t="shared" si="0"/>
        <v>-2.6999999999999957</v>
      </c>
    </row>
    <row r="71" spans="1:10" x14ac:dyDescent="0.35">
      <c r="A71" s="23">
        <v>40422</v>
      </c>
      <c r="B71" s="6">
        <v>47.3</v>
      </c>
      <c r="C71" s="27">
        <f t="shared" si="0"/>
        <v>-4.4000000000000057</v>
      </c>
      <c r="D71" s="5">
        <v>3.0000000000000001E-3</v>
      </c>
    </row>
    <row r="72" spans="1:10" x14ac:dyDescent="0.35">
      <c r="A72" s="23">
        <v>40452</v>
      </c>
      <c r="B72" s="6">
        <v>49.4</v>
      </c>
      <c r="C72" s="27">
        <f t="shared" si="0"/>
        <v>2.1000000000000014</v>
      </c>
    </row>
    <row r="73" spans="1:10" x14ac:dyDescent="0.35">
      <c r="A73" s="23">
        <v>40483</v>
      </c>
      <c r="B73" s="6">
        <v>47.6</v>
      </c>
      <c r="C73" s="27">
        <f t="shared" si="0"/>
        <v>-1.7999999999999972</v>
      </c>
    </row>
    <row r="74" spans="1:10" x14ac:dyDescent="0.35">
      <c r="A74" s="23">
        <v>40513</v>
      </c>
      <c r="B74" s="6">
        <v>46.3</v>
      </c>
      <c r="C74" s="27">
        <f t="shared" si="0"/>
        <v>-1.3000000000000043</v>
      </c>
      <c r="D74" s="5">
        <v>6.0000000000000001E-3</v>
      </c>
      <c r="I74" s="1"/>
      <c r="J74" s="2"/>
    </row>
    <row r="75" spans="1:10" x14ac:dyDescent="0.35">
      <c r="A75" s="23">
        <v>40544</v>
      </c>
      <c r="B75" s="6">
        <v>46.7</v>
      </c>
      <c r="C75" s="27">
        <f t="shared" si="0"/>
        <v>0.40000000000000568</v>
      </c>
      <c r="I75" s="3"/>
    </row>
    <row r="76" spans="1:10" x14ac:dyDescent="0.35">
      <c r="A76" s="23">
        <v>40575</v>
      </c>
      <c r="B76" s="6">
        <v>51.1</v>
      </c>
      <c r="C76" s="27">
        <f t="shared" si="0"/>
        <v>4.3999999999999986</v>
      </c>
      <c r="I76" s="3"/>
    </row>
    <row r="77" spans="1:10" x14ac:dyDescent="0.35">
      <c r="A77" s="23">
        <v>40603</v>
      </c>
      <c r="B77" s="6">
        <v>47.9</v>
      </c>
      <c r="C77" s="27">
        <f t="shared" si="0"/>
        <v>-3.2000000000000028</v>
      </c>
      <c r="D77" s="5">
        <v>-5.0000000000000001E-3</v>
      </c>
      <c r="I77" s="3"/>
    </row>
    <row r="78" spans="1:10" x14ac:dyDescent="0.35">
      <c r="A78" s="23">
        <v>40634</v>
      </c>
      <c r="B78" s="6">
        <v>48.4</v>
      </c>
      <c r="C78" s="27">
        <f t="shared" si="0"/>
        <v>0.5</v>
      </c>
      <c r="I78" s="3"/>
    </row>
    <row r="79" spans="1:10" x14ac:dyDescent="0.35">
      <c r="A79" s="23">
        <v>40664</v>
      </c>
      <c r="B79" s="6">
        <v>47.7</v>
      </c>
      <c r="C79" s="27">
        <f t="shared" si="0"/>
        <v>-0.69999999999999574</v>
      </c>
      <c r="I79" s="3"/>
    </row>
    <row r="80" spans="1:10" x14ac:dyDescent="0.35">
      <c r="A80" s="23">
        <v>40695</v>
      </c>
      <c r="B80" s="6">
        <v>52.9</v>
      </c>
      <c r="C80" s="27">
        <f t="shared" si="0"/>
        <v>5.1999999999999957</v>
      </c>
      <c r="D80" s="5">
        <v>1.2E-2</v>
      </c>
      <c r="I80" s="3"/>
    </row>
    <row r="81" spans="1:9" x14ac:dyDescent="0.35">
      <c r="A81" s="23">
        <v>40725</v>
      </c>
      <c r="B81" s="6">
        <v>43.4</v>
      </c>
      <c r="C81" s="27">
        <f t="shared" si="0"/>
        <v>-9.5</v>
      </c>
      <c r="I81" s="3"/>
    </row>
    <row r="82" spans="1:9" x14ac:dyDescent="0.35">
      <c r="A82" s="23">
        <v>40756</v>
      </c>
      <c r="B82" s="6">
        <v>43.3</v>
      </c>
      <c r="C82" s="27">
        <f t="shared" si="0"/>
        <v>-0.10000000000000142</v>
      </c>
      <c r="I82" s="3"/>
    </row>
    <row r="83" spans="1:9" x14ac:dyDescent="0.35">
      <c r="A83" s="23">
        <v>40787</v>
      </c>
      <c r="B83" s="6">
        <v>42.3</v>
      </c>
      <c r="C83" s="27">
        <f t="shared" si="0"/>
        <v>-1</v>
      </c>
      <c r="D83" s="5">
        <v>1.2E-2</v>
      </c>
      <c r="I83" s="3"/>
    </row>
    <row r="84" spans="1:9" x14ac:dyDescent="0.35">
      <c r="A84" s="23">
        <v>40817</v>
      </c>
      <c r="B84" s="6">
        <v>47.4</v>
      </c>
      <c r="C84" s="27">
        <f t="shared" si="0"/>
        <v>5.1000000000000014</v>
      </c>
      <c r="I84" s="3"/>
    </row>
    <row r="85" spans="1:9" x14ac:dyDescent="0.35">
      <c r="A85" s="23">
        <v>40848</v>
      </c>
      <c r="B85" s="6">
        <v>47.8</v>
      </c>
      <c r="C85" s="27">
        <f t="shared" si="0"/>
        <v>0.39999999999999858</v>
      </c>
      <c r="H85" s="64" t="s">
        <v>115</v>
      </c>
      <c r="I85" s="3" t="s">
        <v>28</v>
      </c>
    </row>
    <row r="86" spans="1:9" x14ac:dyDescent="0.35">
      <c r="A86" s="23">
        <v>40878</v>
      </c>
      <c r="B86" s="6">
        <v>50.2</v>
      </c>
      <c r="C86" s="27">
        <f t="shared" si="0"/>
        <v>2.4000000000000057</v>
      </c>
      <c r="D86" s="5">
        <v>6.0000000000000001E-3</v>
      </c>
      <c r="I86" s="3"/>
    </row>
    <row r="87" spans="1:9" x14ac:dyDescent="0.35">
      <c r="A87" s="24">
        <v>40909</v>
      </c>
      <c r="B87" s="17">
        <v>51.6</v>
      </c>
      <c r="C87" s="28">
        <f t="shared" ref="C87:C111" si="1">B87-B86</f>
        <v>1.3999999999999986</v>
      </c>
      <c r="I87" s="3"/>
    </row>
    <row r="88" spans="1:9" x14ac:dyDescent="0.35">
      <c r="A88" s="24">
        <v>40940</v>
      </c>
      <c r="B88" s="17">
        <v>51.3</v>
      </c>
      <c r="C88" s="28">
        <f t="shared" si="1"/>
        <v>-0.30000000000000426</v>
      </c>
      <c r="I88" s="3"/>
    </row>
    <row r="89" spans="1:9" x14ac:dyDescent="0.35">
      <c r="A89" s="24">
        <v>40969</v>
      </c>
      <c r="B89" s="17">
        <v>49.5</v>
      </c>
      <c r="C89" s="28">
        <f t="shared" si="1"/>
        <v>-1.7999999999999972</v>
      </c>
      <c r="D89" s="5">
        <v>1.2999999999999999E-2</v>
      </c>
      <c r="I89" s="3"/>
    </row>
    <row r="90" spans="1:9" x14ac:dyDescent="0.35">
      <c r="A90" s="24">
        <v>41000</v>
      </c>
      <c r="B90" s="17">
        <v>43.9</v>
      </c>
      <c r="C90" s="28">
        <f t="shared" si="1"/>
        <v>-5.6000000000000014</v>
      </c>
      <c r="I90" s="3"/>
    </row>
    <row r="91" spans="1:9" x14ac:dyDescent="0.35">
      <c r="A91" s="24">
        <v>41030</v>
      </c>
      <c r="B91" s="17">
        <v>42.4</v>
      </c>
      <c r="C91" s="28">
        <f t="shared" si="1"/>
        <v>-1.5</v>
      </c>
      <c r="I91" s="3"/>
    </row>
    <row r="92" spans="1:9" x14ac:dyDescent="0.35">
      <c r="A92" s="24">
        <v>41061</v>
      </c>
      <c r="B92" s="17">
        <v>47.2</v>
      </c>
      <c r="C92" s="28">
        <f t="shared" si="1"/>
        <v>4.8000000000000043</v>
      </c>
      <c r="D92" s="5">
        <v>5.0000000000000001E-3</v>
      </c>
      <c r="I92" s="3"/>
    </row>
    <row r="93" spans="1:9" x14ac:dyDescent="0.35">
      <c r="A93" s="24">
        <v>41091</v>
      </c>
      <c r="B93" s="17">
        <v>40.299999999999997</v>
      </c>
      <c r="C93" s="28">
        <f t="shared" si="1"/>
        <v>-6.9000000000000057</v>
      </c>
      <c r="I93" s="3"/>
    </row>
    <row r="94" spans="1:9" x14ac:dyDescent="0.35">
      <c r="A94" s="24">
        <v>41122</v>
      </c>
      <c r="B94" s="17">
        <v>45.3</v>
      </c>
      <c r="C94" s="28">
        <f t="shared" si="1"/>
        <v>5</v>
      </c>
      <c r="I94" s="3"/>
    </row>
    <row r="95" spans="1:9" x14ac:dyDescent="0.35">
      <c r="A95" s="24">
        <v>41153</v>
      </c>
      <c r="B95" s="17">
        <v>44.1</v>
      </c>
      <c r="C95" s="28">
        <f t="shared" si="1"/>
        <v>-1.1999999999999957</v>
      </c>
      <c r="D95" s="5">
        <v>8.0000000000000002E-3</v>
      </c>
      <c r="I95" s="3"/>
    </row>
    <row r="96" spans="1:9" x14ac:dyDescent="0.35">
      <c r="A96" s="24">
        <v>41183</v>
      </c>
      <c r="B96" s="17">
        <v>45.2</v>
      </c>
      <c r="C96" s="28">
        <f t="shared" si="1"/>
        <v>1.1000000000000014</v>
      </c>
      <c r="I96" s="3"/>
    </row>
    <row r="97" spans="1:9" x14ac:dyDescent="0.35">
      <c r="A97" s="24">
        <v>41214</v>
      </c>
      <c r="B97" s="17">
        <v>43.6</v>
      </c>
      <c r="C97" s="28">
        <f t="shared" si="1"/>
        <v>-1.6000000000000014</v>
      </c>
      <c r="I97" s="3"/>
    </row>
    <row r="98" spans="1:9" x14ac:dyDescent="0.35">
      <c r="A98" s="24">
        <v>41244</v>
      </c>
      <c r="B98" s="17">
        <v>44.3</v>
      </c>
      <c r="C98" s="28">
        <f t="shared" si="1"/>
        <v>0.69999999999999574</v>
      </c>
      <c r="D98" s="5">
        <v>7.0000000000000001E-3</v>
      </c>
      <c r="I98" s="3"/>
    </row>
    <row r="99" spans="1:9" x14ac:dyDescent="0.35">
      <c r="A99" s="24">
        <v>41275</v>
      </c>
      <c r="B99" s="17">
        <v>40.200000000000003</v>
      </c>
      <c r="C99" s="28">
        <f t="shared" si="1"/>
        <v>-4.0999999999999943</v>
      </c>
      <c r="I99" s="3"/>
    </row>
    <row r="100" spans="1:9" x14ac:dyDescent="0.35">
      <c r="A100" s="24">
        <v>41306</v>
      </c>
      <c r="B100" s="17">
        <v>45.6</v>
      </c>
      <c r="C100" s="28">
        <f t="shared" si="1"/>
        <v>5.3999999999999986</v>
      </c>
      <c r="I100" s="3"/>
    </row>
    <row r="101" spans="1:9" x14ac:dyDescent="0.35">
      <c r="A101" s="24">
        <v>41334</v>
      </c>
      <c r="B101" s="17">
        <v>44.4</v>
      </c>
      <c r="C101" s="28">
        <f t="shared" si="1"/>
        <v>-1.2000000000000028</v>
      </c>
      <c r="D101" s="5">
        <v>5.0000000000000001E-3</v>
      </c>
      <c r="I101" s="3"/>
    </row>
    <row r="102" spans="1:9" x14ac:dyDescent="0.35">
      <c r="A102" s="24">
        <v>41365</v>
      </c>
      <c r="B102" s="17">
        <v>36.700000000000003</v>
      </c>
      <c r="C102" s="28">
        <f t="shared" si="1"/>
        <v>-7.6999999999999957</v>
      </c>
      <c r="I102" s="3"/>
    </row>
    <row r="103" spans="1:9" x14ac:dyDescent="0.35">
      <c r="A103" s="24">
        <v>41395</v>
      </c>
      <c r="B103" s="17">
        <v>43.8</v>
      </c>
      <c r="C103" s="28">
        <f t="shared" si="1"/>
        <v>7.0999999999999943</v>
      </c>
      <c r="I103" s="3"/>
    </row>
    <row r="104" spans="1:9" x14ac:dyDescent="0.35">
      <c r="A104" s="24">
        <v>41426</v>
      </c>
      <c r="B104" s="17">
        <v>49.6</v>
      </c>
      <c r="C104" s="28">
        <f t="shared" si="1"/>
        <v>5.8000000000000043</v>
      </c>
      <c r="D104" s="5">
        <v>7.0000000000000001E-3</v>
      </c>
      <c r="I104" s="3"/>
    </row>
    <row r="105" spans="1:9" x14ac:dyDescent="0.35">
      <c r="A105" s="24">
        <v>41456</v>
      </c>
      <c r="B105" s="17">
        <v>42</v>
      </c>
      <c r="C105" s="28">
        <f t="shared" si="1"/>
        <v>-7.6000000000000014</v>
      </c>
      <c r="I105" s="3"/>
    </row>
    <row r="106" spans="1:9" x14ac:dyDescent="0.35">
      <c r="A106" s="24">
        <v>41487</v>
      </c>
      <c r="B106" s="17">
        <v>46.4</v>
      </c>
      <c r="C106" s="28">
        <f t="shared" si="1"/>
        <v>4.3999999999999986</v>
      </c>
      <c r="I106" s="3"/>
    </row>
    <row r="107" spans="1:9" x14ac:dyDescent="0.35">
      <c r="A107" s="24">
        <v>41518</v>
      </c>
      <c r="B107" s="17">
        <v>51.7</v>
      </c>
      <c r="C107" s="28">
        <f t="shared" si="1"/>
        <v>5.3000000000000043</v>
      </c>
      <c r="D107" s="5">
        <v>6.0000000000000001E-3</v>
      </c>
      <c r="I107" s="3"/>
    </row>
    <row r="108" spans="1:9" x14ac:dyDescent="0.35">
      <c r="A108" s="24">
        <v>41548</v>
      </c>
      <c r="B108" s="17">
        <v>53.2</v>
      </c>
      <c r="C108" s="28">
        <f t="shared" si="1"/>
        <v>1.5</v>
      </c>
      <c r="I108" s="3"/>
    </row>
    <row r="109" spans="1:9" x14ac:dyDescent="0.35">
      <c r="A109" s="24">
        <v>41579</v>
      </c>
      <c r="B109" s="17">
        <v>47.7</v>
      </c>
      <c r="C109" s="28">
        <f t="shared" si="1"/>
        <v>-5.5</v>
      </c>
      <c r="I109" s="3"/>
    </row>
    <row r="110" spans="1:9" x14ac:dyDescent="0.35">
      <c r="A110" s="24">
        <v>41609</v>
      </c>
      <c r="B110" s="17">
        <v>47.6</v>
      </c>
      <c r="C110" s="28">
        <f t="shared" si="1"/>
        <v>-0.10000000000000142</v>
      </c>
      <c r="D110" s="5">
        <v>8.0000000000000002E-3</v>
      </c>
      <c r="I110" s="3"/>
    </row>
    <row r="111" spans="1:9" x14ac:dyDescent="0.35">
      <c r="A111" s="24">
        <v>41640</v>
      </c>
      <c r="B111" s="17">
        <v>46.7</v>
      </c>
      <c r="C111" s="28">
        <f t="shared" si="1"/>
        <v>-0.89999999999999858</v>
      </c>
      <c r="I111" s="3"/>
    </row>
    <row r="112" spans="1:9" x14ac:dyDescent="0.35">
      <c r="A112" s="24">
        <v>41671</v>
      </c>
      <c r="B112" s="17">
        <v>48.6</v>
      </c>
      <c r="C112" s="28">
        <f t="shared" ref="C112:C117" si="2">B112-B111</f>
        <v>1.8999999999999986</v>
      </c>
      <c r="I112" s="3"/>
    </row>
    <row r="113" spans="1:9" x14ac:dyDescent="0.35">
      <c r="A113" s="24">
        <v>41699</v>
      </c>
      <c r="B113" s="17">
        <v>49.7</v>
      </c>
      <c r="C113" s="28">
        <f t="shared" si="2"/>
        <v>1.1000000000000014</v>
      </c>
      <c r="D113" s="5">
        <v>1.0999999999999999E-2</v>
      </c>
      <c r="I113" s="3"/>
    </row>
    <row r="114" spans="1:9" x14ac:dyDescent="0.35">
      <c r="A114" s="24">
        <v>41730</v>
      </c>
      <c r="B114" s="17">
        <v>44.8</v>
      </c>
      <c r="C114" s="28">
        <f t="shared" si="2"/>
        <v>-4.9000000000000057</v>
      </c>
      <c r="I114" s="3"/>
    </row>
    <row r="115" spans="1:9" x14ac:dyDescent="0.35">
      <c r="A115" s="24">
        <v>41760</v>
      </c>
      <c r="B115" s="17">
        <v>49.2</v>
      </c>
      <c r="C115" s="28">
        <f t="shared" si="2"/>
        <v>4.4000000000000057</v>
      </c>
      <c r="I115" s="3"/>
    </row>
    <row r="116" spans="1:9" x14ac:dyDescent="0.35">
      <c r="A116" s="24">
        <v>41791</v>
      </c>
      <c r="B116" s="17">
        <v>48.9</v>
      </c>
      <c r="C116" s="28">
        <f t="shared" si="2"/>
        <v>-0.30000000000000426</v>
      </c>
      <c r="D116" s="7">
        <f>IF(VLOOKUP(I85,Data!$O$51:$V$152,7,FALSE)=A115,VLOOKUP(I85,Data!$O$51:$V$152,2,FALSE)/100,"")</f>
        <v>5.0000000000000001E-3</v>
      </c>
      <c r="I116" s="3"/>
    </row>
    <row r="117" spans="1:9" x14ac:dyDescent="0.35">
      <c r="A117" s="24">
        <v>41821</v>
      </c>
      <c r="B117" s="17">
        <v>50.7</v>
      </c>
      <c r="C117" s="28">
        <f t="shared" si="2"/>
        <v>1.8000000000000043</v>
      </c>
      <c r="I117" s="3"/>
    </row>
    <row r="118" spans="1:9" x14ac:dyDescent="0.35">
      <c r="A118" s="24">
        <v>41852</v>
      </c>
      <c r="B118" s="17">
        <v>47.3</v>
      </c>
      <c r="C118" s="28">
        <f t="shared" ref="C118" si="3">B118-B117</f>
        <v>-3.4000000000000057</v>
      </c>
      <c r="I118" s="3"/>
    </row>
    <row r="119" spans="1:9" x14ac:dyDescent="0.35">
      <c r="A119" s="24">
        <v>41883</v>
      </c>
      <c r="B119" s="17">
        <v>46.5</v>
      </c>
      <c r="C119" s="28">
        <f>IFERROR(B119-B118,"")</f>
        <v>-0.79999999999999716</v>
      </c>
      <c r="D119" s="7" t="e">
        <f>IF(VLOOKUP(I85,Data!$O$51:$V$152,7,FALSE)=A118,VLOOKUP(I85,Data!$O$51:$V$152,2,FALSE)/100,#N/A)</f>
        <v>#N/A</v>
      </c>
      <c r="I119" s="3"/>
    </row>
    <row r="120" spans="1:9" x14ac:dyDescent="0.35">
      <c r="A120" s="24">
        <v>41913</v>
      </c>
      <c r="B120" s="17">
        <v>49.42</v>
      </c>
      <c r="C120" s="28">
        <v>2.9200000000000017</v>
      </c>
      <c r="I120" s="3"/>
    </row>
    <row r="121" spans="1:9" x14ac:dyDescent="0.35">
      <c r="A121" s="24">
        <v>41944</v>
      </c>
      <c r="B121" s="17">
        <f>IF(A121=Data!$C$1,VLOOKUP($H$85,Data!$A$2:$C$36,3,FALSE),"N/A")</f>
        <v>50.1</v>
      </c>
      <c r="C121" s="28">
        <f t="shared" ref="C121" si="4">B121-B120</f>
        <v>0.67999999999999972</v>
      </c>
      <c r="I121" s="3"/>
    </row>
    <row r="122" spans="1:9" x14ac:dyDescent="0.35">
      <c r="A122" s="110">
        <v>41974</v>
      </c>
      <c r="B122" s="17"/>
      <c r="C122" s="28"/>
      <c r="I122" s="3"/>
    </row>
    <row r="123" spans="1:9" x14ac:dyDescent="0.35">
      <c r="A123" s="110">
        <v>42005</v>
      </c>
      <c r="B123" s="17"/>
      <c r="C123" s="28"/>
      <c r="I123" s="3"/>
    </row>
    <row r="124" spans="1:9" x14ac:dyDescent="0.35">
      <c r="A124" s="110">
        <v>42036</v>
      </c>
      <c r="B124" s="17"/>
      <c r="C124" s="28"/>
      <c r="I124" s="3"/>
    </row>
    <row r="125" spans="1:9" x14ac:dyDescent="0.35">
      <c r="A125" s="110">
        <v>42064</v>
      </c>
      <c r="B125" s="17"/>
      <c r="C125" s="28"/>
      <c r="I125" s="3"/>
    </row>
    <row r="126" spans="1:9" x14ac:dyDescent="0.35">
      <c r="A126" s="110">
        <v>42095</v>
      </c>
      <c r="B126" s="17"/>
      <c r="C126" s="28"/>
      <c r="I126" s="3"/>
    </row>
    <row r="127" spans="1:9" x14ac:dyDescent="0.35">
      <c r="A127" s="110">
        <v>42125</v>
      </c>
      <c r="B127" s="17"/>
      <c r="C127" s="28"/>
      <c r="I127" s="3"/>
    </row>
    <row r="128" spans="1:9" x14ac:dyDescent="0.35">
      <c r="A128" s="110">
        <v>42156</v>
      </c>
      <c r="B128" s="17"/>
      <c r="C128" s="28"/>
      <c r="I128" s="3"/>
    </row>
    <row r="129" spans="1:9" x14ac:dyDescent="0.35">
      <c r="A129" s="110">
        <v>42186</v>
      </c>
      <c r="B129" s="17"/>
      <c r="C129" s="28"/>
      <c r="I129" s="3"/>
    </row>
    <row r="130" spans="1:9" x14ac:dyDescent="0.35">
      <c r="A130" s="110">
        <v>42217</v>
      </c>
      <c r="B130" s="17"/>
      <c r="C130" s="28"/>
      <c r="I130" s="3"/>
    </row>
    <row r="131" spans="1:9" x14ac:dyDescent="0.35">
      <c r="A131" s="110">
        <v>42248</v>
      </c>
      <c r="B131" s="17"/>
      <c r="C131" s="28"/>
      <c r="I131" s="3"/>
    </row>
    <row r="132" spans="1:9" x14ac:dyDescent="0.35">
      <c r="A132" s="110">
        <v>42278</v>
      </c>
      <c r="B132" s="17"/>
      <c r="C132" s="28"/>
      <c r="I132" s="3"/>
    </row>
    <row r="133" spans="1:9" x14ac:dyDescent="0.35">
      <c r="A133" s="110">
        <v>42309</v>
      </c>
      <c r="B133" s="17"/>
      <c r="C133" s="28"/>
      <c r="I133" s="3"/>
    </row>
    <row r="134" spans="1:9" x14ac:dyDescent="0.35">
      <c r="A134" s="110">
        <v>42339</v>
      </c>
      <c r="B134" s="17"/>
      <c r="C134" s="28"/>
      <c r="I134" s="3"/>
    </row>
    <row r="135" spans="1:9" x14ac:dyDescent="0.35">
      <c r="A135" s="110">
        <v>42370</v>
      </c>
      <c r="B135" s="17"/>
      <c r="C135" s="28"/>
      <c r="I135" s="3"/>
    </row>
    <row r="136" spans="1:9" x14ac:dyDescent="0.35">
      <c r="A136" s="110">
        <v>42401</v>
      </c>
      <c r="B136" s="17"/>
      <c r="C136" s="28"/>
      <c r="I136" s="3"/>
    </row>
    <row r="137" spans="1:9" x14ac:dyDescent="0.35">
      <c r="A137" s="110">
        <v>42430</v>
      </c>
      <c r="B137" s="17"/>
      <c r="C137" s="28"/>
      <c r="I137" s="3"/>
    </row>
    <row r="138" spans="1:9" x14ac:dyDescent="0.35">
      <c r="A138" s="110">
        <v>42461</v>
      </c>
      <c r="B138" s="17"/>
      <c r="C138" s="28"/>
      <c r="I138" s="3"/>
    </row>
    <row r="139" spans="1:9" x14ac:dyDescent="0.35">
      <c r="A139" s="110">
        <v>42491</v>
      </c>
      <c r="B139" s="17"/>
      <c r="C139" s="28"/>
      <c r="I139" s="3"/>
    </row>
    <row r="140" spans="1:9" x14ac:dyDescent="0.35">
      <c r="A140" s="110">
        <v>42522</v>
      </c>
      <c r="B140" s="17"/>
      <c r="C140" s="28"/>
      <c r="I140" s="3"/>
    </row>
    <row r="141" spans="1:9" x14ac:dyDescent="0.35">
      <c r="A141" s="110">
        <v>42552</v>
      </c>
      <c r="B141" s="17"/>
      <c r="C141" s="28"/>
      <c r="I141" s="3"/>
    </row>
    <row r="142" spans="1:9" x14ac:dyDescent="0.35">
      <c r="A142" s="110">
        <v>42583</v>
      </c>
      <c r="B142" s="17"/>
      <c r="C142" s="28"/>
    </row>
    <row r="143" spans="1:9" x14ac:dyDescent="0.35">
      <c r="A143" s="110">
        <v>42614</v>
      </c>
      <c r="B143" s="17"/>
      <c r="C143" s="28"/>
    </row>
    <row r="144" spans="1:9" x14ac:dyDescent="0.35">
      <c r="A144" s="110">
        <v>42644</v>
      </c>
      <c r="B144" s="17"/>
      <c r="C144" s="28"/>
    </row>
    <row r="145" spans="1:5" x14ac:dyDescent="0.35">
      <c r="A145" s="110">
        <v>42675</v>
      </c>
      <c r="B145" s="17"/>
      <c r="C145" s="28"/>
    </row>
    <row r="146" spans="1:5" x14ac:dyDescent="0.35">
      <c r="A146" s="110">
        <v>42705</v>
      </c>
      <c r="B146" s="17"/>
      <c r="C146" s="28"/>
    </row>
    <row r="147" spans="1:5" x14ac:dyDescent="0.35">
      <c r="A147" s="110">
        <v>42736</v>
      </c>
      <c r="B147" s="17"/>
      <c r="C147" s="28"/>
    </row>
    <row r="148" spans="1:5" x14ac:dyDescent="0.35">
      <c r="A148" s="110">
        <v>42767</v>
      </c>
      <c r="B148" s="17"/>
      <c r="C148" s="28"/>
    </row>
    <row r="149" spans="1:5" x14ac:dyDescent="0.35">
      <c r="A149" s="110">
        <v>42795</v>
      </c>
      <c r="B149" s="17"/>
      <c r="C149" s="28"/>
    </row>
    <row r="150" spans="1:5" x14ac:dyDescent="0.35">
      <c r="A150" s="110">
        <v>42826</v>
      </c>
      <c r="B150" s="17"/>
      <c r="C150" s="28"/>
    </row>
    <row r="151" spans="1:5" x14ac:dyDescent="0.35">
      <c r="A151" s="110">
        <v>42856</v>
      </c>
      <c r="B151" s="17"/>
      <c r="C151" s="28"/>
    </row>
    <row r="152" spans="1:5" x14ac:dyDescent="0.35">
      <c r="A152" s="110">
        <v>42887</v>
      </c>
      <c r="B152" s="17"/>
      <c r="C152" s="28"/>
    </row>
    <row r="153" spans="1:5" x14ac:dyDescent="0.35">
      <c r="A153" s="110">
        <v>42917</v>
      </c>
      <c r="B153" s="17"/>
      <c r="C153" s="28"/>
    </row>
    <row r="154" spans="1:5" x14ac:dyDescent="0.35">
      <c r="A154" s="111">
        <v>42948</v>
      </c>
      <c r="B154" s="91"/>
      <c r="C154" s="107"/>
    </row>
    <row r="155" spans="1:5" x14ac:dyDescent="0.35">
      <c r="A155" s="123">
        <v>46143</v>
      </c>
      <c r="B155" s="91">
        <v>50.7</v>
      </c>
      <c r="C155" s="107"/>
      <c r="E155" t="s">
        <v>324</v>
      </c>
    </row>
    <row r="156" spans="1:5" x14ac:dyDescent="0.35">
      <c r="A156" s="123">
        <v>46174</v>
      </c>
      <c r="B156" s="91">
        <v>51.5</v>
      </c>
      <c r="C156" s="107">
        <v>0.8</v>
      </c>
    </row>
  </sheetData>
  <sortState xmlns:xlrd2="http://schemas.microsoft.com/office/spreadsheetml/2017/richdata2" ref="A2:C68">
    <sortCondition ref="A2"/>
  </sortState>
  <conditionalFormatting sqref="B43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73:I156"/>
  <sheetViews>
    <sheetView topLeftCell="A73" zoomScale="70" zoomScaleNormal="70" workbookViewId="0">
      <pane ySplit="1" topLeftCell="A95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7.08984375" style="19" customWidth="1"/>
    <col min="3" max="3" width="12.36328125" style="13" customWidth="1"/>
    <col min="4" max="4" width="31" style="5" customWidth="1"/>
  </cols>
  <sheetData>
    <row r="73" spans="1:5" x14ac:dyDescent="0.35">
      <c r="A73" s="13" t="s">
        <v>0</v>
      </c>
      <c r="B73" s="19" t="s">
        <v>59</v>
      </c>
      <c r="C73" s="13" t="s">
        <v>5</v>
      </c>
      <c r="D73" s="5" t="s">
        <v>60</v>
      </c>
      <c r="E73" t="s">
        <v>325</v>
      </c>
    </row>
    <row r="74" spans="1:5" x14ac:dyDescent="0.35">
      <c r="A74" s="15">
        <v>40513</v>
      </c>
      <c r="B74" s="6">
        <v>53.9</v>
      </c>
      <c r="D74" s="5">
        <v>7.0000000000000001E-3</v>
      </c>
    </row>
    <row r="75" spans="1:5" x14ac:dyDescent="0.35">
      <c r="A75" s="15">
        <v>40544</v>
      </c>
      <c r="B75" s="6">
        <v>53.5</v>
      </c>
      <c r="C75" s="19">
        <f t="shared" ref="C75:C80" si="0">B75-B74</f>
        <v>-0.39999999999999858</v>
      </c>
    </row>
    <row r="76" spans="1:5" x14ac:dyDescent="0.35">
      <c r="A76" s="15">
        <v>40575</v>
      </c>
      <c r="B76" s="6">
        <v>53.4</v>
      </c>
      <c r="C76" s="19">
        <f t="shared" si="0"/>
        <v>-0.10000000000000142</v>
      </c>
    </row>
    <row r="77" spans="1:5" x14ac:dyDescent="0.35">
      <c r="A77" s="15">
        <v>40603</v>
      </c>
      <c r="B77" s="6">
        <v>52.8</v>
      </c>
      <c r="C77" s="19">
        <f t="shared" si="0"/>
        <v>-0.60000000000000142</v>
      </c>
      <c r="D77" s="5">
        <v>6.0000000000000001E-3</v>
      </c>
    </row>
    <row r="78" spans="1:5" x14ac:dyDescent="0.35">
      <c r="A78" s="15">
        <v>40634</v>
      </c>
      <c r="B78" s="6">
        <v>51.7</v>
      </c>
      <c r="C78" s="19">
        <f t="shared" si="0"/>
        <v>-1.0999999999999943</v>
      </c>
    </row>
    <row r="79" spans="1:5" x14ac:dyDescent="0.35">
      <c r="A79" s="15">
        <v>40664</v>
      </c>
      <c r="B79" s="6">
        <v>51.2</v>
      </c>
      <c r="C79" s="19">
        <f t="shared" si="0"/>
        <v>-0.5</v>
      </c>
    </row>
    <row r="80" spans="1:5" x14ac:dyDescent="0.35">
      <c r="A80" s="15">
        <v>40695</v>
      </c>
      <c r="B80" s="6">
        <v>51.2</v>
      </c>
      <c r="C80" s="19">
        <f t="shared" si="0"/>
        <v>0</v>
      </c>
      <c r="D80" s="5">
        <v>1.2999999999999999E-2</v>
      </c>
    </row>
    <row r="81" spans="1:9" x14ac:dyDescent="0.35">
      <c r="A81" s="15">
        <v>40725</v>
      </c>
      <c r="B81" s="6">
        <v>51.1</v>
      </c>
      <c r="C81" s="19">
        <f t="shared" ref="C81:C87" si="1">B81-B80</f>
        <v>-0.10000000000000142</v>
      </c>
    </row>
    <row r="82" spans="1:9" x14ac:dyDescent="0.35">
      <c r="A82" s="15">
        <v>40756</v>
      </c>
      <c r="B82" s="6">
        <v>51.3</v>
      </c>
      <c r="C82" s="19">
        <f t="shared" si="1"/>
        <v>0.19999999999999574</v>
      </c>
    </row>
    <row r="83" spans="1:9" x14ac:dyDescent="0.35">
      <c r="A83" s="15">
        <v>40787</v>
      </c>
      <c r="B83" s="6">
        <v>49.7</v>
      </c>
      <c r="C83" s="19">
        <f t="shared" si="1"/>
        <v>-1.5999999999999943</v>
      </c>
      <c r="D83" s="5">
        <v>8.0000000000000002E-3</v>
      </c>
    </row>
    <row r="84" spans="1:9" x14ac:dyDescent="0.35">
      <c r="A84" s="15">
        <v>40817</v>
      </c>
      <c r="B84" s="6">
        <v>47.4</v>
      </c>
      <c r="C84" s="19">
        <f t="shared" si="1"/>
        <v>-2.3000000000000043</v>
      </c>
    </row>
    <row r="85" spans="1:9" x14ac:dyDescent="0.35">
      <c r="A85" s="15">
        <v>40848</v>
      </c>
      <c r="B85" s="6">
        <v>48</v>
      </c>
      <c r="C85" s="19">
        <f t="shared" si="1"/>
        <v>0.60000000000000142</v>
      </c>
      <c r="H85" s="64" t="s">
        <v>116</v>
      </c>
      <c r="I85" t="s">
        <v>135</v>
      </c>
    </row>
    <row r="86" spans="1:9" x14ac:dyDescent="0.35">
      <c r="A86" s="15">
        <v>40878</v>
      </c>
      <c r="B86" s="6">
        <v>47.1</v>
      </c>
      <c r="C86" s="19">
        <f t="shared" si="1"/>
        <v>-0.89999999999999858</v>
      </c>
      <c r="D86" s="5">
        <v>4.0000000000000001E-3</v>
      </c>
    </row>
    <row r="87" spans="1:9" x14ac:dyDescent="0.35">
      <c r="A87" s="16">
        <v>40909</v>
      </c>
      <c r="B87" s="17">
        <v>49.2</v>
      </c>
      <c r="C87" s="20">
        <f t="shared" si="1"/>
        <v>2.1000000000000014</v>
      </c>
    </row>
    <row r="88" spans="1:9" x14ac:dyDescent="0.35">
      <c r="A88" s="16">
        <v>40940</v>
      </c>
      <c r="B88" s="17">
        <v>50.7</v>
      </c>
      <c r="C88" s="20">
        <f>B88-B87</f>
        <v>1.5</v>
      </c>
    </row>
    <row r="89" spans="1:9" x14ac:dyDescent="0.35">
      <c r="A89" s="16">
        <v>40969</v>
      </c>
      <c r="B89" s="17">
        <v>52</v>
      </c>
      <c r="C89" s="20">
        <f t="shared" ref="C89:C114" si="2">B89-B88</f>
        <v>1.2999999999999972</v>
      </c>
      <c r="D89" s="5">
        <v>5.0000000000000001E-3</v>
      </c>
    </row>
    <row r="90" spans="1:9" x14ac:dyDescent="0.35">
      <c r="A90" s="16">
        <v>41000</v>
      </c>
      <c r="B90" s="17">
        <v>51.9</v>
      </c>
      <c r="C90" s="20">
        <f t="shared" si="2"/>
        <v>-0.10000000000000142</v>
      </c>
    </row>
    <row r="91" spans="1:9" x14ac:dyDescent="0.35">
      <c r="A91" s="16">
        <v>41030</v>
      </c>
      <c r="B91" s="17">
        <v>51</v>
      </c>
      <c r="C91" s="20">
        <f t="shared" si="2"/>
        <v>-0.89999999999999858</v>
      </c>
    </row>
    <row r="92" spans="1:9" x14ac:dyDescent="0.35">
      <c r="A92" s="16">
        <v>41061</v>
      </c>
      <c r="B92" s="17">
        <v>49.4</v>
      </c>
      <c r="C92" s="20">
        <f t="shared" si="2"/>
        <v>-1.6000000000000014</v>
      </c>
      <c r="D92" s="5">
        <v>5.0000000000000001E-3</v>
      </c>
    </row>
    <row r="93" spans="1:9" x14ac:dyDescent="0.35">
      <c r="A93" s="16">
        <v>41091</v>
      </c>
      <c r="B93" s="17">
        <v>47.2</v>
      </c>
      <c r="C93" s="20">
        <f t="shared" si="2"/>
        <v>-2.1999999999999957</v>
      </c>
    </row>
    <row r="94" spans="1:9" x14ac:dyDescent="0.35">
      <c r="A94" s="16">
        <v>41122</v>
      </c>
      <c r="B94" s="17">
        <v>47.5</v>
      </c>
      <c r="C94" s="20">
        <f t="shared" si="2"/>
        <v>0.29999999999999716</v>
      </c>
    </row>
    <row r="95" spans="1:9" x14ac:dyDescent="0.35">
      <c r="A95" s="16">
        <v>41153</v>
      </c>
      <c r="B95" s="17">
        <v>45.7</v>
      </c>
      <c r="C95" s="20">
        <f t="shared" si="2"/>
        <v>-1.7999999999999972</v>
      </c>
      <c r="D95" s="5">
        <v>4.0000000000000001E-3</v>
      </c>
    </row>
    <row r="96" spans="1:9" x14ac:dyDescent="0.35">
      <c r="A96" s="16">
        <v>41183</v>
      </c>
      <c r="B96" s="17">
        <v>47.4</v>
      </c>
      <c r="C96" s="20">
        <f t="shared" si="2"/>
        <v>1.6999999999999957</v>
      </c>
    </row>
    <row r="97" spans="1:4" x14ac:dyDescent="0.35">
      <c r="A97" s="16">
        <v>41214</v>
      </c>
      <c r="B97" s="17">
        <v>48.2</v>
      </c>
      <c r="C97" s="20">
        <f t="shared" si="2"/>
        <v>0.80000000000000426</v>
      </c>
    </row>
    <row r="98" spans="1:4" x14ac:dyDescent="0.35">
      <c r="A98" s="16">
        <v>41244</v>
      </c>
      <c r="B98" s="17">
        <v>50.1</v>
      </c>
      <c r="C98" s="20">
        <f t="shared" si="2"/>
        <v>1.8999999999999986</v>
      </c>
      <c r="D98" s="5">
        <v>6.0000000000000001E-3</v>
      </c>
    </row>
    <row r="99" spans="1:4" x14ac:dyDescent="0.35">
      <c r="A99" s="16">
        <v>41275</v>
      </c>
      <c r="B99" s="17">
        <v>49.9</v>
      </c>
      <c r="C99" s="20">
        <f t="shared" si="2"/>
        <v>-0.20000000000000284</v>
      </c>
    </row>
    <row r="100" spans="1:4" x14ac:dyDescent="0.35">
      <c r="A100" s="16">
        <v>41306</v>
      </c>
      <c r="B100" s="17">
        <v>50.9</v>
      </c>
      <c r="C100" s="20">
        <f t="shared" si="2"/>
        <v>1</v>
      </c>
    </row>
    <row r="101" spans="1:4" x14ac:dyDescent="0.35">
      <c r="A101" s="16">
        <v>41334</v>
      </c>
      <c r="B101" s="17">
        <v>52</v>
      </c>
      <c r="C101" s="20">
        <f t="shared" si="2"/>
        <v>1.1000000000000014</v>
      </c>
      <c r="D101" s="5">
        <v>6.0000000000000001E-3</v>
      </c>
    </row>
    <row r="102" spans="1:4" x14ac:dyDescent="0.35">
      <c r="A102" s="16">
        <v>41365</v>
      </c>
      <c r="B102" s="17">
        <v>52.6</v>
      </c>
      <c r="C102" s="20">
        <f t="shared" si="2"/>
        <v>0.60000000000000142</v>
      </c>
    </row>
    <row r="103" spans="1:4" x14ac:dyDescent="0.35">
      <c r="A103" s="16">
        <v>41395</v>
      </c>
      <c r="B103" s="17">
        <v>51.1</v>
      </c>
      <c r="C103" s="20">
        <f t="shared" si="2"/>
        <v>-1.5</v>
      </c>
    </row>
    <row r="104" spans="1:4" x14ac:dyDescent="0.35">
      <c r="A104" s="16">
        <v>41426</v>
      </c>
      <c r="B104" s="17">
        <v>49.4</v>
      </c>
      <c r="C104" s="20">
        <f t="shared" si="2"/>
        <v>-1.7000000000000028</v>
      </c>
      <c r="D104" s="5">
        <v>0.01</v>
      </c>
    </row>
    <row r="105" spans="1:4" x14ac:dyDescent="0.35">
      <c r="A105" s="16">
        <v>41456</v>
      </c>
      <c r="B105" s="17">
        <v>47.2</v>
      </c>
      <c r="C105" s="20">
        <f t="shared" si="2"/>
        <v>-2.1999999999999957</v>
      </c>
    </row>
    <row r="106" spans="1:4" x14ac:dyDescent="0.35">
      <c r="A106" s="16">
        <v>41487</v>
      </c>
      <c r="B106" s="17">
        <v>47.5</v>
      </c>
      <c r="C106" s="20">
        <f t="shared" si="2"/>
        <v>0.29999999999999716</v>
      </c>
    </row>
    <row r="107" spans="1:4" x14ac:dyDescent="0.35">
      <c r="A107" s="16">
        <v>41518</v>
      </c>
      <c r="B107" s="17">
        <v>49.7</v>
      </c>
      <c r="C107" s="20">
        <f t="shared" si="2"/>
        <v>2.2000000000000028</v>
      </c>
      <c r="D107" s="5">
        <v>1.0999999999999999E-2</v>
      </c>
    </row>
    <row r="108" spans="1:4" x14ac:dyDescent="0.35">
      <c r="A108" s="16">
        <v>41548</v>
      </c>
      <c r="B108" s="17">
        <v>50.2</v>
      </c>
      <c r="C108" s="20">
        <f t="shared" si="2"/>
        <v>0.5</v>
      </c>
    </row>
    <row r="109" spans="1:4" x14ac:dyDescent="0.35">
      <c r="A109" s="16">
        <v>41579</v>
      </c>
      <c r="B109" s="17">
        <v>50.4</v>
      </c>
      <c r="C109" s="20">
        <f t="shared" si="2"/>
        <v>0.19999999999999574</v>
      </c>
    </row>
    <row r="110" spans="1:4" x14ac:dyDescent="0.35">
      <c r="A110" s="16">
        <v>41609</v>
      </c>
      <c r="B110" s="17">
        <v>50.8</v>
      </c>
      <c r="C110" s="20">
        <f t="shared" si="2"/>
        <v>0.39999999999999858</v>
      </c>
      <c r="D110" s="5">
        <v>8.9999999999999993E-3</v>
      </c>
    </row>
    <row r="111" spans="1:4" x14ac:dyDescent="0.35">
      <c r="A111" s="16">
        <v>41640</v>
      </c>
      <c r="B111" s="17">
        <v>50.9</v>
      </c>
      <c r="C111" s="20">
        <f t="shared" si="2"/>
        <v>0.10000000000000142</v>
      </c>
    </row>
    <row r="112" spans="1:4" x14ac:dyDescent="0.35">
      <c r="A112" s="16">
        <v>41671</v>
      </c>
      <c r="B112" s="17">
        <v>49.8</v>
      </c>
      <c r="C112" s="20">
        <f t="shared" si="2"/>
        <v>-1.1000000000000014</v>
      </c>
    </row>
    <row r="113" spans="1:4" x14ac:dyDescent="0.35">
      <c r="A113" s="16">
        <v>41699</v>
      </c>
      <c r="B113" s="17">
        <v>50.4</v>
      </c>
      <c r="C113" s="20">
        <f t="shared" si="2"/>
        <v>0.60000000000000142</v>
      </c>
      <c r="D113" s="5">
        <v>8.9999999999999993E-3</v>
      </c>
    </row>
    <row r="114" spans="1:4" x14ac:dyDescent="0.35">
      <c r="A114" s="16">
        <v>41730</v>
      </c>
      <c r="B114" s="17">
        <v>50.2</v>
      </c>
      <c r="C114" s="20">
        <f t="shared" si="2"/>
        <v>-0.19999999999999574</v>
      </c>
    </row>
    <row r="115" spans="1:4" x14ac:dyDescent="0.35">
      <c r="A115" s="16">
        <v>41760</v>
      </c>
      <c r="B115" s="17">
        <v>49.5</v>
      </c>
      <c r="C115" s="20">
        <f>B115-B114</f>
        <v>-0.70000000000000284</v>
      </c>
    </row>
    <row r="116" spans="1:4" x14ac:dyDescent="0.35">
      <c r="A116" s="16">
        <v>41791</v>
      </c>
      <c r="B116" s="17">
        <v>48.4</v>
      </c>
      <c r="C116" s="20">
        <f t="shared" ref="C116:C118" si="3">B116-B115</f>
        <v>-1.1000000000000014</v>
      </c>
      <c r="D116" s="5">
        <v>5.0000000000000001E-3</v>
      </c>
    </row>
    <row r="117" spans="1:4" x14ac:dyDescent="0.35">
      <c r="A117" s="16">
        <v>41821</v>
      </c>
      <c r="B117" s="17">
        <v>48.506666666666703</v>
      </c>
      <c r="C117" s="20">
        <f t="shared" si="3"/>
        <v>0.10666666666670466</v>
      </c>
    </row>
    <row r="118" spans="1:4" x14ac:dyDescent="0.35">
      <c r="A118" s="16">
        <v>41852</v>
      </c>
      <c r="B118" s="17">
        <v>50.3</v>
      </c>
      <c r="C118" s="20">
        <f t="shared" si="3"/>
        <v>1.7933333333332939</v>
      </c>
    </row>
    <row r="119" spans="1:4" x14ac:dyDescent="0.35">
      <c r="A119" s="16">
        <v>41883</v>
      </c>
      <c r="B119" s="17">
        <v>48.8</v>
      </c>
      <c r="C119" s="20">
        <f>IFERROR(B119-B118,"")</f>
        <v>-1.5</v>
      </c>
      <c r="D119" s="7">
        <f>IF(VLOOKUP(I85,Data!$O$51:$V$152,7,FALSE)=A118,VLOOKUP(I85,Data!$O$51:$V$152,2,FALSE)/100,#N/A)</f>
        <v>9.0000000000000011E-3</v>
      </c>
    </row>
    <row r="120" spans="1:4" x14ac:dyDescent="0.35">
      <c r="A120" s="16">
        <v>41913</v>
      </c>
      <c r="B120" s="17">
        <v>48.7</v>
      </c>
      <c r="C120" s="20">
        <v>-9.9999999999994316E-2</v>
      </c>
    </row>
    <row r="121" spans="1:4" x14ac:dyDescent="0.35">
      <c r="A121" s="16">
        <v>41944</v>
      </c>
      <c r="B121" s="17">
        <f>IF(A121=Data!$C$1,VLOOKUP($H$85,Data!$A$2:$C$36,3,FALSE),"N/A")</f>
        <v>49</v>
      </c>
      <c r="C121" s="20">
        <f t="shared" ref="C121" si="4">B121-B120</f>
        <v>0.29999999999999716</v>
      </c>
    </row>
    <row r="122" spans="1:4" x14ac:dyDescent="0.35">
      <c r="A122" s="105">
        <v>41974</v>
      </c>
      <c r="B122" s="17"/>
      <c r="C122" s="20"/>
    </row>
    <row r="123" spans="1:4" x14ac:dyDescent="0.35">
      <c r="A123" s="105">
        <v>42005</v>
      </c>
      <c r="B123" s="17"/>
      <c r="C123" s="20"/>
    </row>
    <row r="124" spans="1:4" x14ac:dyDescent="0.35">
      <c r="A124" s="105">
        <v>42036</v>
      </c>
      <c r="B124" s="17"/>
      <c r="C124" s="20"/>
    </row>
    <row r="125" spans="1:4" x14ac:dyDescent="0.35">
      <c r="A125" s="105">
        <v>42064</v>
      </c>
      <c r="B125" s="17"/>
      <c r="C125" s="20"/>
    </row>
    <row r="126" spans="1:4" x14ac:dyDescent="0.35">
      <c r="A126" s="105">
        <v>42095</v>
      </c>
      <c r="B126" s="17"/>
      <c r="C126" s="20"/>
    </row>
    <row r="127" spans="1:4" x14ac:dyDescent="0.35">
      <c r="A127" s="105">
        <v>42125</v>
      </c>
      <c r="B127" s="17"/>
      <c r="C127" s="20"/>
    </row>
    <row r="128" spans="1:4" x14ac:dyDescent="0.35">
      <c r="A128" s="105">
        <v>42156</v>
      </c>
      <c r="B128" s="17"/>
      <c r="C128" s="20"/>
    </row>
    <row r="129" spans="1:3" x14ac:dyDescent="0.35">
      <c r="A129" s="105">
        <v>42186</v>
      </c>
      <c r="B129" s="17"/>
      <c r="C129" s="20"/>
    </row>
    <row r="130" spans="1:3" x14ac:dyDescent="0.35">
      <c r="A130" s="105">
        <v>42217</v>
      </c>
      <c r="B130" s="17"/>
      <c r="C130" s="20"/>
    </row>
    <row r="131" spans="1:3" x14ac:dyDescent="0.35">
      <c r="A131" s="105">
        <v>42248</v>
      </c>
      <c r="B131" s="17"/>
      <c r="C131" s="20"/>
    </row>
    <row r="132" spans="1:3" x14ac:dyDescent="0.35">
      <c r="A132" s="105">
        <v>42278</v>
      </c>
      <c r="B132" s="17"/>
      <c r="C132" s="20"/>
    </row>
    <row r="133" spans="1:3" x14ac:dyDescent="0.35">
      <c r="A133" s="105">
        <v>42309</v>
      </c>
      <c r="B133" s="17"/>
      <c r="C133" s="20"/>
    </row>
    <row r="134" spans="1:3" x14ac:dyDescent="0.35">
      <c r="A134" s="105">
        <v>42339</v>
      </c>
      <c r="B134" s="17"/>
      <c r="C134" s="20"/>
    </row>
    <row r="135" spans="1:3" x14ac:dyDescent="0.35">
      <c r="A135" s="105">
        <v>42370</v>
      </c>
      <c r="B135" s="17"/>
      <c r="C135" s="20"/>
    </row>
    <row r="136" spans="1:3" x14ac:dyDescent="0.35">
      <c r="A136" s="105">
        <v>42401</v>
      </c>
      <c r="B136" s="17"/>
      <c r="C136" s="20"/>
    </row>
    <row r="137" spans="1:3" x14ac:dyDescent="0.35">
      <c r="A137" s="105">
        <v>42430</v>
      </c>
      <c r="B137" s="17"/>
      <c r="C137" s="20"/>
    </row>
    <row r="138" spans="1:3" x14ac:dyDescent="0.35">
      <c r="A138" s="105">
        <v>42461</v>
      </c>
      <c r="B138" s="17"/>
      <c r="C138" s="20"/>
    </row>
    <row r="139" spans="1:3" x14ac:dyDescent="0.35">
      <c r="A139" s="105">
        <v>42491</v>
      </c>
      <c r="B139" s="17"/>
      <c r="C139" s="20"/>
    </row>
    <row r="140" spans="1:3" x14ac:dyDescent="0.35">
      <c r="A140" s="105">
        <v>42522</v>
      </c>
      <c r="B140" s="17"/>
      <c r="C140" s="20"/>
    </row>
    <row r="141" spans="1:3" x14ac:dyDescent="0.35">
      <c r="A141" s="105">
        <v>42552</v>
      </c>
      <c r="B141" s="17"/>
      <c r="C141" s="20"/>
    </row>
    <row r="142" spans="1:3" x14ac:dyDescent="0.35">
      <c r="A142" s="105">
        <v>42583</v>
      </c>
      <c r="B142" s="17"/>
      <c r="C142" s="20"/>
    </row>
    <row r="143" spans="1:3" x14ac:dyDescent="0.35">
      <c r="A143" s="105">
        <v>42614</v>
      </c>
      <c r="B143" s="17"/>
      <c r="C143" s="20"/>
    </row>
    <row r="144" spans="1:3" x14ac:dyDescent="0.35">
      <c r="A144" s="105">
        <v>42644</v>
      </c>
      <c r="B144" s="17"/>
      <c r="C144" s="20"/>
    </row>
    <row r="145" spans="1:5" x14ac:dyDescent="0.35">
      <c r="A145" s="105">
        <v>42675</v>
      </c>
      <c r="B145" s="17"/>
      <c r="C145" s="20"/>
    </row>
    <row r="146" spans="1:5" x14ac:dyDescent="0.35">
      <c r="A146" s="105">
        <v>42705</v>
      </c>
      <c r="B146" s="17"/>
      <c r="C146" s="20"/>
    </row>
    <row r="147" spans="1:5" x14ac:dyDescent="0.35">
      <c r="A147" s="105">
        <v>42736</v>
      </c>
      <c r="B147" s="17"/>
      <c r="C147" s="20"/>
    </row>
    <row r="148" spans="1:5" x14ac:dyDescent="0.35">
      <c r="A148" s="105">
        <v>42767</v>
      </c>
      <c r="B148" s="17"/>
      <c r="C148" s="20"/>
    </row>
    <row r="149" spans="1:5" x14ac:dyDescent="0.35">
      <c r="A149" s="105">
        <v>42795</v>
      </c>
      <c r="B149" s="17"/>
      <c r="C149" s="20"/>
    </row>
    <row r="150" spans="1:5" x14ac:dyDescent="0.35">
      <c r="A150" s="105">
        <v>42826</v>
      </c>
      <c r="B150" s="17"/>
      <c r="C150" s="20"/>
    </row>
    <row r="151" spans="1:5" x14ac:dyDescent="0.35">
      <c r="A151" s="105">
        <v>42856</v>
      </c>
      <c r="B151" s="17"/>
      <c r="C151" s="20"/>
    </row>
    <row r="152" spans="1:5" x14ac:dyDescent="0.35">
      <c r="A152" s="105">
        <v>42887</v>
      </c>
      <c r="B152" s="17"/>
      <c r="C152" s="20"/>
    </row>
    <row r="153" spans="1:5" x14ac:dyDescent="0.35">
      <c r="A153" s="105">
        <v>42917</v>
      </c>
      <c r="B153" s="17"/>
      <c r="C153" s="20"/>
    </row>
    <row r="154" spans="1:5" x14ac:dyDescent="0.35">
      <c r="A154" s="106">
        <v>42948</v>
      </c>
      <c r="B154" s="91"/>
      <c r="C154" s="112"/>
    </row>
    <row r="155" spans="1:5" x14ac:dyDescent="0.35">
      <c r="A155" s="122">
        <v>46143</v>
      </c>
      <c r="B155" s="91">
        <v>54.8</v>
      </c>
      <c r="C155" s="112"/>
      <c r="E155" t="s">
        <v>324</v>
      </c>
    </row>
    <row r="156" spans="1:5" x14ac:dyDescent="0.35">
      <c r="A156" s="122">
        <v>46174</v>
      </c>
      <c r="B156" s="91">
        <v>52.1</v>
      </c>
      <c r="C156" s="112">
        <v>-2.7</v>
      </c>
    </row>
  </sheetData>
  <conditionalFormatting sqref="B74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73:I156"/>
  <sheetViews>
    <sheetView topLeftCell="A73" zoomScale="70" zoomScaleNormal="70" workbookViewId="0">
      <pane ySplit="1" topLeftCell="A98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customWidth="1"/>
    <col min="2" max="2" width="19.08984375" style="2" customWidth="1"/>
    <col min="3" max="3" width="12.36328125" customWidth="1"/>
    <col min="4" max="4" width="21.453125" customWidth="1"/>
  </cols>
  <sheetData>
    <row r="73" spans="1:5" x14ac:dyDescent="0.35">
      <c r="A73" s="13" t="s">
        <v>0</v>
      </c>
      <c r="B73" s="2" t="s">
        <v>94</v>
      </c>
      <c r="C73" t="s">
        <v>5</v>
      </c>
      <c r="D73" t="s">
        <v>95</v>
      </c>
      <c r="E73" t="s">
        <v>325</v>
      </c>
    </row>
    <row r="74" spans="1:5" x14ac:dyDescent="0.35">
      <c r="A74" s="15">
        <v>40513</v>
      </c>
    </row>
    <row r="75" spans="1:5" x14ac:dyDescent="0.35">
      <c r="A75" s="15">
        <v>40544</v>
      </c>
    </row>
    <row r="76" spans="1:5" x14ac:dyDescent="0.35">
      <c r="A76" s="15">
        <v>40575</v>
      </c>
    </row>
    <row r="77" spans="1:5" x14ac:dyDescent="0.35">
      <c r="A77" s="15">
        <v>40603</v>
      </c>
    </row>
    <row r="78" spans="1:5" x14ac:dyDescent="0.35">
      <c r="A78" s="16">
        <v>40634</v>
      </c>
      <c r="B78" s="17">
        <v>48.1</v>
      </c>
      <c r="C78" s="25"/>
      <c r="D78" s="5"/>
    </row>
    <row r="79" spans="1:5" x14ac:dyDescent="0.35">
      <c r="A79" s="16">
        <v>40664</v>
      </c>
      <c r="B79" s="17">
        <v>48</v>
      </c>
      <c r="C79" s="25">
        <f>B79-B78</f>
        <v>-0.10000000000000142</v>
      </c>
      <c r="D79" s="5"/>
    </row>
    <row r="80" spans="1:5" x14ac:dyDescent="0.35">
      <c r="A80" s="16">
        <v>40695</v>
      </c>
      <c r="B80" s="17">
        <v>50.5</v>
      </c>
      <c r="C80" s="25">
        <f t="shared" ref="C80:C115" si="0">B80-B79</f>
        <v>2.5</v>
      </c>
      <c r="D80" s="5"/>
    </row>
    <row r="81" spans="1:9" x14ac:dyDescent="0.35">
      <c r="A81" s="16">
        <v>40725</v>
      </c>
      <c r="B81" s="17">
        <v>51</v>
      </c>
      <c r="C81" s="25">
        <f t="shared" si="0"/>
        <v>0.5</v>
      </c>
      <c r="D81" s="5">
        <v>2.9000000000000001E-2</v>
      </c>
    </row>
    <row r="82" spans="1:9" x14ac:dyDescent="0.35">
      <c r="A82" s="16">
        <v>40756</v>
      </c>
      <c r="B82" s="17">
        <v>50.9</v>
      </c>
      <c r="C82" s="25">
        <f t="shared" si="0"/>
        <v>-0.10000000000000142</v>
      </c>
      <c r="D82" s="5"/>
    </row>
    <row r="83" spans="1:9" x14ac:dyDescent="0.35">
      <c r="A83" s="16">
        <v>40787</v>
      </c>
      <c r="B83" s="17">
        <v>49.8</v>
      </c>
      <c r="C83" s="25">
        <f t="shared" si="0"/>
        <v>-1.1000000000000014</v>
      </c>
      <c r="D83" s="5"/>
    </row>
    <row r="84" spans="1:9" x14ac:dyDescent="0.35">
      <c r="A84" s="16">
        <v>40817</v>
      </c>
      <c r="B84" s="17">
        <v>51.3</v>
      </c>
      <c r="C84" s="25">
        <f t="shared" si="0"/>
        <v>1.5</v>
      </c>
      <c r="D84" s="5">
        <v>3.4000000000000002E-2</v>
      </c>
    </row>
    <row r="85" spans="1:9" x14ac:dyDescent="0.35">
      <c r="A85" s="16">
        <v>40848</v>
      </c>
      <c r="B85" s="17">
        <v>50.1</v>
      </c>
      <c r="C85" s="25">
        <f t="shared" si="0"/>
        <v>-1.1999999999999957</v>
      </c>
      <c r="D85" s="5"/>
      <c r="H85" s="64" t="s">
        <v>117</v>
      </c>
      <c r="I85" t="s">
        <v>32</v>
      </c>
    </row>
    <row r="86" spans="1:9" x14ac:dyDescent="0.35">
      <c r="A86" s="16">
        <v>40878</v>
      </c>
      <c r="B86" s="17">
        <v>48.1</v>
      </c>
      <c r="C86" s="25">
        <f t="shared" si="0"/>
        <v>-2</v>
      </c>
      <c r="D86" s="5"/>
    </row>
    <row r="87" spans="1:9" x14ac:dyDescent="0.35">
      <c r="A87" s="16">
        <v>40909</v>
      </c>
      <c r="B87" s="17">
        <v>48.5</v>
      </c>
      <c r="C87" s="25">
        <f t="shared" si="0"/>
        <v>0.39999999999999858</v>
      </c>
      <c r="D87" s="5">
        <v>-1.2999999999999999E-2</v>
      </c>
    </row>
    <row r="88" spans="1:9" x14ac:dyDescent="0.35">
      <c r="A88" s="16">
        <v>40940</v>
      </c>
      <c r="B88" s="17">
        <v>50.6</v>
      </c>
      <c r="C88" s="20">
        <f t="shared" si="0"/>
        <v>2.1000000000000014</v>
      </c>
      <c r="D88" s="5"/>
    </row>
    <row r="89" spans="1:9" x14ac:dyDescent="0.35">
      <c r="A89" s="16">
        <v>40969</v>
      </c>
      <c r="B89" s="17">
        <v>50.8</v>
      </c>
      <c r="C89" s="20">
        <f t="shared" si="0"/>
        <v>0.19999999999999574</v>
      </c>
      <c r="D89" s="5"/>
    </row>
    <row r="90" spans="1:9" x14ac:dyDescent="0.35">
      <c r="A90" s="16">
        <v>41000</v>
      </c>
      <c r="B90" s="17">
        <v>50.5</v>
      </c>
      <c r="C90" s="20">
        <f t="shared" si="0"/>
        <v>-0.29999999999999716</v>
      </c>
      <c r="D90" s="5">
        <v>1.4E-2</v>
      </c>
    </row>
    <row r="91" spans="1:9" x14ac:dyDescent="0.35">
      <c r="A91" s="16">
        <v>41030</v>
      </c>
      <c r="B91" s="17">
        <v>48.1</v>
      </c>
      <c r="C91" s="20">
        <f t="shared" si="0"/>
        <v>-2.3999999999999986</v>
      </c>
      <c r="D91" s="5"/>
    </row>
    <row r="92" spans="1:9" x14ac:dyDescent="0.35">
      <c r="A92" s="16">
        <v>41061</v>
      </c>
      <c r="B92" s="17">
        <v>50.2</v>
      </c>
      <c r="C92" s="20">
        <f t="shared" si="0"/>
        <v>2.1000000000000014</v>
      </c>
      <c r="D92" s="5"/>
    </row>
    <row r="93" spans="1:9" x14ac:dyDescent="0.35">
      <c r="A93" s="16">
        <v>41091</v>
      </c>
      <c r="B93" s="17">
        <v>51.3</v>
      </c>
      <c r="C93" s="20">
        <f t="shared" si="0"/>
        <v>1.0999999999999943</v>
      </c>
      <c r="D93" s="5">
        <v>2.8000000000000001E-2</v>
      </c>
    </row>
    <row r="94" spans="1:9" x14ac:dyDescent="0.35">
      <c r="A94" s="16">
        <v>41122</v>
      </c>
      <c r="B94" s="17">
        <v>51.4</v>
      </c>
      <c r="C94" s="20">
        <f t="shared" si="0"/>
        <v>0.10000000000000142</v>
      </c>
      <c r="D94" s="5"/>
    </row>
    <row r="95" spans="1:9" x14ac:dyDescent="0.35">
      <c r="A95" s="16">
        <v>41153</v>
      </c>
      <c r="B95" s="17">
        <v>51.6</v>
      </c>
      <c r="C95" s="20">
        <f t="shared" si="0"/>
        <v>0.20000000000000284</v>
      </c>
      <c r="D95" s="5"/>
    </row>
    <row r="96" spans="1:9" x14ac:dyDescent="0.35">
      <c r="A96" s="16">
        <v>41183</v>
      </c>
      <c r="B96" s="17">
        <v>50.5</v>
      </c>
      <c r="C96" s="20">
        <f t="shared" si="0"/>
        <v>-1.1000000000000014</v>
      </c>
      <c r="D96" s="5">
        <v>3.1800000000000002E-2</v>
      </c>
    </row>
    <row r="97" spans="1:4" x14ac:dyDescent="0.35">
      <c r="A97" s="16">
        <v>41214</v>
      </c>
      <c r="B97" s="17">
        <v>51.9</v>
      </c>
      <c r="C97" s="20">
        <f t="shared" si="0"/>
        <v>1.3999999999999986</v>
      </c>
      <c r="D97" s="5"/>
    </row>
    <row r="98" spans="1:4" x14ac:dyDescent="0.35">
      <c r="A98" s="16">
        <v>41244</v>
      </c>
      <c r="B98" s="17">
        <v>51.5</v>
      </c>
      <c r="C98" s="20">
        <f t="shared" si="0"/>
        <v>-0.39999999999999858</v>
      </c>
      <c r="D98" s="5"/>
    </row>
    <row r="99" spans="1:4" x14ac:dyDescent="0.35">
      <c r="A99" s="16">
        <v>41275</v>
      </c>
      <c r="B99" s="17">
        <v>49.7</v>
      </c>
      <c r="C99" s="20">
        <f t="shared" si="0"/>
        <v>-1.7999999999999972</v>
      </c>
      <c r="D99" s="5">
        <v>-1.4500000000000001E-2</v>
      </c>
    </row>
    <row r="100" spans="1:4" x14ac:dyDescent="0.35">
      <c r="A100" s="16">
        <v>41306</v>
      </c>
      <c r="B100" s="17">
        <v>50.5</v>
      </c>
      <c r="C100" s="20">
        <f t="shared" si="0"/>
        <v>0.79999999999999716</v>
      </c>
      <c r="D100" s="5"/>
    </row>
    <row r="101" spans="1:4" x14ac:dyDescent="0.35">
      <c r="A101" s="16">
        <v>41334</v>
      </c>
      <c r="B101" s="17">
        <v>51.3</v>
      </c>
      <c r="C101" s="20">
        <f t="shared" si="0"/>
        <v>0.79999999999999716</v>
      </c>
      <c r="D101" s="5"/>
    </row>
    <row r="102" spans="1:4" x14ac:dyDescent="0.35">
      <c r="A102" s="16">
        <v>41365</v>
      </c>
      <c r="B102" s="17">
        <v>51.7</v>
      </c>
      <c r="C102" s="20">
        <f t="shared" si="0"/>
        <v>0.40000000000000568</v>
      </c>
      <c r="D102" s="5">
        <v>1.4200000000000001E-2</v>
      </c>
    </row>
    <row r="103" spans="1:4" x14ac:dyDescent="0.35">
      <c r="A103" s="16">
        <v>41395</v>
      </c>
      <c r="B103" s="17">
        <v>51.6</v>
      </c>
      <c r="C103" s="20">
        <f t="shared" si="0"/>
        <v>-0.10000000000000142</v>
      </c>
      <c r="D103" s="5"/>
    </row>
    <row r="104" spans="1:4" x14ac:dyDescent="0.35">
      <c r="A104" s="16">
        <v>41426</v>
      </c>
      <c r="B104" s="17">
        <v>51</v>
      </c>
      <c r="C104" s="20">
        <f t="shared" si="0"/>
        <v>-0.60000000000000142</v>
      </c>
      <c r="D104" s="5"/>
    </row>
    <row r="105" spans="1:4" x14ac:dyDescent="0.35">
      <c r="A105" s="16">
        <v>41456</v>
      </c>
      <c r="B105" s="17">
        <v>50.7</v>
      </c>
      <c r="C105" s="20">
        <f t="shared" si="0"/>
        <v>-0.29999999999999716</v>
      </c>
      <c r="D105" s="5">
        <v>2.6100000000000002E-2</v>
      </c>
    </row>
    <row r="106" spans="1:4" x14ac:dyDescent="0.35">
      <c r="A106" s="16">
        <v>41487</v>
      </c>
      <c r="B106" s="17">
        <v>48.5</v>
      </c>
      <c r="C106" s="20">
        <f t="shared" si="0"/>
        <v>-2.2000000000000028</v>
      </c>
      <c r="D106" s="5"/>
    </row>
    <row r="107" spans="1:4" x14ac:dyDescent="0.35">
      <c r="A107" s="16">
        <v>41518</v>
      </c>
      <c r="B107" s="17">
        <v>50.2</v>
      </c>
      <c r="C107" s="20">
        <f t="shared" si="0"/>
        <v>1.7000000000000028</v>
      </c>
      <c r="D107" s="5"/>
    </row>
    <row r="108" spans="1:4" x14ac:dyDescent="0.35">
      <c r="A108" s="16">
        <v>41548</v>
      </c>
      <c r="B108" s="17">
        <v>50.9</v>
      </c>
      <c r="C108" s="20">
        <f t="shared" si="0"/>
        <v>0.69999999999999574</v>
      </c>
      <c r="D108" s="5">
        <v>2.9600000000000001E-2</v>
      </c>
    </row>
    <row r="109" spans="1:4" x14ac:dyDescent="0.35">
      <c r="A109" s="16">
        <v>41579</v>
      </c>
      <c r="B109" s="17">
        <v>50.3</v>
      </c>
      <c r="C109" s="20">
        <f t="shared" si="0"/>
        <v>-0.60000000000000142</v>
      </c>
      <c r="D109" s="5"/>
    </row>
    <row r="110" spans="1:4" x14ac:dyDescent="0.35">
      <c r="A110" s="16">
        <v>41609</v>
      </c>
      <c r="B110" s="17">
        <v>50.9</v>
      </c>
      <c r="C110" s="20">
        <f t="shared" si="0"/>
        <v>0.60000000000000142</v>
      </c>
      <c r="D110" s="5"/>
    </row>
    <row r="111" spans="1:4" x14ac:dyDescent="0.35">
      <c r="A111" s="16">
        <v>41640</v>
      </c>
      <c r="B111" s="17">
        <v>51</v>
      </c>
      <c r="C111" s="20">
        <f t="shared" si="0"/>
        <v>0.10000000000000142</v>
      </c>
      <c r="D111" s="5">
        <v>-1.4E-2</v>
      </c>
    </row>
    <row r="112" spans="1:4" x14ac:dyDescent="0.35">
      <c r="A112" s="16">
        <v>41671</v>
      </c>
      <c r="B112" s="17">
        <v>50.5</v>
      </c>
      <c r="C112" s="20">
        <f t="shared" si="0"/>
        <v>-0.5</v>
      </c>
      <c r="D112" s="5"/>
    </row>
    <row r="113" spans="1:4" x14ac:dyDescent="0.35">
      <c r="A113" s="16">
        <v>41699</v>
      </c>
      <c r="B113" s="17">
        <v>50.1</v>
      </c>
      <c r="C113" s="20">
        <f t="shared" si="0"/>
        <v>-0.39999999999999858</v>
      </c>
      <c r="D113" s="5"/>
    </row>
    <row r="114" spans="1:4" x14ac:dyDescent="0.35">
      <c r="A114" s="16">
        <v>41730</v>
      </c>
      <c r="B114" s="17">
        <v>51.1</v>
      </c>
      <c r="C114" s="20">
        <f t="shared" si="0"/>
        <v>1</v>
      </c>
      <c r="D114" s="5">
        <v>9.4999999999999998E-3</v>
      </c>
    </row>
    <row r="115" spans="1:4" x14ac:dyDescent="0.35">
      <c r="A115" s="16">
        <v>41760</v>
      </c>
      <c r="B115" s="17">
        <v>52.4</v>
      </c>
      <c r="C115" s="20">
        <f t="shared" si="0"/>
        <v>1.2999999999999972</v>
      </c>
      <c r="D115" s="5"/>
    </row>
    <row r="116" spans="1:4" x14ac:dyDescent="0.35">
      <c r="A116" s="16">
        <v>41791</v>
      </c>
      <c r="B116" s="17">
        <v>52.7</v>
      </c>
      <c r="C116" s="20">
        <f t="shared" ref="C116:C118" si="1">B116-B115</f>
        <v>0.30000000000000426</v>
      </c>
    </row>
    <row r="117" spans="1:4" x14ac:dyDescent="0.35">
      <c r="A117" s="16">
        <v>41821</v>
      </c>
      <c r="B117" s="17">
        <v>52.4</v>
      </c>
      <c r="C117" s="20">
        <f t="shared" si="1"/>
        <v>-0.30000000000000426</v>
      </c>
      <c r="D117" s="7"/>
    </row>
    <row r="118" spans="1:4" x14ac:dyDescent="0.35">
      <c r="A118" s="16">
        <v>41852</v>
      </c>
      <c r="B118" s="17">
        <v>49.5</v>
      </c>
      <c r="C118" s="20">
        <f t="shared" si="1"/>
        <v>-2.8999999999999986</v>
      </c>
      <c r="D118" s="7"/>
    </row>
    <row r="119" spans="1:4" x14ac:dyDescent="0.35">
      <c r="A119" s="16">
        <v>41883</v>
      </c>
      <c r="B119" s="17">
        <v>50.7</v>
      </c>
      <c r="C119" s="20">
        <f>IFERROR(B119-B118,"")</f>
        <v>1.2000000000000028</v>
      </c>
      <c r="D119" s="7">
        <f>IF(VLOOKUP(I85,Data!$O$51:$V$152,7,FALSE)=A118,VLOOKUP(I85,Data!$O$51:$V$152,2,FALSE)/100,#N/A)</f>
        <v>2.9600000000000001E-2</v>
      </c>
    </row>
    <row r="120" spans="1:4" x14ac:dyDescent="0.35">
      <c r="A120" s="16">
        <v>41913</v>
      </c>
      <c r="B120" s="17">
        <v>49.2</v>
      </c>
      <c r="C120" s="20">
        <v>-1.5</v>
      </c>
    </row>
    <row r="121" spans="1:4" x14ac:dyDescent="0.35">
      <c r="A121" s="16">
        <v>41944</v>
      </c>
      <c r="B121" s="17">
        <f>IF(A121=Data!$C$1,VLOOKUP($H$85,Data!$A$2:$C$36,3,FALSE),"N/A")</f>
        <v>48</v>
      </c>
      <c r="C121" s="20">
        <f t="shared" ref="C121" si="2">B121-B120</f>
        <v>-1.2000000000000028</v>
      </c>
    </row>
    <row r="122" spans="1:4" x14ac:dyDescent="0.35">
      <c r="A122" s="105">
        <v>41974</v>
      </c>
      <c r="B122" s="17"/>
      <c r="C122" s="20"/>
    </row>
    <row r="123" spans="1:4" x14ac:dyDescent="0.35">
      <c r="A123" s="105">
        <v>42005</v>
      </c>
      <c r="B123" s="17"/>
      <c r="C123" s="20"/>
    </row>
    <row r="124" spans="1:4" x14ac:dyDescent="0.35">
      <c r="A124" s="105">
        <v>42036</v>
      </c>
      <c r="B124" s="17"/>
      <c r="C124" s="20"/>
    </row>
    <row r="125" spans="1:4" x14ac:dyDescent="0.35">
      <c r="A125" s="105">
        <v>42064</v>
      </c>
      <c r="B125" s="17"/>
      <c r="C125" s="20"/>
    </row>
    <row r="126" spans="1:4" x14ac:dyDescent="0.35">
      <c r="A126" s="105">
        <v>42095</v>
      </c>
      <c r="B126" s="17"/>
      <c r="C126" s="20"/>
    </row>
    <row r="127" spans="1:4" x14ac:dyDescent="0.35">
      <c r="A127" s="105">
        <v>42125</v>
      </c>
      <c r="B127" s="17"/>
      <c r="C127" s="20"/>
    </row>
    <row r="128" spans="1:4" x14ac:dyDescent="0.35">
      <c r="A128" s="105">
        <v>42156</v>
      </c>
      <c r="B128" s="17"/>
      <c r="C128" s="20"/>
    </row>
    <row r="129" spans="1:3" x14ac:dyDescent="0.35">
      <c r="A129" s="105">
        <v>42186</v>
      </c>
      <c r="B129" s="17"/>
      <c r="C129" s="20"/>
    </row>
    <row r="130" spans="1:3" x14ac:dyDescent="0.35">
      <c r="A130" s="105">
        <v>42217</v>
      </c>
      <c r="B130" s="17"/>
      <c r="C130" s="20"/>
    </row>
    <row r="131" spans="1:3" x14ac:dyDescent="0.35">
      <c r="A131" s="105">
        <v>42248</v>
      </c>
      <c r="B131" s="17"/>
      <c r="C131" s="20"/>
    </row>
    <row r="132" spans="1:3" x14ac:dyDescent="0.35">
      <c r="A132" s="105">
        <v>42278</v>
      </c>
      <c r="B132" s="17"/>
      <c r="C132" s="20"/>
    </row>
    <row r="133" spans="1:3" x14ac:dyDescent="0.35">
      <c r="A133" s="105">
        <v>42309</v>
      </c>
      <c r="B133" s="17"/>
      <c r="C133" s="20"/>
    </row>
    <row r="134" spans="1:3" x14ac:dyDescent="0.35">
      <c r="A134" s="105">
        <v>42339</v>
      </c>
      <c r="B134" s="17"/>
      <c r="C134" s="20"/>
    </row>
    <row r="135" spans="1:3" x14ac:dyDescent="0.35">
      <c r="A135" s="105">
        <v>42370</v>
      </c>
      <c r="B135" s="17"/>
      <c r="C135" s="20"/>
    </row>
    <row r="136" spans="1:3" x14ac:dyDescent="0.35">
      <c r="A136" s="105">
        <v>42401</v>
      </c>
      <c r="B136" s="17"/>
      <c r="C136" s="20"/>
    </row>
    <row r="137" spans="1:3" x14ac:dyDescent="0.35">
      <c r="A137" s="105">
        <v>42430</v>
      </c>
      <c r="B137" s="17"/>
      <c r="C137" s="20"/>
    </row>
    <row r="138" spans="1:3" x14ac:dyDescent="0.35">
      <c r="A138" s="105">
        <v>42461</v>
      </c>
      <c r="B138" s="17"/>
      <c r="C138" s="20"/>
    </row>
    <row r="139" spans="1:3" x14ac:dyDescent="0.35">
      <c r="A139" s="105">
        <v>42491</v>
      </c>
      <c r="B139" s="17"/>
      <c r="C139" s="20"/>
    </row>
    <row r="140" spans="1:3" x14ac:dyDescent="0.35">
      <c r="A140" s="105">
        <v>42522</v>
      </c>
      <c r="B140" s="17"/>
      <c r="C140" s="20"/>
    </row>
    <row r="141" spans="1:3" x14ac:dyDescent="0.35">
      <c r="A141" s="105">
        <v>42552</v>
      </c>
      <c r="B141" s="17"/>
      <c r="C141" s="20"/>
    </row>
    <row r="142" spans="1:3" x14ac:dyDescent="0.35">
      <c r="A142" s="105">
        <v>42583</v>
      </c>
      <c r="B142" s="17"/>
      <c r="C142" s="20"/>
    </row>
    <row r="143" spans="1:3" x14ac:dyDescent="0.35">
      <c r="A143" s="105">
        <v>42614</v>
      </c>
      <c r="B143" s="17"/>
      <c r="C143" s="20"/>
    </row>
    <row r="144" spans="1:3" x14ac:dyDescent="0.35">
      <c r="A144" s="105">
        <v>42644</v>
      </c>
      <c r="B144" s="17"/>
      <c r="C144" s="20"/>
    </row>
    <row r="145" spans="1:5" x14ac:dyDescent="0.35">
      <c r="A145" s="105">
        <v>42675</v>
      </c>
      <c r="B145" s="17"/>
      <c r="C145" s="20"/>
    </row>
    <row r="146" spans="1:5" x14ac:dyDescent="0.35">
      <c r="A146" s="105">
        <v>42705</v>
      </c>
      <c r="B146" s="17"/>
      <c r="C146" s="20"/>
    </row>
    <row r="147" spans="1:5" x14ac:dyDescent="0.35">
      <c r="A147" s="105">
        <v>42736</v>
      </c>
      <c r="B147" s="17"/>
      <c r="C147" s="20"/>
    </row>
    <row r="148" spans="1:5" x14ac:dyDescent="0.35">
      <c r="A148" s="105">
        <v>42767</v>
      </c>
      <c r="B148" s="17"/>
      <c r="C148" s="20"/>
    </row>
    <row r="149" spans="1:5" x14ac:dyDescent="0.35">
      <c r="A149" s="105">
        <v>42795</v>
      </c>
      <c r="B149" s="17"/>
      <c r="C149" s="20"/>
    </row>
    <row r="150" spans="1:5" x14ac:dyDescent="0.35">
      <c r="A150" s="105">
        <v>42826</v>
      </c>
      <c r="B150" s="17"/>
      <c r="C150" s="20"/>
    </row>
    <row r="151" spans="1:5" x14ac:dyDescent="0.35">
      <c r="A151" s="105">
        <v>42856</v>
      </c>
      <c r="B151" s="17"/>
      <c r="C151" s="20"/>
    </row>
    <row r="152" spans="1:5" x14ac:dyDescent="0.35">
      <c r="A152" s="105">
        <v>42887</v>
      </c>
      <c r="B152" s="17"/>
      <c r="C152" s="20"/>
    </row>
    <row r="153" spans="1:5" x14ac:dyDescent="0.35">
      <c r="A153" s="105">
        <v>42917</v>
      </c>
      <c r="B153" s="17"/>
      <c r="C153" s="20"/>
    </row>
    <row r="154" spans="1:5" x14ac:dyDescent="0.35">
      <c r="A154" s="106">
        <v>42948</v>
      </c>
      <c r="B154" s="91"/>
      <c r="C154" s="112"/>
    </row>
    <row r="155" spans="1:5" x14ac:dyDescent="0.35">
      <c r="A155" s="122">
        <v>46143</v>
      </c>
      <c r="B155" s="91">
        <v>50</v>
      </c>
      <c r="C155" s="112"/>
      <c r="E155" t="s">
        <v>324</v>
      </c>
    </row>
    <row r="156" spans="1:5" x14ac:dyDescent="0.35">
      <c r="A156" s="122">
        <v>46174</v>
      </c>
      <c r="B156" s="91">
        <v>46.9</v>
      </c>
      <c r="C156" s="112">
        <v>-3.1</v>
      </c>
    </row>
  </sheetData>
  <conditionalFormatting sqref="B78:B1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9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56"/>
  <sheetViews>
    <sheetView topLeftCell="A71" zoomScale="70" zoomScaleNormal="70" workbookViewId="0">
      <pane ySplit="1" topLeftCell="A99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6.08984375" style="19" customWidth="1"/>
    <col min="3" max="3" width="12.36328125" style="13" customWidth="1"/>
    <col min="4" max="4" width="21.453125" style="5" customWidth="1"/>
  </cols>
  <sheetData>
    <row r="1" spans="1:4" x14ac:dyDescent="0.35">
      <c r="A1" s="13" t="s">
        <v>0</v>
      </c>
      <c r="B1" s="19" t="s">
        <v>34</v>
      </c>
      <c r="C1" s="13" t="s">
        <v>5</v>
      </c>
      <c r="D1" s="5" t="s">
        <v>61</v>
      </c>
    </row>
    <row r="71" spans="1:5" x14ac:dyDescent="0.35">
      <c r="A71" s="13" t="s">
        <v>0</v>
      </c>
      <c r="B71" s="19" t="s">
        <v>152</v>
      </c>
      <c r="C71" s="13" t="s">
        <v>5</v>
      </c>
      <c r="D71" s="5" t="s">
        <v>95</v>
      </c>
      <c r="E71" t="s">
        <v>325</v>
      </c>
    </row>
    <row r="72" spans="1:5" x14ac:dyDescent="0.35">
      <c r="A72" s="15">
        <v>40452</v>
      </c>
      <c r="B72" s="6">
        <v>48.6</v>
      </c>
    </row>
    <row r="73" spans="1:5" x14ac:dyDescent="0.35">
      <c r="A73" s="15">
        <v>40483</v>
      </c>
      <c r="B73" s="6">
        <v>51.7</v>
      </c>
      <c r="C73" s="19">
        <f t="shared" ref="C73:C87" si="0">B73-B72</f>
        <v>3.1000000000000014</v>
      </c>
    </row>
    <row r="74" spans="1:5" x14ac:dyDescent="0.35">
      <c r="A74" s="15">
        <v>40513</v>
      </c>
      <c r="B74" s="6">
        <v>51.7</v>
      </c>
      <c r="C74" s="19">
        <f t="shared" si="0"/>
        <v>0</v>
      </c>
      <c r="D74" s="5">
        <v>6.0000000000000001E-3</v>
      </c>
    </row>
    <row r="75" spans="1:5" x14ac:dyDescent="0.35">
      <c r="A75" s="15">
        <v>40544</v>
      </c>
      <c r="B75" s="6">
        <v>54.6</v>
      </c>
      <c r="C75" s="19">
        <f t="shared" si="0"/>
        <v>2.8999999999999986</v>
      </c>
    </row>
    <row r="76" spans="1:5" x14ac:dyDescent="0.35">
      <c r="A76" s="15">
        <v>40575</v>
      </c>
      <c r="B76" s="6">
        <v>55.8</v>
      </c>
      <c r="C76" s="19">
        <f t="shared" si="0"/>
        <v>1.1999999999999957</v>
      </c>
    </row>
    <row r="77" spans="1:5" x14ac:dyDescent="0.35">
      <c r="A77" s="15">
        <v>40603</v>
      </c>
      <c r="B77" s="6">
        <v>55.6</v>
      </c>
      <c r="C77" s="19">
        <f t="shared" si="0"/>
        <v>-0.19999999999999574</v>
      </c>
      <c r="D77" s="5">
        <v>2.7E-2</v>
      </c>
    </row>
    <row r="78" spans="1:5" x14ac:dyDescent="0.35">
      <c r="A78" s="15">
        <v>40634</v>
      </c>
      <c r="B78" s="6">
        <v>58.2</v>
      </c>
      <c r="C78" s="19">
        <f t="shared" si="0"/>
        <v>2.6000000000000014</v>
      </c>
    </row>
    <row r="79" spans="1:5" x14ac:dyDescent="0.35">
      <c r="A79" s="15">
        <v>40664</v>
      </c>
      <c r="B79" s="6">
        <v>54.9</v>
      </c>
      <c r="C79" s="19">
        <f t="shared" si="0"/>
        <v>-3.3000000000000043</v>
      </c>
    </row>
    <row r="80" spans="1:5" x14ac:dyDescent="0.35">
      <c r="A80" s="15">
        <v>40695</v>
      </c>
      <c r="B80" s="6">
        <v>49.9</v>
      </c>
      <c r="C80" s="19">
        <f t="shared" si="0"/>
        <v>-5</v>
      </c>
      <c r="D80" s="5">
        <v>5.0000000000000001E-3</v>
      </c>
    </row>
    <row r="81" spans="1:9" x14ac:dyDescent="0.35">
      <c r="A81" s="15">
        <v>40725</v>
      </c>
      <c r="B81" s="6">
        <v>46.1</v>
      </c>
      <c r="C81" s="19">
        <f t="shared" si="0"/>
        <v>-3.7999999999999972</v>
      </c>
    </row>
    <row r="82" spans="1:9" x14ac:dyDescent="0.35">
      <c r="A82" s="15">
        <v>40756</v>
      </c>
      <c r="B82" s="6">
        <v>45.2</v>
      </c>
      <c r="C82" s="19">
        <f t="shared" si="0"/>
        <v>-0.89999999999999858</v>
      </c>
    </row>
    <row r="83" spans="1:9" x14ac:dyDescent="0.35">
      <c r="A83" s="15">
        <v>40787</v>
      </c>
      <c r="B83" s="6">
        <v>44.5</v>
      </c>
      <c r="C83" s="19">
        <f t="shared" si="0"/>
        <v>-0.70000000000000284</v>
      </c>
      <c r="D83" s="5">
        <v>-5.0000000000000001E-3</v>
      </c>
    </row>
    <row r="84" spans="1:9" x14ac:dyDescent="0.35">
      <c r="A84" s="15">
        <v>40817</v>
      </c>
      <c r="B84" s="6">
        <v>48</v>
      </c>
      <c r="C84" s="19">
        <f t="shared" si="0"/>
        <v>3.5</v>
      </c>
    </row>
    <row r="85" spans="1:9" x14ac:dyDescent="0.35">
      <c r="A85" s="15">
        <v>40848</v>
      </c>
      <c r="B85" s="6">
        <v>47.1</v>
      </c>
      <c r="C85" s="19">
        <f>B85-B84</f>
        <v>-0.89999999999999858</v>
      </c>
      <c r="H85" s="64" t="s">
        <v>118</v>
      </c>
      <c r="I85" t="s">
        <v>34</v>
      </c>
    </row>
    <row r="86" spans="1:9" x14ac:dyDescent="0.35">
      <c r="A86" s="15">
        <v>40878</v>
      </c>
      <c r="B86" s="6">
        <v>47.1</v>
      </c>
      <c r="C86" s="19">
        <f>B86-B85</f>
        <v>0</v>
      </c>
      <c r="D86" s="5">
        <v>-1.2999999999999999E-2</v>
      </c>
    </row>
    <row r="87" spans="1:9" x14ac:dyDescent="0.35">
      <c r="A87" s="16">
        <v>40909</v>
      </c>
      <c r="B87" s="17">
        <v>47.1</v>
      </c>
      <c r="C87" s="20">
        <f t="shared" si="0"/>
        <v>0</v>
      </c>
    </row>
    <row r="88" spans="1:9" x14ac:dyDescent="0.35">
      <c r="A88" s="16">
        <v>40940</v>
      </c>
      <c r="B88" s="17">
        <v>48.9</v>
      </c>
      <c r="C88" s="20">
        <f>B88-B87</f>
        <v>1.7999999999999972</v>
      </c>
    </row>
    <row r="89" spans="1:9" x14ac:dyDescent="0.35">
      <c r="A89" s="16">
        <v>40969</v>
      </c>
      <c r="B89" s="17">
        <v>52.7</v>
      </c>
      <c r="C89" s="20">
        <f t="shared" ref="C89:C114" si="1">B89-B88</f>
        <v>3.8000000000000043</v>
      </c>
      <c r="D89" s="5">
        <v>1.7999999999999999E-2</v>
      </c>
    </row>
    <row r="90" spans="1:9" x14ac:dyDescent="0.35">
      <c r="A90" s="16">
        <v>41000</v>
      </c>
      <c r="B90" s="17">
        <v>54.1</v>
      </c>
      <c r="C90" s="20">
        <f t="shared" si="1"/>
        <v>1.3999999999999986</v>
      </c>
    </row>
    <row r="91" spans="1:9" x14ac:dyDescent="0.35">
      <c r="A91" s="16">
        <v>41030</v>
      </c>
      <c r="B91" s="17">
        <v>51.2</v>
      </c>
      <c r="C91" s="20">
        <f t="shared" si="1"/>
        <v>-2.8999999999999986</v>
      </c>
    </row>
    <row r="92" spans="1:9" x14ac:dyDescent="0.35">
      <c r="A92" s="16">
        <v>41061</v>
      </c>
      <c r="B92" s="17">
        <v>50.5</v>
      </c>
      <c r="C92" s="20">
        <f t="shared" si="1"/>
        <v>-0.70000000000000284</v>
      </c>
      <c r="D92" s="5">
        <v>-1E-3</v>
      </c>
    </row>
    <row r="93" spans="1:9" x14ac:dyDescent="0.35">
      <c r="A93" s="16">
        <v>41091</v>
      </c>
      <c r="B93" s="17">
        <v>49.2</v>
      </c>
      <c r="C93" s="20">
        <f t="shared" si="1"/>
        <v>-1.2999999999999972</v>
      </c>
    </row>
    <row r="94" spans="1:9" x14ac:dyDescent="0.35">
      <c r="A94" s="16">
        <v>41122</v>
      </c>
      <c r="B94" s="17">
        <v>47.5</v>
      </c>
      <c r="C94" s="20">
        <f t="shared" si="1"/>
        <v>-1.7000000000000028</v>
      </c>
    </row>
    <row r="95" spans="1:9" x14ac:dyDescent="0.35">
      <c r="A95" s="16">
        <v>41153</v>
      </c>
      <c r="B95" s="17">
        <v>46.1</v>
      </c>
      <c r="C95" s="20">
        <f t="shared" si="1"/>
        <v>-1.3999999999999986</v>
      </c>
      <c r="D95" s="5">
        <v>0.01</v>
      </c>
    </row>
    <row r="96" spans="1:9" x14ac:dyDescent="0.35">
      <c r="A96" s="16">
        <v>41183</v>
      </c>
      <c r="B96" s="17">
        <v>45.6</v>
      </c>
      <c r="C96" s="20">
        <f t="shared" si="1"/>
        <v>-0.5</v>
      </c>
    </row>
    <row r="97" spans="1:4" x14ac:dyDescent="0.35">
      <c r="A97" s="16">
        <v>41214</v>
      </c>
      <c r="B97" s="17">
        <v>47.8</v>
      </c>
      <c r="C97" s="20">
        <f t="shared" si="1"/>
        <v>2.1999999999999957</v>
      </c>
    </row>
    <row r="98" spans="1:4" x14ac:dyDescent="0.35">
      <c r="A98" s="16">
        <v>41244</v>
      </c>
      <c r="B98" s="17">
        <v>47.4</v>
      </c>
      <c r="C98" s="20">
        <f t="shared" si="1"/>
        <v>-0.39999999999999858</v>
      </c>
      <c r="D98" s="5">
        <v>1.2E-2</v>
      </c>
    </row>
    <row r="99" spans="1:4" x14ac:dyDescent="0.35">
      <c r="A99" s="16">
        <v>41275</v>
      </c>
      <c r="B99" s="17">
        <v>51.5</v>
      </c>
      <c r="C99" s="20">
        <f t="shared" si="1"/>
        <v>4.1000000000000014</v>
      </c>
    </row>
    <row r="100" spans="1:4" x14ac:dyDescent="0.35">
      <c r="A100" s="16">
        <v>41306</v>
      </c>
      <c r="B100" s="17">
        <v>51.5</v>
      </c>
      <c r="C100" s="20">
        <f t="shared" si="1"/>
        <v>0</v>
      </c>
    </row>
    <row r="101" spans="1:4" x14ac:dyDescent="0.35">
      <c r="A101" s="16">
        <v>41334</v>
      </c>
      <c r="B101" s="17">
        <v>50.2</v>
      </c>
      <c r="C101" s="20">
        <f t="shared" si="1"/>
        <v>-1.2999999999999972</v>
      </c>
      <c r="D101" s="5">
        <v>-5.0000000000000001E-3</v>
      </c>
    </row>
    <row r="102" spans="1:4" x14ac:dyDescent="0.35">
      <c r="A102" s="16">
        <v>41365</v>
      </c>
      <c r="B102" s="17">
        <v>51.2</v>
      </c>
      <c r="C102" s="20">
        <f t="shared" si="1"/>
        <v>1</v>
      </c>
    </row>
    <row r="103" spans="1:4" x14ac:dyDescent="0.35">
      <c r="A103" s="16">
        <v>41395</v>
      </c>
      <c r="B103" s="17">
        <v>50.7</v>
      </c>
      <c r="C103" s="20">
        <f t="shared" si="1"/>
        <v>-0.5</v>
      </c>
    </row>
    <row r="104" spans="1:4" x14ac:dyDescent="0.35">
      <c r="A104" s="16">
        <v>41426</v>
      </c>
      <c r="B104" s="17">
        <v>47.1</v>
      </c>
      <c r="C104" s="20">
        <f t="shared" si="1"/>
        <v>-3.6000000000000014</v>
      </c>
      <c r="D104" s="5">
        <v>8.9999999999999993E-3</v>
      </c>
    </row>
    <row r="105" spans="1:4" x14ac:dyDescent="0.35">
      <c r="A105" s="16">
        <v>41456</v>
      </c>
      <c r="B105" s="17">
        <v>49.5</v>
      </c>
      <c r="C105" s="20">
        <f t="shared" si="1"/>
        <v>2.3999999999999986</v>
      </c>
    </row>
    <row r="106" spans="1:4" x14ac:dyDescent="0.35">
      <c r="A106" s="16">
        <v>41487</v>
      </c>
      <c r="B106" s="17">
        <v>48.6</v>
      </c>
      <c r="C106" s="20">
        <f t="shared" si="1"/>
        <v>-0.89999999999999858</v>
      </c>
    </row>
    <row r="107" spans="1:4" x14ac:dyDescent="0.35">
      <c r="A107" s="16">
        <v>41518</v>
      </c>
      <c r="B107" s="17">
        <v>50</v>
      </c>
      <c r="C107" s="20">
        <f t="shared" si="1"/>
        <v>1.3999999999999986</v>
      </c>
      <c r="D107" s="5">
        <v>0</v>
      </c>
    </row>
    <row r="108" spans="1:4" x14ac:dyDescent="0.35">
      <c r="A108" s="16">
        <v>41548</v>
      </c>
      <c r="B108" s="17">
        <v>52</v>
      </c>
      <c r="C108" s="20">
        <f t="shared" si="1"/>
        <v>2</v>
      </c>
    </row>
    <row r="109" spans="1:4" x14ac:dyDescent="0.35">
      <c r="A109" s="16">
        <v>41579</v>
      </c>
      <c r="B109" s="17">
        <v>53</v>
      </c>
      <c r="C109" s="20">
        <f t="shared" si="1"/>
        <v>1</v>
      </c>
    </row>
    <row r="110" spans="1:4" x14ac:dyDescent="0.35">
      <c r="A110" s="16">
        <v>41609</v>
      </c>
      <c r="B110" s="17">
        <v>53.4</v>
      </c>
      <c r="C110" s="20">
        <f t="shared" si="1"/>
        <v>0.39999999999999858</v>
      </c>
      <c r="D110" s="5">
        <v>1.7999999999999999E-2</v>
      </c>
    </row>
    <row r="111" spans="1:4" x14ac:dyDescent="0.35">
      <c r="A111" s="16">
        <v>41640</v>
      </c>
      <c r="B111" s="17">
        <v>55.5</v>
      </c>
      <c r="C111" s="20">
        <f t="shared" si="1"/>
        <v>2.1000000000000014</v>
      </c>
    </row>
    <row r="112" spans="1:4" x14ac:dyDescent="0.35">
      <c r="A112" s="16">
        <v>41671</v>
      </c>
      <c r="B112" s="17">
        <v>54.7</v>
      </c>
      <c r="C112" s="20">
        <f t="shared" si="1"/>
        <v>-0.79999999999999716</v>
      </c>
    </row>
    <row r="113" spans="1:4" x14ac:dyDescent="0.35">
      <c r="A113" s="16">
        <v>41699</v>
      </c>
      <c r="B113" s="17">
        <v>52.7</v>
      </c>
      <c r="C113" s="20">
        <f t="shared" si="1"/>
        <v>-2</v>
      </c>
      <c r="D113" s="5">
        <v>4.0000000000000001E-3</v>
      </c>
    </row>
    <row r="114" spans="1:4" x14ac:dyDescent="0.35">
      <c r="A114" s="16">
        <v>41730</v>
      </c>
      <c r="B114" s="17">
        <v>52.3</v>
      </c>
      <c r="C114" s="20">
        <f t="shared" si="1"/>
        <v>-0.40000000000000568</v>
      </c>
    </row>
    <row r="115" spans="1:4" x14ac:dyDescent="0.35">
      <c r="A115" s="16">
        <v>41760</v>
      </c>
      <c r="B115" s="17">
        <v>52.4</v>
      </c>
      <c r="C115" s="20">
        <f t="shared" ref="C115:C118" si="2">B115-B114</f>
        <v>0.10000000000000142</v>
      </c>
    </row>
    <row r="116" spans="1:4" x14ac:dyDescent="0.35">
      <c r="A116" s="16">
        <v>41791</v>
      </c>
      <c r="B116" s="17">
        <v>54</v>
      </c>
      <c r="C116" s="20">
        <f t="shared" si="2"/>
        <v>1.6000000000000014</v>
      </c>
      <c r="D116" s="5">
        <v>8.6E-3</v>
      </c>
    </row>
    <row r="117" spans="1:4" x14ac:dyDescent="0.35">
      <c r="A117" s="16">
        <v>41821</v>
      </c>
      <c r="B117" s="17">
        <v>55.8</v>
      </c>
      <c r="C117" s="20">
        <f t="shared" si="2"/>
        <v>1.7999999999999972</v>
      </c>
    </row>
    <row r="118" spans="1:4" x14ac:dyDescent="0.35">
      <c r="A118" s="16">
        <v>41852</v>
      </c>
      <c r="B118" s="17">
        <v>56.1</v>
      </c>
      <c r="C118" s="20">
        <f t="shared" si="2"/>
        <v>0.30000000000000426</v>
      </c>
    </row>
    <row r="119" spans="1:4" x14ac:dyDescent="0.35">
      <c r="A119" s="16">
        <v>41883</v>
      </c>
      <c r="B119" s="17">
        <v>53.3</v>
      </c>
      <c r="C119" s="20">
        <f>IFERROR(B119-B118,"")</f>
        <v>-2.8000000000000043</v>
      </c>
      <c r="D119" s="7">
        <f>IF(VLOOKUP(I85,Data!$O$51:$V$152,7,FALSE)=A118,VLOOKUP(I85,Data!$O$51:$V$152,2,FALSE)/100,#N/A)</f>
        <v>6.6E-3</v>
      </c>
    </row>
    <row r="120" spans="1:4" x14ac:dyDescent="0.35">
      <c r="A120" s="16">
        <v>41913</v>
      </c>
      <c r="B120" s="17">
        <v>52</v>
      </c>
      <c r="C120" s="20">
        <v>-1.2999999999999972</v>
      </c>
    </row>
    <row r="121" spans="1:4" x14ac:dyDescent="0.35">
      <c r="A121" s="16">
        <v>41944</v>
      </c>
      <c r="B121" s="17">
        <f>IF(A121=Data!$C$1,VLOOKUP($H$85,Data!$A$2:$C$36,3,FALSE),"N/A")</f>
        <v>51.4</v>
      </c>
      <c r="C121" s="20">
        <f t="shared" ref="C121" si="3">B121-B120</f>
        <v>-0.60000000000000142</v>
      </c>
    </row>
    <row r="122" spans="1:4" x14ac:dyDescent="0.35">
      <c r="A122" s="105">
        <v>41974</v>
      </c>
      <c r="B122" s="17"/>
      <c r="C122" s="20"/>
    </row>
    <row r="123" spans="1:4" x14ac:dyDescent="0.35">
      <c r="A123" s="105">
        <v>42005</v>
      </c>
      <c r="B123" s="17"/>
      <c r="C123" s="20"/>
    </row>
    <row r="124" spans="1:4" x14ac:dyDescent="0.35">
      <c r="A124" s="105">
        <v>42036</v>
      </c>
      <c r="B124" s="17"/>
      <c r="C124" s="20"/>
    </row>
    <row r="125" spans="1:4" x14ac:dyDescent="0.35">
      <c r="A125" s="105">
        <v>42064</v>
      </c>
      <c r="B125" s="17"/>
      <c r="C125" s="20"/>
    </row>
    <row r="126" spans="1:4" x14ac:dyDescent="0.35">
      <c r="A126" s="105">
        <v>42095</v>
      </c>
      <c r="B126" s="17"/>
      <c r="C126" s="20"/>
    </row>
    <row r="127" spans="1:4" x14ac:dyDescent="0.35">
      <c r="A127" s="105">
        <v>42125</v>
      </c>
      <c r="B127" s="17"/>
      <c r="C127" s="20"/>
    </row>
    <row r="128" spans="1:4" x14ac:dyDescent="0.35">
      <c r="A128" s="105">
        <v>42156</v>
      </c>
      <c r="B128" s="17"/>
      <c r="C128" s="20"/>
    </row>
    <row r="129" spans="1:3" x14ac:dyDescent="0.35">
      <c r="A129" s="105">
        <v>42186</v>
      </c>
      <c r="B129" s="17"/>
      <c r="C129" s="20"/>
    </row>
    <row r="130" spans="1:3" x14ac:dyDescent="0.35">
      <c r="A130" s="105">
        <v>42217</v>
      </c>
      <c r="B130" s="17"/>
      <c r="C130" s="20"/>
    </row>
    <row r="131" spans="1:3" x14ac:dyDescent="0.35">
      <c r="A131" s="105">
        <v>42248</v>
      </c>
      <c r="B131" s="17"/>
      <c r="C131" s="20"/>
    </row>
    <row r="132" spans="1:3" x14ac:dyDescent="0.35">
      <c r="A132" s="105">
        <v>42278</v>
      </c>
      <c r="B132" s="17"/>
      <c r="C132" s="20"/>
    </row>
    <row r="133" spans="1:3" x14ac:dyDescent="0.35">
      <c r="A133" s="105">
        <v>42309</v>
      </c>
      <c r="B133" s="17"/>
      <c r="C133" s="20"/>
    </row>
    <row r="134" spans="1:3" x14ac:dyDescent="0.35">
      <c r="A134" s="105">
        <v>42339</v>
      </c>
      <c r="B134" s="17"/>
      <c r="C134" s="20"/>
    </row>
    <row r="135" spans="1:3" x14ac:dyDescent="0.35">
      <c r="A135" s="105">
        <v>42370</v>
      </c>
      <c r="B135" s="17"/>
      <c r="C135" s="20"/>
    </row>
    <row r="136" spans="1:3" x14ac:dyDescent="0.35">
      <c r="A136" s="105">
        <v>42401</v>
      </c>
      <c r="B136" s="17"/>
      <c r="C136" s="20"/>
    </row>
    <row r="137" spans="1:3" x14ac:dyDescent="0.35">
      <c r="A137" s="105">
        <v>42430</v>
      </c>
      <c r="B137" s="17"/>
      <c r="C137" s="20"/>
    </row>
    <row r="138" spans="1:3" x14ac:dyDescent="0.35">
      <c r="A138" s="105">
        <v>42461</v>
      </c>
      <c r="B138" s="17"/>
      <c r="C138" s="20"/>
    </row>
    <row r="139" spans="1:3" x14ac:dyDescent="0.35">
      <c r="A139" s="105">
        <v>42491</v>
      </c>
      <c r="B139" s="17"/>
      <c r="C139" s="20"/>
    </row>
    <row r="140" spans="1:3" x14ac:dyDescent="0.35">
      <c r="A140" s="105">
        <v>42522</v>
      </c>
      <c r="B140" s="17"/>
      <c r="C140" s="20"/>
    </row>
    <row r="141" spans="1:3" x14ac:dyDescent="0.35">
      <c r="A141" s="105">
        <v>42552</v>
      </c>
      <c r="B141" s="17"/>
      <c r="C141" s="20"/>
    </row>
    <row r="142" spans="1:3" x14ac:dyDescent="0.35">
      <c r="A142" s="105">
        <v>42583</v>
      </c>
      <c r="B142" s="17"/>
      <c r="C142" s="20"/>
    </row>
    <row r="143" spans="1:3" x14ac:dyDescent="0.35">
      <c r="A143" s="105">
        <v>42614</v>
      </c>
      <c r="B143" s="17"/>
      <c r="C143" s="20"/>
    </row>
    <row r="144" spans="1:3" x14ac:dyDescent="0.35">
      <c r="A144" s="105">
        <v>42644</v>
      </c>
      <c r="B144" s="17"/>
      <c r="C144" s="20"/>
    </row>
    <row r="145" spans="1:5" x14ac:dyDescent="0.35">
      <c r="A145" s="105">
        <v>42675</v>
      </c>
      <c r="B145" s="17"/>
      <c r="C145" s="20"/>
    </row>
    <row r="146" spans="1:5" x14ac:dyDescent="0.35">
      <c r="A146" s="105">
        <v>42705</v>
      </c>
      <c r="B146" s="17"/>
      <c r="C146" s="20"/>
    </row>
    <row r="147" spans="1:5" x14ac:dyDescent="0.35">
      <c r="A147" s="105">
        <v>42736</v>
      </c>
      <c r="B147" s="17"/>
      <c r="C147" s="20"/>
    </row>
    <row r="148" spans="1:5" x14ac:dyDescent="0.35">
      <c r="A148" s="105">
        <v>42767</v>
      </c>
      <c r="B148" s="17"/>
      <c r="C148" s="20"/>
    </row>
    <row r="149" spans="1:5" x14ac:dyDescent="0.35">
      <c r="A149" s="105">
        <v>42795</v>
      </c>
      <c r="B149" s="17"/>
      <c r="C149" s="20"/>
    </row>
    <row r="150" spans="1:5" x14ac:dyDescent="0.35">
      <c r="A150" s="105">
        <v>42826</v>
      </c>
      <c r="B150" s="17"/>
      <c r="C150" s="20"/>
    </row>
    <row r="151" spans="1:5" x14ac:dyDescent="0.35">
      <c r="A151" s="105">
        <v>42856</v>
      </c>
      <c r="B151" s="17"/>
      <c r="C151" s="20"/>
    </row>
    <row r="152" spans="1:5" x14ac:dyDescent="0.35">
      <c r="A152" s="105">
        <v>42887</v>
      </c>
      <c r="B152" s="17"/>
      <c r="C152" s="20"/>
    </row>
    <row r="153" spans="1:5" x14ac:dyDescent="0.35">
      <c r="A153" s="105">
        <v>42917</v>
      </c>
      <c r="B153" s="17"/>
      <c r="C153" s="20"/>
    </row>
    <row r="154" spans="1:5" x14ac:dyDescent="0.35">
      <c r="A154" s="106">
        <v>42948</v>
      </c>
      <c r="B154" s="91"/>
      <c r="C154" s="112"/>
    </row>
    <row r="155" spans="1:5" x14ac:dyDescent="0.35">
      <c r="A155" s="122">
        <v>46143</v>
      </c>
      <c r="B155" s="91">
        <v>56.1</v>
      </c>
      <c r="C155" s="112"/>
      <c r="E155" t="s">
        <v>324</v>
      </c>
    </row>
    <row r="156" spans="1:5" x14ac:dyDescent="0.35">
      <c r="A156" s="122">
        <v>46174</v>
      </c>
      <c r="B156" s="91">
        <v>55.2</v>
      </c>
      <c r="C156" s="112">
        <v>-0.9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71:I156"/>
  <sheetViews>
    <sheetView topLeftCell="A71" zoomScale="70" zoomScaleNormal="70" workbookViewId="0">
      <pane ySplit="1" topLeftCell="A102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15.6328125" style="6" customWidth="1"/>
    <col min="3" max="3" width="12.36328125" style="13" customWidth="1"/>
    <col min="4" max="4" width="29.54296875" style="5" customWidth="1"/>
  </cols>
  <sheetData>
    <row r="71" spans="1:5" x14ac:dyDescent="0.35">
      <c r="A71" s="13" t="s">
        <v>0</v>
      </c>
      <c r="B71" s="6" t="s">
        <v>62</v>
      </c>
      <c r="C71" s="13" t="s">
        <v>5</v>
      </c>
      <c r="D71" s="5" t="s">
        <v>63</v>
      </c>
      <c r="E71" t="s">
        <v>325</v>
      </c>
    </row>
    <row r="72" spans="1:5" x14ac:dyDescent="0.35">
      <c r="A72" s="15">
        <v>40452</v>
      </c>
      <c r="B72" s="6">
        <v>54.3</v>
      </c>
    </row>
    <row r="73" spans="1:5" x14ac:dyDescent="0.35">
      <c r="A73" s="15">
        <v>40483</v>
      </c>
      <c r="B73" s="6">
        <v>56.4</v>
      </c>
      <c r="C73" s="13">
        <f>B73-B72</f>
        <v>2.1000000000000014</v>
      </c>
    </row>
    <row r="74" spans="1:5" x14ac:dyDescent="0.35">
      <c r="A74" s="15">
        <v>40513</v>
      </c>
      <c r="B74" s="6">
        <v>56.4</v>
      </c>
      <c r="C74" s="13">
        <f t="shared" ref="C74:C114" si="0">B74-B73</f>
        <v>0</v>
      </c>
      <c r="D74" s="5">
        <v>4.9000000000000002E-2</v>
      </c>
    </row>
    <row r="75" spans="1:5" x14ac:dyDescent="0.35">
      <c r="A75" s="15">
        <v>40544</v>
      </c>
      <c r="B75" s="6">
        <v>57.2</v>
      </c>
      <c r="C75" s="13">
        <f t="shared" si="0"/>
        <v>0.80000000000000426</v>
      </c>
    </row>
    <row r="76" spans="1:5" x14ac:dyDescent="0.35">
      <c r="A76" s="15">
        <v>40575</v>
      </c>
      <c r="B76" s="6">
        <v>58.5</v>
      </c>
      <c r="C76" s="13">
        <f t="shared" si="0"/>
        <v>1.2999999999999972</v>
      </c>
    </row>
    <row r="77" spans="1:5" x14ac:dyDescent="0.35">
      <c r="A77" s="15">
        <v>40603</v>
      </c>
      <c r="B77" s="6">
        <v>56.1</v>
      </c>
      <c r="C77" s="13">
        <f t="shared" si="0"/>
        <v>-2.3999999999999986</v>
      </c>
      <c r="D77" s="5">
        <v>2.1999999999999999E-2</v>
      </c>
    </row>
    <row r="78" spans="1:5" x14ac:dyDescent="0.35">
      <c r="A78" s="15">
        <v>40634</v>
      </c>
      <c r="B78" s="6">
        <v>52.7</v>
      </c>
      <c r="C78" s="13">
        <f t="shared" si="0"/>
        <v>-3.3999999999999986</v>
      </c>
    </row>
    <row r="79" spans="1:5" x14ac:dyDescent="0.35">
      <c r="A79" s="15">
        <v>40664</v>
      </c>
      <c r="B79" s="6">
        <v>50.6</v>
      </c>
      <c r="C79" s="13">
        <f t="shared" si="0"/>
        <v>-2.1000000000000014</v>
      </c>
    </row>
    <row r="80" spans="1:5" x14ac:dyDescent="0.35">
      <c r="A80" s="15">
        <v>40695</v>
      </c>
      <c r="B80" s="6">
        <v>52.3</v>
      </c>
      <c r="C80" s="13">
        <f t="shared" si="0"/>
        <v>1.6999999999999957</v>
      </c>
      <c r="D80" s="5">
        <v>8.0000000000000002E-3</v>
      </c>
    </row>
    <row r="81" spans="1:9" x14ac:dyDescent="0.35">
      <c r="A81" s="15">
        <v>40725</v>
      </c>
      <c r="B81" s="6">
        <v>52.3</v>
      </c>
      <c r="C81" s="13">
        <f t="shared" si="0"/>
        <v>0</v>
      </c>
    </row>
    <row r="82" spans="1:9" x14ac:dyDescent="0.35">
      <c r="A82" s="15">
        <v>40756</v>
      </c>
      <c r="B82" s="6">
        <v>49.8</v>
      </c>
      <c r="C82" s="13">
        <f t="shared" si="0"/>
        <v>-2.5</v>
      </c>
    </row>
    <row r="83" spans="1:9" x14ac:dyDescent="0.35">
      <c r="A83" s="15">
        <v>40787</v>
      </c>
      <c r="B83" s="6">
        <v>51.5</v>
      </c>
      <c r="C83" s="13">
        <f t="shared" si="0"/>
        <v>1.7000000000000028</v>
      </c>
      <c r="D83" s="5">
        <v>1.2999999999999999E-2</v>
      </c>
    </row>
    <row r="84" spans="1:9" x14ac:dyDescent="0.35">
      <c r="A84" s="15">
        <v>40817</v>
      </c>
      <c r="B84" s="6">
        <v>53.3</v>
      </c>
      <c r="C84" s="13">
        <f t="shared" si="0"/>
        <v>1.7999999999999972</v>
      </c>
    </row>
    <row r="85" spans="1:9" x14ac:dyDescent="0.35">
      <c r="A85" s="15">
        <v>40848</v>
      </c>
      <c r="B85" s="6">
        <v>52.3</v>
      </c>
      <c r="C85" s="13">
        <f t="shared" si="0"/>
        <v>-1</v>
      </c>
      <c r="H85" s="64" t="s">
        <v>119</v>
      </c>
      <c r="I85" t="s">
        <v>41</v>
      </c>
    </row>
    <row r="86" spans="1:9" x14ac:dyDescent="0.35">
      <c r="A86" s="15">
        <v>40878</v>
      </c>
      <c r="B86" s="6">
        <v>52</v>
      </c>
      <c r="C86" s="13">
        <f t="shared" si="0"/>
        <v>-0.29999999999999716</v>
      </c>
      <c r="D86" s="5">
        <v>8.0000000000000002E-3</v>
      </c>
    </row>
    <row r="87" spans="1:9" x14ac:dyDescent="0.35">
      <c r="A87" s="16">
        <v>40909</v>
      </c>
      <c r="B87" s="17">
        <v>51.7</v>
      </c>
      <c r="C87" s="25">
        <f t="shared" si="0"/>
        <v>-0.29999999999999716</v>
      </c>
    </row>
    <row r="88" spans="1:9" x14ac:dyDescent="0.35">
      <c r="A88" s="16">
        <v>40940</v>
      </c>
      <c r="B88" s="17">
        <v>49.6</v>
      </c>
      <c r="C88" s="25">
        <f t="shared" si="0"/>
        <v>-2.1000000000000014</v>
      </c>
    </row>
    <row r="89" spans="1:9" x14ac:dyDescent="0.35">
      <c r="A89" s="16">
        <v>40969</v>
      </c>
      <c r="B89" s="17">
        <v>49.6</v>
      </c>
      <c r="C89" s="25">
        <f t="shared" si="0"/>
        <v>0</v>
      </c>
      <c r="D89" s="5">
        <v>-5.0000000000000001E-3</v>
      </c>
    </row>
    <row r="90" spans="1:9" x14ac:dyDescent="0.35">
      <c r="A90" s="16">
        <v>41000</v>
      </c>
      <c r="B90" s="17">
        <v>52.3</v>
      </c>
      <c r="C90" s="25">
        <f t="shared" si="0"/>
        <v>2.6999999999999957</v>
      </c>
    </row>
    <row r="91" spans="1:9" x14ac:dyDescent="0.35">
      <c r="A91" s="16">
        <v>41030</v>
      </c>
      <c r="B91" s="17">
        <v>50.2</v>
      </c>
      <c r="C91" s="25">
        <f t="shared" si="0"/>
        <v>-2.0999999999999943</v>
      </c>
    </row>
    <row r="92" spans="1:9" x14ac:dyDescent="0.35">
      <c r="A92" s="16">
        <v>41061</v>
      </c>
      <c r="B92" s="17">
        <v>51.4</v>
      </c>
      <c r="C92" s="25">
        <f t="shared" si="0"/>
        <v>1.1999999999999957</v>
      </c>
      <c r="D92" s="5">
        <v>1.4E-2</v>
      </c>
    </row>
    <row r="93" spans="1:9" x14ac:dyDescent="0.35">
      <c r="A93" s="16">
        <v>41091</v>
      </c>
      <c r="B93" s="17">
        <v>49.4</v>
      </c>
      <c r="C93" s="25">
        <f t="shared" si="0"/>
        <v>-2</v>
      </c>
    </row>
    <row r="94" spans="1:9" x14ac:dyDescent="0.35">
      <c r="A94" s="16">
        <v>41122</v>
      </c>
      <c r="B94" s="17">
        <v>50</v>
      </c>
      <c r="C94" s="25">
        <f t="shared" si="0"/>
        <v>0.60000000000000142</v>
      </c>
    </row>
    <row r="95" spans="1:9" x14ac:dyDescent="0.35">
      <c r="A95" s="16">
        <v>41153</v>
      </c>
      <c r="B95" s="17">
        <v>52.2</v>
      </c>
      <c r="C95" s="25">
        <f t="shared" si="0"/>
        <v>2.2000000000000028</v>
      </c>
      <c r="D95" s="5">
        <v>3.0000000000000001E-3</v>
      </c>
    </row>
    <row r="96" spans="1:9" x14ac:dyDescent="0.35">
      <c r="A96" s="16">
        <v>41183</v>
      </c>
      <c r="B96" s="17">
        <v>52.5</v>
      </c>
      <c r="C96" s="25">
        <f t="shared" si="0"/>
        <v>0.29999999999999716</v>
      </c>
    </row>
    <row r="97" spans="1:4" x14ac:dyDescent="0.35">
      <c r="A97" s="16">
        <v>41214</v>
      </c>
      <c r="B97" s="17">
        <v>51.6</v>
      </c>
      <c r="C97" s="25">
        <f t="shared" si="0"/>
        <v>-0.89999999999999858</v>
      </c>
    </row>
    <row r="98" spans="1:4" x14ac:dyDescent="0.35">
      <c r="A98" s="16">
        <v>41244</v>
      </c>
      <c r="B98" s="17">
        <v>53.1</v>
      </c>
      <c r="C98" s="25">
        <f t="shared" si="0"/>
        <v>1.5</v>
      </c>
      <c r="D98" s="5">
        <v>3.0000000000000001E-3</v>
      </c>
    </row>
    <row r="99" spans="1:4" x14ac:dyDescent="0.35">
      <c r="A99" s="16">
        <v>41275</v>
      </c>
      <c r="B99" s="17">
        <v>54</v>
      </c>
      <c r="C99" s="25">
        <f t="shared" si="0"/>
        <v>0.89999999999999858</v>
      </c>
    </row>
    <row r="100" spans="1:4" x14ac:dyDescent="0.35">
      <c r="A100" s="16">
        <v>41306</v>
      </c>
      <c r="B100" s="17">
        <v>53.5</v>
      </c>
      <c r="C100" s="25">
        <f t="shared" si="0"/>
        <v>-0.5</v>
      </c>
    </row>
    <row r="101" spans="1:4" x14ac:dyDescent="0.35">
      <c r="A101" s="16">
        <v>41334</v>
      </c>
      <c r="B101" s="17">
        <v>52.3</v>
      </c>
      <c r="C101" s="25">
        <f t="shared" si="0"/>
        <v>-1.2000000000000028</v>
      </c>
      <c r="D101" s="5">
        <v>1.4E-2</v>
      </c>
    </row>
    <row r="102" spans="1:4" x14ac:dyDescent="0.35">
      <c r="A102" s="16">
        <v>41365</v>
      </c>
      <c r="B102" s="17">
        <v>51.3</v>
      </c>
      <c r="C102" s="25">
        <f t="shared" si="0"/>
        <v>-1</v>
      </c>
    </row>
    <row r="103" spans="1:4" x14ac:dyDescent="0.35">
      <c r="A103" s="16">
        <v>41395</v>
      </c>
      <c r="B103" s="17">
        <v>51.1</v>
      </c>
      <c r="C103" s="25">
        <f t="shared" si="0"/>
        <v>-0.19999999999999574</v>
      </c>
    </row>
    <row r="104" spans="1:4" x14ac:dyDescent="0.35">
      <c r="A104" s="16">
        <v>41426</v>
      </c>
      <c r="B104" s="17">
        <v>51.2</v>
      </c>
      <c r="C104" s="25">
        <f t="shared" si="0"/>
        <v>0.10000000000000142</v>
      </c>
      <c r="D104" s="5">
        <v>0.02</v>
      </c>
    </row>
    <row r="105" spans="1:4" x14ac:dyDescent="0.35">
      <c r="A105" s="16">
        <v>41456</v>
      </c>
      <c r="B105" s="17">
        <v>49.8</v>
      </c>
      <c r="C105" s="25">
        <f t="shared" si="0"/>
        <v>-1.4000000000000057</v>
      </c>
    </row>
    <row r="106" spans="1:4" x14ac:dyDescent="0.35">
      <c r="A106" s="16">
        <v>41487</v>
      </c>
      <c r="B106" s="17">
        <v>50.9</v>
      </c>
      <c r="C106" s="25">
        <f t="shared" si="0"/>
        <v>1.1000000000000014</v>
      </c>
    </row>
    <row r="107" spans="1:4" x14ac:dyDescent="0.35">
      <c r="A107" s="16">
        <v>41518</v>
      </c>
      <c r="B107" s="17">
        <v>54</v>
      </c>
      <c r="C107" s="25">
        <f t="shared" si="0"/>
        <v>3.1000000000000014</v>
      </c>
      <c r="D107" s="5">
        <v>4.0000000000000001E-3</v>
      </c>
    </row>
    <row r="108" spans="1:4" x14ac:dyDescent="0.35">
      <c r="A108" s="16">
        <v>41548</v>
      </c>
      <c r="B108" s="17">
        <v>53.3</v>
      </c>
      <c r="C108" s="25">
        <f t="shared" si="0"/>
        <v>-0.70000000000000284</v>
      </c>
    </row>
    <row r="109" spans="1:4" x14ac:dyDescent="0.35">
      <c r="A109" s="16">
        <v>41579</v>
      </c>
      <c r="B109" s="17">
        <v>55</v>
      </c>
      <c r="C109" s="25">
        <f t="shared" si="0"/>
        <v>1.7000000000000028</v>
      </c>
    </row>
    <row r="110" spans="1:4" x14ac:dyDescent="0.35">
      <c r="A110" s="16">
        <v>41609</v>
      </c>
      <c r="B110" s="17">
        <v>53.5</v>
      </c>
      <c r="C110" s="25">
        <f t="shared" si="0"/>
        <v>-1.5</v>
      </c>
      <c r="D110" s="5">
        <v>8.9999999999999993E-3</v>
      </c>
    </row>
    <row r="111" spans="1:4" x14ac:dyDescent="0.35">
      <c r="A111" s="16">
        <v>41640</v>
      </c>
      <c r="B111" s="17">
        <v>52.7</v>
      </c>
      <c r="C111" s="25">
        <f t="shared" si="0"/>
        <v>-0.79999999999999716</v>
      </c>
    </row>
    <row r="112" spans="1:4" x14ac:dyDescent="0.35">
      <c r="A112" s="16">
        <v>41671</v>
      </c>
      <c r="B112" s="17">
        <v>53.4</v>
      </c>
      <c r="C112" s="25">
        <f t="shared" si="0"/>
        <v>0.69999999999999574</v>
      </c>
    </row>
    <row r="113" spans="1:4" x14ac:dyDescent="0.35">
      <c r="A113" s="16">
        <v>41699</v>
      </c>
      <c r="B113" s="17">
        <v>51.7</v>
      </c>
      <c r="C113" s="25">
        <f t="shared" si="0"/>
        <v>-1.6999999999999957</v>
      </c>
      <c r="D113" s="5">
        <v>1.7000000000000001E-2</v>
      </c>
    </row>
    <row r="114" spans="1:4" x14ac:dyDescent="0.35">
      <c r="A114" s="16">
        <v>41730</v>
      </c>
      <c r="B114" s="17">
        <v>51.1</v>
      </c>
      <c r="C114" s="25">
        <f t="shared" si="0"/>
        <v>-0.60000000000000142</v>
      </c>
    </row>
    <row r="115" spans="1:4" x14ac:dyDescent="0.35">
      <c r="A115" s="16">
        <v>41760</v>
      </c>
      <c r="B115" s="17">
        <v>50.1</v>
      </c>
      <c r="C115" s="25">
        <f t="shared" ref="C115:C118" si="1">B115-B114</f>
        <v>-1</v>
      </c>
    </row>
    <row r="116" spans="1:4" x14ac:dyDescent="0.35">
      <c r="A116" s="16">
        <v>41791</v>
      </c>
      <c r="B116" s="17">
        <v>48.8</v>
      </c>
      <c r="C116" s="25">
        <f t="shared" si="1"/>
        <v>-1.3000000000000043</v>
      </c>
      <c r="D116" s="7">
        <f>IF(VLOOKUP(I85,Data!$O$51:$V$152,7,FALSE)=A115,VLOOKUP(I85,Data!$O$51:$V$152,2,FALSE)/100,#N/A)</f>
        <v>-5.0000000000000001E-3</v>
      </c>
    </row>
    <row r="117" spans="1:4" x14ac:dyDescent="0.35">
      <c r="A117" s="16">
        <v>41821</v>
      </c>
      <c r="B117" s="17">
        <v>48.453571428571401</v>
      </c>
      <c r="C117" s="25">
        <f t="shared" si="1"/>
        <v>-0.3464285714285964</v>
      </c>
    </row>
    <row r="118" spans="1:4" x14ac:dyDescent="0.35">
      <c r="A118" s="16">
        <v>41852</v>
      </c>
      <c r="B118" s="17">
        <v>50</v>
      </c>
      <c r="C118" s="25">
        <f t="shared" si="1"/>
        <v>1.5464285714285992</v>
      </c>
    </row>
    <row r="119" spans="1:4" x14ac:dyDescent="0.35">
      <c r="A119" s="16">
        <v>41883</v>
      </c>
      <c r="B119" s="17">
        <v>50.4</v>
      </c>
      <c r="C119" s="25">
        <f>IFERROR(B119-B118,"")</f>
        <v>0.39999999999999858</v>
      </c>
      <c r="D119" s="7" t="e">
        <f>IF(VLOOKUP(I85,Data!$O$51:$V$152,7,FALSE)=A118,VLOOKUP(I85,Data!$O$51:$V$152,2,FALSE)/100,#N/A)</f>
        <v>#N/A</v>
      </c>
    </row>
    <row r="120" spans="1:4" x14ac:dyDescent="0.35">
      <c r="A120" s="16">
        <v>41913</v>
      </c>
      <c r="B120" s="17">
        <v>51.5</v>
      </c>
      <c r="C120" s="25">
        <v>1.1000000000000014</v>
      </c>
    </row>
    <row r="121" spans="1:4" x14ac:dyDescent="0.35">
      <c r="A121" s="16">
        <v>41944</v>
      </c>
      <c r="B121" s="17">
        <f>IF(A121=Data!$C$1,VLOOKUP($H$85,Data!$A$2:$C$36,3,FALSE),"N/A")</f>
        <v>52.2</v>
      </c>
      <c r="C121" s="25">
        <f t="shared" ref="C121" si="2">B121-B120</f>
        <v>0.70000000000000284</v>
      </c>
    </row>
    <row r="122" spans="1:4" x14ac:dyDescent="0.35">
      <c r="A122" s="105">
        <v>41974</v>
      </c>
      <c r="B122" s="17"/>
      <c r="C122" s="25"/>
    </row>
    <row r="123" spans="1:4" x14ac:dyDescent="0.35">
      <c r="A123" s="105">
        <v>42005</v>
      </c>
      <c r="B123" s="17"/>
      <c r="C123" s="25"/>
    </row>
    <row r="124" spans="1:4" x14ac:dyDescent="0.35">
      <c r="A124" s="105">
        <v>42036</v>
      </c>
      <c r="B124" s="17"/>
      <c r="C124" s="25"/>
    </row>
    <row r="125" spans="1:4" x14ac:dyDescent="0.35">
      <c r="A125" s="105">
        <v>42064</v>
      </c>
      <c r="B125" s="17"/>
      <c r="C125" s="25"/>
    </row>
    <row r="126" spans="1:4" x14ac:dyDescent="0.35">
      <c r="A126" s="105">
        <v>42095</v>
      </c>
      <c r="B126" s="17"/>
      <c r="C126" s="25"/>
    </row>
    <row r="127" spans="1:4" x14ac:dyDescent="0.35">
      <c r="A127" s="105">
        <v>42125</v>
      </c>
      <c r="B127" s="17"/>
      <c r="C127" s="25"/>
    </row>
    <row r="128" spans="1:4" x14ac:dyDescent="0.35">
      <c r="A128" s="105">
        <v>42156</v>
      </c>
      <c r="B128" s="17"/>
      <c r="C128" s="25"/>
    </row>
    <row r="129" spans="1:3" x14ac:dyDescent="0.35">
      <c r="A129" s="105">
        <v>42186</v>
      </c>
      <c r="B129" s="17"/>
      <c r="C129" s="25"/>
    </row>
    <row r="130" spans="1:3" x14ac:dyDescent="0.35">
      <c r="A130" s="105">
        <v>42217</v>
      </c>
      <c r="B130" s="17"/>
      <c r="C130" s="25"/>
    </row>
    <row r="131" spans="1:3" x14ac:dyDescent="0.35">
      <c r="A131" s="105">
        <v>42248</v>
      </c>
      <c r="B131" s="17"/>
      <c r="C131" s="25"/>
    </row>
    <row r="132" spans="1:3" x14ac:dyDescent="0.35">
      <c r="A132" s="105">
        <v>42278</v>
      </c>
      <c r="B132" s="17"/>
      <c r="C132" s="25"/>
    </row>
    <row r="133" spans="1:3" x14ac:dyDescent="0.35">
      <c r="A133" s="105">
        <v>42309</v>
      </c>
      <c r="B133" s="17"/>
      <c r="C133" s="25"/>
    </row>
    <row r="134" spans="1:3" x14ac:dyDescent="0.35">
      <c r="A134" s="105">
        <v>42339</v>
      </c>
      <c r="B134" s="17"/>
      <c r="C134" s="25"/>
    </row>
    <row r="135" spans="1:3" x14ac:dyDescent="0.35">
      <c r="A135" s="105">
        <v>42370</v>
      </c>
      <c r="B135" s="17"/>
      <c r="C135" s="25"/>
    </row>
    <row r="136" spans="1:3" x14ac:dyDescent="0.35">
      <c r="A136" s="105">
        <v>42401</v>
      </c>
      <c r="B136" s="17"/>
      <c r="C136" s="25"/>
    </row>
    <row r="137" spans="1:3" x14ac:dyDescent="0.35">
      <c r="A137" s="105">
        <v>42430</v>
      </c>
      <c r="B137" s="17"/>
      <c r="C137" s="25"/>
    </row>
    <row r="138" spans="1:3" x14ac:dyDescent="0.35">
      <c r="A138" s="105">
        <v>42461</v>
      </c>
      <c r="B138" s="17"/>
      <c r="C138" s="25"/>
    </row>
    <row r="139" spans="1:3" x14ac:dyDescent="0.35">
      <c r="A139" s="105">
        <v>42491</v>
      </c>
      <c r="B139" s="17"/>
      <c r="C139" s="25"/>
    </row>
    <row r="140" spans="1:3" x14ac:dyDescent="0.35">
      <c r="A140" s="105">
        <v>42522</v>
      </c>
      <c r="B140" s="17"/>
      <c r="C140" s="25"/>
    </row>
    <row r="141" spans="1:3" x14ac:dyDescent="0.35">
      <c r="A141" s="105">
        <v>42552</v>
      </c>
      <c r="B141" s="17"/>
      <c r="C141" s="25"/>
    </row>
    <row r="142" spans="1:3" x14ac:dyDescent="0.35">
      <c r="A142" s="105">
        <v>42583</v>
      </c>
      <c r="B142" s="17"/>
      <c r="C142" s="25"/>
    </row>
    <row r="143" spans="1:3" x14ac:dyDescent="0.35">
      <c r="A143" s="105">
        <v>42614</v>
      </c>
      <c r="B143" s="17"/>
      <c r="C143" s="25"/>
    </row>
    <row r="144" spans="1:3" x14ac:dyDescent="0.35">
      <c r="A144" s="105">
        <v>42644</v>
      </c>
      <c r="B144" s="17"/>
      <c r="C144" s="25"/>
    </row>
    <row r="145" spans="1:5" x14ac:dyDescent="0.35">
      <c r="A145" s="105">
        <v>42675</v>
      </c>
      <c r="B145" s="17"/>
      <c r="C145" s="25"/>
    </row>
    <row r="146" spans="1:5" x14ac:dyDescent="0.35">
      <c r="A146" s="105">
        <v>42705</v>
      </c>
      <c r="B146" s="17"/>
      <c r="C146" s="25"/>
    </row>
    <row r="147" spans="1:5" x14ac:dyDescent="0.35">
      <c r="A147" s="105">
        <v>42736</v>
      </c>
      <c r="B147" s="17"/>
      <c r="C147" s="25"/>
    </row>
    <row r="148" spans="1:5" x14ac:dyDescent="0.35">
      <c r="A148" s="105">
        <v>42767</v>
      </c>
      <c r="B148" s="17"/>
      <c r="C148" s="25"/>
    </row>
    <row r="149" spans="1:5" x14ac:dyDescent="0.35">
      <c r="A149" s="105">
        <v>42795</v>
      </c>
      <c r="B149" s="17"/>
      <c r="C149" s="25"/>
    </row>
    <row r="150" spans="1:5" x14ac:dyDescent="0.35">
      <c r="A150" s="105">
        <v>42826</v>
      </c>
      <c r="B150" s="17"/>
      <c r="C150" s="25"/>
    </row>
    <row r="151" spans="1:5" x14ac:dyDescent="0.35">
      <c r="A151" s="105">
        <v>42856</v>
      </c>
      <c r="B151" s="17"/>
      <c r="C151" s="25"/>
    </row>
    <row r="152" spans="1:5" x14ac:dyDescent="0.35">
      <c r="A152" s="105">
        <v>42887</v>
      </c>
      <c r="B152" s="17"/>
      <c r="C152" s="25"/>
    </row>
    <row r="153" spans="1:5" x14ac:dyDescent="0.35">
      <c r="A153" s="105">
        <v>42917</v>
      </c>
      <c r="B153" s="17"/>
      <c r="C153" s="25"/>
    </row>
    <row r="154" spans="1:5" x14ac:dyDescent="0.35">
      <c r="A154" s="106">
        <v>42948</v>
      </c>
      <c r="B154" s="91"/>
      <c r="C154" s="113"/>
    </row>
    <row r="155" spans="1:5" x14ac:dyDescent="0.35">
      <c r="A155" s="122">
        <v>46143</v>
      </c>
      <c r="B155" s="91">
        <v>49.8</v>
      </c>
      <c r="C155" s="113"/>
      <c r="E155" t="s">
        <v>324</v>
      </c>
    </row>
    <row r="156" spans="1:5" x14ac:dyDescent="0.35">
      <c r="A156" s="122">
        <v>46174</v>
      </c>
      <c r="B156" s="91">
        <v>47.1</v>
      </c>
      <c r="C156" s="113">
        <v>-2.7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71:I156"/>
  <sheetViews>
    <sheetView topLeftCell="A71" zoomScale="70" zoomScaleNormal="70" workbookViewId="0">
      <pane ySplit="1" topLeftCell="A111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style="13" customWidth="1"/>
    <col min="2" max="2" width="32.36328125" style="14" customWidth="1"/>
    <col min="3" max="3" width="12.36328125" style="13" customWidth="1"/>
    <col min="4" max="4" width="29.08984375" style="5" customWidth="1"/>
  </cols>
  <sheetData>
    <row r="71" spans="1:5" x14ac:dyDescent="0.35">
      <c r="A71" s="13" t="s">
        <v>0</v>
      </c>
      <c r="B71" s="14" t="s">
        <v>68</v>
      </c>
      <c r="C71" s="13" t="s">
        <v>5</v>
      </c>
      <c r="D71" s="5" t="s">
        <v>69</v>
      </c>
      <c r="E71" t="s">
        <v>325</v>
      </c>
    </row>
    <row r="72" spans="1:5" x14ac:dyDescent="0.35">
      <c r="A72" s="15">
        <v>40452</v>
      </c>
      <c r="B72" s="6">
        <v>57.2</v>
      </c>
    </row>
    <row r="73" spans="1:5" x14ac:dyDescent="0.35">
      <c r="A73" s="15">
        <v>40483</v>
      </c>
      <c r="B73" s="6">
        <v>57.3</v>
      </c>
      <c r="C73" s="19">
        <f>B73-B72</f>
        <v>9.9999999999994316E-2</v>
      </c>
    </row>
    <row r="74" spans="1:5" x14ac:dyDescent="0.35">
      <c r="A74" s="15">
        <v>40513</v>
      </c>
      <c r="B74" s="6">
        <v>58.4</v>
      </c>
      <c r="C74" s="19">
        <f t="shared" ref="C74:C114" si="0">B74-B73</f>
        <v>1.1000000000000014</v>
      </c>
      <c r="D74" s="5">
        <v>5.0000000000000001E-3</v>
      </c>
    </row>
    <row r="75" spans="1:5" x14ac:dyDescent="0.35">
      <c r="A75" s="15">
        <v>40544</v>
      </c>
      <c r="B75" s="6">
        <v>60.5</v>
      </c>
      <c r="C75" s="19">
        <f t="shared" si="0"/>
        <v>2.1000000000000014</v>
      </c>
    </row>
    <row r="76" spans="1:5" x14ac:dyDescent="0.35">
      <c r="A76" s="15">
        <v>40575</v>
      </c>
      <c r="B76" s="6">
        <v>59.8</v>
      </c>
      <c r="C76" s="19">
        <f t="shared" si="0"/>
        <v>-0.70000000000000284</v>
      </c>
    </row>
    <row r="77" spans="1:5" x14ac:dyDescent="0.35">
      <c r="A77" s="15">
        <v>40603</v>
      </c>
      <c r="B77" s="6">
        <v>58.6</v>
      </c>
      <c r="C77" s="19">
        <f t="shared" si="0"/>
        <v>-1.1999999999999957</v>
      </c>
      <c r="D77" s="5">
        <v>8.9999999999999993E-3</v>
      </c>
    </row>
    <row r="78" spans="1:5" x14ac:dyDescent="0.35">
      <c r="A78" s="15">
        <v>40634</v>
      </c>
      <c r="B78" s="6">
        <v>59</v>
      </c>
      <c r="C78" s="19">
        <f t="shared" si="0"/>
        <v>0.39999999999999858</v>
      </c>
    </row>
    <row r="79" spans="1:5" x14ac:dyDescent="0.35">
      <c r="A79" s="15">
        <v>40664</v>
      </c>
      <c r="B79" s="6">
        <v>55.9</v>
      </c>
      <c r="C79" s="19">
        <f t="shared" si="0"/>
        <v>-3.1000000000000014</v>
      </c>
    </row>
    <row r="80" spans="1:5" x14ac:dyDescent="0.35">
      <c r="A80" s="15">
        <v>40695</v>
      </c>
      <c r="B80" s="6">
        <v>55.1</v>
      </c>
      <c r="C80" s="19">
        <f t="shared" si="0"/>
        <v>-0.79999999999999716</v>
      </c>
      <c r="D80" s="5">
        <v>1E-3</v>
      </c>
    </row>
    <row r="81" spans="1:9" x14ac:dyDescent="0.35">
      <c r="A81" s="15">
        <v>40725</v>
      </c>
      <c r="B81" s="6">
        <v>53.4</v>
      </c>
      <c r="C81" s="19">
        <f t="shared" si="0"/>
        <v>-1.7000000000000028</v>
      </c>
    </row>
    <row r="82" spans="1:9" x14ac:dyDescent="0.35">
      <c r="A82" s="15">
        <v>40756</v>
      </c>
      <c r="B82" s="6">
        <v>53.4</v>
      </c>
      <c r="C82" s="19">
        <f t="shared" si="0"/>
        <v>0</v>
      </c>
    </row>
    <row r="83" spans="1:9" x14ac:dyDescent="0.35">
      <c r="A83" s="15">
        <v>40787</v>
      </c>
      <c r="B83" s="6">
        <v>52.3</v>
      </c>
      <c r="C83" s="19">
        <f t="shared" si="0"/>
        <v>-1.1000000000000014</v>
      </c>
      <c r="D83" s="5">
        <v>-1E-3</v>
      </c>
    </row>
    <row r="84" spans="1:9" x14ac:dyDescent="0.35">
      <c r="A84" s="15">
        <v>40817</v>
      </c>
      <c r="B84" s="6">
        <v>51.7</v>
      </c>
      <c r="C84" s="19">
        <f t="shared" si="0"/>
        <v>-0.59999999999999432</v>
      </c>
    </row>
    <row r="85" spans="1:9" x14ac:dyDescent="0.35">
      <c r="A85" s="15">
        <v>40848</v>
      </c>
      <c r="B85" s="6">
        <v>48.6</v>
      </c>
      <c r="C85" s="19">
        <f t="shared" si="0"/>
        <v>-3.1000000000000014</v>
      </c>
      <c r="H85" s="64" t="s">
        <v>120</v>
      </c>
      <c r="I85" t="s">
        <v>128</v>
      </c>
    </row>
    <row r="86" spans="1:9" x14ac:dyDescent="0.35">
      <c r="A86" s="15">
        <v>40878</v>
      </c>
      <c r="B86" s="6">
        <v>49.2</v>
      </c>
      <c r="C86" s="19">
        <f t="shared" si="0"/>
        <v>0.60000000000000142</v>
      </c>
      <c r="D86" s="5">
        <v>-1E-3</v>
      </c>
    </row>
    <row r="87" spans="1:9" x14ac:dyDescent="0.35">
      <c r="A87" s="16">
        <v>40909</v>
      </c>
      <c r="B87" s="17">
        <v>48.8</v>
      </c>
      <c r="C87" s="20">
        <f t="shared" si="0"/>
        <v>-0.40000000000000568</v>
      </c>
    </row>
    <row r="88" spans="1:9" x14ac:dyDescent="0.35">
      <c r="A88" s="16">
        <v>40940</v>
      </c>
      <c r="B88" s="17">
        <v>50.5</v>
      </c>
      <c r="C88" s="20">
        <f t="shared" si="0"/>
        <v>1.7000000000000028</v>
      </c>
    </row>
    <row r="89" spans="1:9" x14ac:dyDescent="0.35">
      <c r="A89" s="16">
        <v>40969</v>
      </c>
      <c r="B89" s="17">
        <v>52.1</v>
      </c>
      <c r="C89" s="20">
        <f t="shared" si="0"/>
        <v>1.6000000000000014</v>
      </c>
      <c r="D89" s="5">
        <v>-5.0000000000000001E-3</v>
      </c>
    </row>
    <row r="90" spans="1:9" x14ac:dyDescent="0.35">
      <c r="A90" s="16">
        <v>41000</v>
      </c>
      <c r="B90" s="17">
        <v>49.7</v>
      </c>
      <c r="C90" s="20">
        <f t="shared" si="0"/>
        <v>-2.3999999999999986</v>
      </c>
    </row>
    <row r="91" spans="1:9" x14ac:dyDescent="0.35">
      <c r="A91" s="16">
        <v>41030</v>
      </c>
      <c r="B91" s="17">
        <v>47.6</v>
      </c>
      <c r="C91" s="20">
        <f t="shared" si="0"/>
        <v>-2.1000000000000014</v>
      </c>
    </row>
    <row r="92" spans="1:9" x14ac:dyDescent="0.35">
      <c r="A92" s="16">
        <v>41061</v>
      </c>
      <c r="B92" s="17">
        <v>49.4</v>
      </c>
      <c r="C92" s="20">
        <f t="shared" si="0"/>
        <v>1.7999999999999972</v>
      </c>
      <c r="D92" s="5">
        <v>-5.0000000000000001E-3</v>
      </c>
    </row>
    <row r="93" spans="1:9" x14ac:dyDescent="0.35">
      <c r="A93" s="16">
        <v>41091</v>
      </c>
      <c r="B93" s="17">
        <v>49.5</v>
      </c>
      <c r="C93" s="20">
        <f t="shared" si="0"/>
        <v>0.10000000000000142</v>
      </c>
    </row>
    <row r="94" spans="1:9" x14ac:dyDescent="0.35">
      <c r="A94" s="16">
        <v>41122</v>
      </c>
      <c r="B94" s="17">
        <v>48.7</v>
      </c>
      <c r="C94" s="20">
        <f t="shared" si="0"/>
        <v>-0.79999999999999716</v>
      </c>
    </row>
    <row r="95" spans="1:9" x14ac:dyDescent="0.35">
      <c r="A95" s="16">
        <v>41153</v>
      </c>
      <c r="B95" s="17">
        <v>48</v>
      </c>
      <c r="C95" s="20">
        <f t="shared" si="0"/>
        <v>-0.70000000000000284</v>
      </c>
      <c r="D95" s="5">
        <v>-4.0000000000000001E-3</v>
      </c>
    </row>
    <row r="96" spans="1:9" x14ac:dyDescent="0.35">
      <c r="A96" s="16">
        <v>41183</v>
      </c>
      <c r="B96" s="17">
        <v>47.2</v>
      </c>
      <c r="C96" s="20">
        <f t="shared" si="0"/>
        <v>-0.79999999999999716</v>
      </c>
    </row>
    <row r="97" spans="1:4" x14ac:dyDescent="0.35">
      <c r="A97" s="16">
        <v>41214</v>
      </c>
      <c r="B97" s="17">
        <v>48.2</v>
      </c>
      <c r="C97" s="20">
        <f t="shared" si="0"/>
        <v>1</v>
      </c>
    </row>
    <row r="98" spans="1:4" x14ac:dyDescent="0.35">
      <c r="A98" s="16">
        <v>41244</v>
      </c>
      <c r="B98" s="17">
        <v>46</v>
      </c>
      <c r="C98" s="20">
        <f t="shared" si="0"/>
        <v>-2.2000000000000028</v>
      </c>
      <c r="D98" s="5">
        <v>-2E-3</v>
      </c>
    </row>
    <row r="99" spans="1:4" x14ac:dyDescent="0.35">
      <c r="A99" s="16">
        <v>41275</v>
      </c>
      <c r="B99" s="17">
        <v>48.3</v>
      </c>
      <c r="C99" s="20">
        <f t="shared" si="0"/>
        <v>2.2999999999999972</v>
      </c>
    </row>
    <row r="100" spans="1:4" x14ac:dyDescent="0.35">
      <c r="A100" s="16">
        <v>41306</v>
      </c>
      <c r="B100" s="17">
        <v>49.9</v>
      </c>
      <c r="C100" s="20">
        <f t="shared" si="0"/>
        <v>1.6000000000000014</v>
      </c>
    </row>
    <row r="101" spans="1:4" x14ac:dyDescent="0.35">
      <c r="A101" s="16">
        <v>41334</v>
      </c>
      <c r="B101" s="17">
        <v>49.1</v>
      </c>
      <c r="C101" s="20">
        <f t="shared" si="0"/>
        <v>-0.79999999999999716</v>
      </c>
      <c r="D101" s="5">
        <v>-1.2999999999999999E-2</v>
      </c>
    </row>
    <row r="102" spans="1:4" x14ac:dyDescent="0.35">
      <c r="A102" s="16">
        <v>41365</v>
      </c>
      <c r="B102" s="17">
        <v>49.5</v>
      </c>
      <c r="C102" s="20">
        <f t="shared" si="0"/>
        <v>0.39999999999999858</v>
      </c>
    </row>
    <row r="103" spans="1:4" x14ac:dyDescent="0.35">
      <c r="A103" s="16">
        <v>41395</v>
      </c>
      <c r="B103" s="17">
        <v>50.1</v>
      </c>
      <c r="C103" s="20">
        <f t="shared" si="0"/>
        <v>0.60000000000000142</v>
      </c>
    </row>
    <row r="104" spans="1:4" x14ac:dyDescent="0.35">
      <c r="A104" s="16">
        <v>41426</v>
      </c>
      <c r="B104" s="17">
        <v>51</v>
      </c>
      <c r="C104" s="20">
        <f t="shared" si="0"/>
        <v>0.89999999999999858</v>
      </c>
      <c r="D104" s="5">
        <v>3.0000000000000001E-3</v>
      </c>
    </row>
    <row r="105" spans="1:4" x14ac:dyDescent="0.35">
      <c r="A105" s="16">
        <v>41456</v>
      </c>
      <c r="B105" s="17">
        <v>52</v>
      </c>
      <c r="C105" s="20">
        <f t="shared" si="0"/>
        <v>1</v>
      </c>
    </row>
    <row r="106" spans="1:4" x14ac:dyDescent="0.35">
      <c r="A106" s="16">
        <v>41487</v>
      </c>
      <c r="B106" s="17">
        <v>53.9</v>
      </c>
      <c r="C106" s="20">
        <f t="shared" si="0"/>
        <v>1.8999999999999986</v>
      </c>
    </row>
    <row r="107" spans="1:4" x14ac:dyDescent="0.35">
      <c r="A107" s="16">
        <v>41518</v>
      </c>
      <c r="B107" s="17">
        <v>53.4</v>
      </c>
      <c r="C107" s="20">
        <f t="shared" si="0"/>
        <v>-0.5</v>
      </c>
      <c r="D107" s="5">
        <v>3.0000000000000001E-3</v>
      </c>
    </row>
    <row r="108" spans="1:4" x14ac:dyDescent="0.35">
      <c r="A108" s="16">
        <v>41548</v>
      </c>
      <c r="B108" s="17">
        <v>54.5</v>
      </c>
      <c r="C108" s="20">
        <f t="shared" si="0"/>
        <v>1.1000000000000014</v>
      </c>
    </row>
    <row r="109" spans="1:4" x14ac:dyDescent="0.35">
      <c r="A109" s="16">
        <v>41579</v>
      </c>
      <c r="B109" s="17">
        <v>55.4</v>
      </c>
      <c r="C109" s="20">
        <f t="shared" si="0"/>
        <v>0.89999999999999858</v>
      </c>
    </row>
    <row r="110" spans="1:4" x14ac:dyDescent="0.35">
      <c r="A110" s="16">
        <v>41609</v>
      </c>
      <c r="B110" s="17">
        <v>54.9</v>
      </c>
      <c r="C110" s="20">
        <f t="shared" si="0"/>
        <v>-0.5</v>
      </c>
      <c r="D110" s="5">
        <v>1.7999999999999999E-2</v>
      </c>
    </row>
    <row r="111" spans="1:4" x14ac:dyDescent="0.35">
      <c r="A111" s="16">
        <v>41640</v>
      </c>
      <c r="B111" s="17">
        <v>55.9</v>
      </c>
      <c r="C111" s="20">
        <f t="shared" si="0"/>
        <v>1</v>
      </c>
    </row>
    <row r="112" spans="1:4" x14ac:dyDescent="0.35">
      <c r="A112" s="16">
        <v>41671</v>
      </c>
      <c r="B112" s="17">
        <v>56.5</v>
      </c>
      <c r="C112" s="20">
        <f t="shared" si="0"/>
        <v>0.60000000000000142</v>
      </c>
    </row>
    <row r="113" spans="1:4" x14ac:dyDescent="0.35">
      <c r="A113" s="16">
        <v>41699</v>
      </c>
      <c r="B113" s="17">
        <v>55.5</v>
      </c>
      <c r="C113" s="20">
        <f t="shared" si="0"/>
        <v>-1</v>
      </c>
      <c r="D113" s="5">
        <v>8.0000000000000002E-3</v>
      </c>
    </row>
    <row r="114" spans="1:4" x14ac:dyDescent="0.35">
      <c r="A114" s="16">
        <v>41730</v>
      </c>
      <c r="B114" s="17">
        <v>56.5</v>
      </c>
      <c r="C114" s="20">
        <f t="shared" si="0"/>
        <v>1</v>
      </c>
    </row>
    <row r="115" spans="1:4" x14ac:dyDescent="0.35">
      <c r="A115" s="16">
        <v>41760</v>
      </c>
      <c r="B115" s="17">
        <v>57.3</v>
      </c>
      <c r="C115" s="20">
        <f t="shared" ref="C115:C118" si="1">B115-B114</f>
        <v>0.79999999999999716</v>
      </c>
    </row>
    <row r="116" spans="1:4" x14ac:dyDescent="0.35">
      <c r="A116" s="16">
        <v>41791</v>
      </c>
      <c r="B116" s="17">
        <v>54.7</v>
      </c>
      <c r="C116" s="20">
        <f t="shared" si="1"/>
        <v>-2.5999999999999943</v>
      </c>
      <c r="D116" s="5">
        <v>3.0000000000000001E-3</v>
      </c>
    </row>
    <row r="117" spans="1:4" x14ac:dyDescent="0.35">
      <c r="A117" s="16">
        <v>41821</v>
      </c>
      <c r="B117" s="17">
        <v>56.463888888888903</v>
      </c>
      <c r="C117" s="20">
        <f t="shared" si="1"/>
        <v>1.7638888888888999</v>
      </c>
    </row>
    <row r="118" spans="1:4" x14ac:dyDescent="0.35">
      <c r="A118" s="16">
        <v>41852</v>
      </c>
      <c r="B118" s="17">
        <v>54.3</v>
      </c>
      <c r="C118" s="20">
        <f t="shared" si="1"/>
        <v>-2.1638888888889056</v>
      </c>
    </row>
    <row r="119" spans="1:4" x14ac:dyDescent="0.35">
      <c r="A119" s="16">
        <v>41883</v>
      </c>
      <c r="B119" s="17">
        <v>55.6</v>
      </c>
      <c r="C119" s="20">
        <f>IFERROR(B119-B118,"")</f>
        <v>1.3000000000000043</v>
      </c>
      <c r="D119" s="7">
        <f>IF(VLOOKUP(I85,Data!$O$51:$V$152,7,FALSE)=A118,VLOOKUP(I85,Data!$O$51:$V$152,2,FALSE)/100,#N/A)</f>
        <v>4.0000000000000001E-3</v>
      </c>
    </row>
    <row r="120" spans="1:4" x14ac:dyDescent="0.35">
      <c r="A120" s="16">
        <v>41913</v>
      </c>
      <c r="B120" s="17">
        <v>54.4</v>
      </c>
      <c r="C120" s="20">
        <v>-1.2000000000000028</v>
      </c>
    </row>
    <row r="121" spans="1:4" x14ac:dyDescent="0.35">
      <c r="A121" s="16">
        <v>41944</v>
      </c>
      <c r="B121" s="17">
        <f>IF(A121=Data!$C$1,VLOOKUP($H$85,Data!$A$2:$C$36,3,FALSE),"N/A")</f>
        <v>55.6</v>
      </c>
      <c r="C121" s="20">
        <f t="shared" ref="C121" si="2">B121-B120</f>
        <v>1.2000000000000028</v>
      </c>
    </row>
    <row r="122" spans="1:4" x14ac:dyDescent="0.35">
      <c r="A122" s="105">
        <v>41974</v>
      </c>
      <c r="B122" s="17"/>
      <c r="C122" s="20"/>
    </row>
    <row r="123" spans="1:4" x14ac:dyDescent="0.35">
      <c r="A123" s="105">
        <v>42005</v>
      </c>
      <c r="B123" s="17"/>
      <c r="C123" s="20"/>
    </row>
    <row r="124" spans="1:4" x14ac:dyDescent="0.35">
      <c r="A124" s="105">
        <v>42036</v>
      </c>
      <c r="B124" s="17"/>
      <c r="C124" s="20"/>
    </row>
    <row r="125" spans="1:4" x14ac:dyDescent="0.35">
      <c r="A125" s="105">
        <v>42064</v>
      </c>
      <c r="B125" s="17"/>
      <c r="C125" s="20"/>
    </row>
    <row r="126" spans="1:4" x14ac:dyDescent="0.35">
      <c r="A126" s="105">
        <v>42095</v>
      </c>
      <c r="B126" s="17"/>
      <c r="C126" s="20"/>
    </row>
    <row r="127" spans="1:4" x14ac:dyDescent="0.35">
      <c r="A127" s="105">
        <v>42125</v>
      </c>
      <c r="B127" s="17"/>
      <c r="C127" s="20"/>
    </row>
    <row r="128" spans="1:4" x14ac:dyDescent="0.35">
      <c r="A128" s="105">
        <v>42156</v>
      </c>
      <c r="B128" s="17"/>
      <c r="C128" s="20"/>
    </row>
    <row r="129" spans="1:3" x14ac:dyDescent="0.35">
      <c r="A129" s="105">
        <v>42186</v>
      </c>
      <c r="B129" s="17"/>
      <c r="C129" s="20"/>
    </row>
    <row r="130" spans="1:3" x14ac:dyDescent="0.35">
      <c r="A130" s="105">
        <v>42217</v>
      </c>
      <c r="B130" s="17"/>
      <c r="C130" s="20"/>
    </row>
    <row r="131" spans="1:3" x14ac:dyDescent="0.35">
      <c r="A131" s="105">
        <v>42248</v>
      </c>
      <c r="B131" s="17"/>
      <c r="C131" s="20"/>
    </row>
    <row r="132" spans="1:3" x14ac:dyDescent="0.35">
      <c r="A132" s="105">
        <v>42278</v>
      </c>
      <c r="B132" s="17"/>
      <c r="C132" s="20"/>
    </row>
    <row r="133" spans="1:3" x14ac:dyDescent="0.35">
      <c r="A133" s="105">
        <v>42309</v>
      </c>
      <c r="B133" s="17"/>
      <c r="C133" s="20"/>
    </row>
    <row r="134" spans="1:3" x14ac:dyDescent="0.35">
      <c r="A134" s="105">
        <v>42339</v>
      </c>
      <c r="B134" s="17"/>
      <c r="C134" s="20"/>
    </row>
    <row r="135" spans="1:3" x14ac:dyDescent="0.35">
      <c r="A135" s="105">
        <v>42370</v>
      </c>
      <c r="B135" s="17"/>
      <c r="C135" s="20"/>
    </row>
    <row r="136" spans="1:3" x14ac:dyDescent="0.35">
      <c r="A136" s="105">
        <v>42401</v>
      </c>
      <c r="B136" s="17"/>
      <c r="C136" s="20"/>
    </row>
    <row r="137" spans="1:3" x14ac:dyDescent="0.35">
      <c r="A137" s="105">
        <v>42430</v>
      </c>
      <c r="B137" s="17"/>
      <c r="C137" s="20"/>
    </row>
    <row r="138" spans="1:3" x14ac:dyDescent="0.35">
      <c r="A138" s="105">
        <v>42461</v>
      </c>
      <c r="B138" s="17"/>
      <c r="C138" s="20"/>
    </row>
    <row r="139" spans="1:3" x14ac:dyDescent="0.35">
      <c r="A139" s="105">
        <v>42491</v>
      </c>
      <c r="B139" s="17"/>
      <c r="C139" s="20"/>
    </row>
    <row r="140" spans="1:3" x14ac:dyDescent="0.35">
      <c r="A140" s="105">
        <v>42522</v>
      </c>
      <c r="B140" s="17"/>
      <c r="C140" s="20"/>
    </row>
    <row r="141" spans="1:3" x14ac:dyDescent="0.35">
      <c r="A141" s="105">
        <v>42552</v>
      </c>
      <c r="B141" s="17"/>
      <c r="C141" s="20"/>
    </row>
    <row r="142" spans="1:3" x14ac:dyDescent="0.35">
      <c r="A142" s="105">
        <v>42583</v>
      </c>
      <c r="B142" s="17"/>
      <c r="C142" s="20"/>
    </row>
    <row r="143" spans="1:3" x14ac:dyDescent="0.35">
      <c r="A143" s="105">
        <v>42614</v>
      </c>
      <c r="B143" s="17"/>
      <c r="C143" s="20"/>
    </row>
    <row r="144" spans="1:3" x14ac:dyDescent="0.35">
      <c r="A144" s="105">
        <v>42644</v>
      </c>
      <c r="B144" s="17"/>
      <c r="C144" s="20"/>
    </row>
    <row r="145" spans="1:5" x14ac:dyDescent="0.35">
      <c r="A145" s="105">
        <v>42675</v>
      </c>
      <c r="B145" s="17"/>
      <c r="C145" s="20"/>
    </row>
    <row r="146" spans="1:5" x14ac:dyDescent="0.35">
      <c r="A146" s="105">
        <v>42705</v>
      </c>
      <c r="B146" s="17"/>
      <c r="C146" s="20"/>
    </row>
    <row r="147" spans="1:5" x14ac:dyDescent="0.35">
      <c r="A147" s="105">
        <v>42736</v>
      </c>
      <c r="B147" s="17"/>
      <c r="C147" s="20"/>
    </row>
    <row r="148" spans="1:5" x14ac:dyDescent="0.35">
      <c r="A148" s="105">
        <v>42767</v>
      </c>
      <c r="B148" s="17"/>
      <c r="C148" s="20"/>
    </row>
    <row r="149" spans="1:5" x14ac:dyDescent="0.35">
      <c r="A149" s="105">
        <v>42795</v>
      </c>
      <c r="B149" s="17"/>
      <c r="C149" s="20"/>
    </row>
    <row r="150" spans="1:5" x14ac:dyDescent="0.35">
      <c r="A150" s="105">
        <v>42826</v>
      </c>
      <c r="B150" s="17"/>
      <c r="C150" s="20"/>
    </row>
    <row r="151" spans="1:5" x14ac:dyDescent="0.35">
      <c r="A151" s="105">
        <v>42856</v>
      </c>
      <c r="B151" s="17"/>
      <c r="C151" s="20"/>
    </row>
    <row r="152" spans="1:5" x14ac:dyDescent="0.35">
      <c r="A152" s="105">
        <v>42887</v>
      </c>
      <c r="B152" s="17"/>
      <c r="C152" s="20"/>
    </row>
    <row r="153" spans="1:5" x14ac:dyDescent="0.35">
      <c r="A153" s="105">
        <v>42917</v>
      </c>
      <c r="B153" s="17"/>
      <c r="C153" s="20"/>
    </row>
    <row r="154" spans="1:5" x14ac:dyDescent="0.35">
      <c r="A154" s="106">
        <v>42948</v>
      </c>
      <c r="B154" s="91"/>
      <c r="C154" s="112"/>
    </row>
    <row r="155" spans="1:5" x14ac:dyDescent="0.35">
      <c r="A155" s="122">
        <v>46143</v>
      </c>
      <c r="B155" s="91">
        <v>52.2</v>
      </c>
      <c r="C155" s="112"/>
      <c r="E155" t="s">
        <v>324</v>
      </c>
    </row>
    <row r="156" spans="1:5" x14ac:dyDescent="0.35">
      <c r="A156" s="122">
        <v>46174</v>
      </c>
      <c r="B156" s="91">
        <v>53.9</v>
      </c>
      <c r="C156" s="112">
        <v>1.7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71:N156"/>
  <sheetViews>
    <sheetView topLeftCell="A71" zoomScale="70" zoomScaleNormal="70" workbookViewId="0">
      <pane ySplit="1" topLeftCell="A96" activePane="bottomLeft" state="frozen"/>
      <selection activeCell="D119" sqref="D119"/>
      <selection pane="bottomLeft" activeCell="A122" sqref="A122:A154"/>
    </sheetView>
  </sheetViews>
  <sheetFormatPr defaultRowHeight="14.5" x14ac:dyDescent="0.35"/>
  <cols>
    <col min="1" max="1" width="9.6328125" customWidth="1"/>
    <col min="2" max="2" width="33" style="12" customWidth="1"/>
    <col min="3" max="3" width="12.36328125" customWidth="1"/>
    <col min="4" max="4" width="30" style="5" customWidth="1"/>
  </cols>
  <sheetData>
    <row r="71" spans="1:5" x14ac:dyDescent="0.35">
      <c r="A71" t="s">
        <v>0</v>
      </c>
      <c r="B71" s="12" t="s">
        <v>66</v>
      </c>
      <c r="C71" t="s">
        <v>5</v>
      </c>
      <c r="D71" s="5" t="s">
        <v>67</v>
      </c>
      <c r="E71" t="s">
        <v>325</v>
      </c>
    </row>
    <row r="72" spans="1:5" x14ac:dyDescent="0.35">
      <c r="A72" s="1">
        <v>40452</v>
      </c>
      <c r="B72" s="12">
        <v>55.6</v>
      </c>
    </row>
    <row r="73" spans="1:5" x14ac:dyDescent="0.35">
      <c r="A73" s="1">
        <v>40483</v>
      </c>
      <c r="B73" s="12">
        <v>55.9</v>
      </c>
      <c r="C73" s="2">
        <f>B73-B72</f>
        <v>0.29999999999999716</v>
      </c>
    </row>
    <row r="74" spans="1:5" x14ac:dyDescent="0.35">
      <c r="A74" s="1">
        <v>40513</v>
      </c>
      <c r="B74" s="12">
        <v>56.3</v>
      </c>
      <c r="C74" s="2">
        <f t="shared" ref="C74:C114" si="0">B74-B73</f>
        <v>0.39999999999999858</v>
      </c>
      <c r="D74" s="5">
        <v>8.0000000000000002E-3</v>
      </c>
    </row>
    <row r="75" spans="1:5" x14ac:dyDescent="0.35">
      <c r="A75" s="1">
        <v>40544</v>
      </c>
      <c r="B75" s="12">
        <v>55.6</v>
      </c>
      <c r="C75" s="2">
        <f t="shared" si="0"/>
        <v>-0.69999999999999574</v>
      </c>
    </row>
    <row r="76" spans="1:5" x14ac:dyDescent="0.35">
      <c r="A76" s="1">
        <v>40575</v>
      </c>
      <c r="B76" s="12">
        <v>53.8</v>
      </c>
      <c r="C76" s="2">
        <f t="shared" si="0"/>
        <v>-1.8000000000000043</v>
      </c>
    </row>
    <row r="77" spans="1:5" x14ac:dyDescent="0.35">
      <c r="A77" s="1">
        <v>40603</v>
      </c>
      <c r="B77" s="12">
        <v>54.8</v>
      </c>
      <c r="C77" s="2">
        <f t="shared" si="0"/>
        <v>1</v>
      </c>
      <c r="D77" s="5">
        <v>1.2999999999999999E-2</v>
      </c>
    </row>
    <row r="78" spans="1:5" x14ac:dyDescent="0.35">
      <c r="A78" s="1">
        <v>40634</v>
      </c>
      <c r="B78" s="12">
        <v>54.4</v>
      </c>
      <c r="C78" s="2">
        <f t="shared" si="0"/>
        <v>-0.39999999999999858</v>
      </c>
    </row>
    <row r="79" spans="1:5" x14ac:dyDescent="0.35">
      <c r="A79" s="1">
        <v>40664</v>
      </c>
      <c r="B79" s="12">
        <v>52.6</v>
      </c>
      <c r="C79" s="2">
        <f t="shared" si="0"/>
        <v>-1.7999999999999972</v>
      </c>
    </row>
    <row r="80" spans="1:5" x14ac:dyDescent="0.35">
      <c r="A80" s="1">
        <v>40695</v>
      </c>
      <c r="B80" s="12">
        <v>51.2</v>
      </c>
      <c r="C80" s="2">
        <f t="shared" si="0"/>
        <v>-1.3999999999999986</v>
      </c>
      <c r="D80" s="5">
        <v>1.4E-2</v>
      </c>
    </row>
    <row r="81" spans="1:14" x14ac:dyDescent="0.35">
      <c r="A81" s="1">
        <v>40725</v>
      </c>
      <c r="B81" s="12">
        <v>52.9</v>
      </c>
      <c r="C81" s="2">
        <f t="shared" si="0"/>
        <v>1.6999999999999957</v>
      </c>
      <c r="M81" s="8"/>
      <c r="N81" s="8"/>
    </row>
    <row r="82" spans="1:14" x14ac:dyDescent="0.35">
      <c r="A82" s="1">
        <v>40756</v>
      </c>
      <c r="B82" s="12">
        <v>51.8</v>
      </c>
      <c r="C82" s="2">
        <f t="shared" si="0"/>
        <v>-1.1000000000000014</v>
      </c>
    </row>
    <row r="83" spans="1:14" x14ac:dyDescent="0.35">
      <c r="A83" s="1">
        <v>40787</v>
      </c>
      <c r="B83" s="12">
        <v>50.2</v>
      </c>
      <c r="C83" s="2">
        <f t="shared" si="0"/>
        <v>-1.5999999999999943</v>
      </c>
      <c r="D83" s="5">
        <v>8.0000000000000002E-3</v>
      </c>
    </row>
    <row r="84" spans="1:14" x14ac:dyDescent="0.35">
      <c r="A84" s="1">
        <v>40817</v>
      </c>
      <c r="B84" s="12">
        <v>51.7</v>
      </c>
      <c r="C84" s="2">
        <f t="shared" si="0"/>
        <v>1.5</v>
      </c>
    </row>
    <row r="85" spans="1:14" x14ac:dyDescent="0.35">
      <c r="A85" s="1">
        <v>40848</v>
      </c>
      <c r="B85" s="12">
        <v>49.5</v>
      </c>
      <c r="C85" s="2">
        <f t="shared" si="0"/>
        <v>-2.2000000000000028</v>
      </c>
      <c r="H85" s="64" t="s">
        <v>121</v>
      </c>
      <c r="I85" t="s">
        <v>42</v>
      </c>
    </row>
    <row r="86" spans="1:14" x14ac:dyDescent="0.35">
      <c r="A86" s="1">
        <v>40878</v>
      </c>
      <c r="B86" s="12">
        <v>48.8</v>
      </c>
      <c r="C86" s="2">
        <f t="shared" si="0"/>
        <v>-0.70000000000000284</v>
      </c>
      <c r="D86" s="5">
        <v>0.01</v>
      </c>
    </row>
    <row r="87" spans="1:14" x14ac:dyDescent="0.35">
      <c r="A87" s="9">
        <v>40909</v>
      </c>
      <c r="B87" s="11">
        <v>52.2</v>
      </c>
      <c r="C87" s="10">
        <f t="shared" si="0"/>
        <v>3.4000000000000057</v>
      </c>
    </row>
    <row r="88" spans="1:14" x14ac:dyDescent="0.35">
      <c r="A88" s="9">
        <v>40940</v>
      </c>
      <c r="B88" s="11">
        <v>50</v>
      </c>
      <c r="C88" s="10">
        <f t="shared" si="0"/>
        <v>-2.2000000000000028</v>
      </c>
    </row>
    <row r="89" spans="1:14" x14ac:dyDescent="0.35">
      <c r="A89" s="9">
        <v>40969</v>
      </c>
      <c r="B89" s="11">
        <v>50.1</v>
      </c>
      <c r="C89" s="10">
        <f t="shared" si="0"/>
        <v>0.10000000000000142</v>
      </c>
      <c r="D89" s="5">
        <v>4.0000000000000001E-3</v>
      </c>
    </row>
    <row r="90" spans="1:14" x14ac:dyDescent="0.35">
      <c r="A90" s="9">
        <v>41000</v>
      </c>
      <c r="B90" s="11">
        <v>49.2</v>
      </c>
      <c r="C90" s="10">
        <f t="shared" si="0"/>
        <v>-0.89999999999999858</v>
      </c>
    </row>
    <row r="91" spans="1:14" x14ac:dyDescent="0.35">
      <c r="A91" s="9">
        <v>41030</v>
      </c>
      <c r="B91" s="11">
        <v>48.9</v>
      </c>
      <c r="C91" s="10">
        <f t="shared" si="0"/>
        <v>-0.30000000000000426</v>
      </c>
    </row>
    <row r="92" spans="1:14" x14ac:dyDescent="0.35">
      <c r="A92" s="9">
        <v>41061</v>
      </c>
      <c r="B92" s="11">
        <v>48</v>
      </c>
      <c r="C92" s="10">
        <f t="shared" si="0"/>
        <v>-0.89999999999999858</v>
      </c>
      <c r="D92" s="5">
        <v>0</v>
      </c>
    </row>
    <row r="93" spans="1:14" x14ac:dyDescent="0.35">
      <c r="A93" s="9">
        <v>41091</v>
      </c>
      <c r="B93" s="11">
        <v>49.7</v>
      </c>
      <c r="C93" s="10">
        <f t="shared" si="0"/>
        <v>1.7000000000000028</v>
      </c>
    </row>
    <row r="94" spans="1:14" x14ac:dyDescent="0.35">
      <c r="A94" s="9">
        <v>41122</v>
      </c>
      <c r="B94" s="11">
        <v>48.3</v>
      </c>
      <c r="C94" s="10">
        <f t="shared" si="0"/>
        <v>-1.4000000000000057</v>
      </c>
    </row>
    <row r="95" spans="1:14" x14ac:dyDescent="0.35">
      <c r="A95" s="9">
        <v>41153</v>
      </c>
      <c r="B95" s="11">
        <v>47</v>
      </c>
      <c r="C95" s="10">
        <f t="shared" si="0"/>
        <v>-1.2999999999999972</v>
      </c>
      <c r="D95" s="5">
        <v>2E-3</v>
      </c>
    </row>
    <row r="96" spans="1:14" x14ac:dyDescent="0.35">
      <c r="A96" s="9">
        <v>41183</v>
      </c>
      <c r="B96" s="11">
        <v>47.3</v>
      </c>
      <c r="C96" s="10">
        <f t="shared" si="0"/>
        <v>0.29999999999999716</v>
      </c>
    </row>
    <row r="97" spans="1:4" x14ac:dyDescent="0.35">
      <c r="A97" s="9">
        <v>41214</v>
      </c>
      <c r="B97" s="11">
        <v>48.2</v>
      </c>
      <c r="C97" s="10">
        <f t="shared" si="0"/>
        <v>0.90000000000000568</v>
      </c>
    </row>
    <row r="98" spans="1:4" x14ac:dyDescent="0.35">
      <c r="A98" s="9">
        <v>41244</v>
      </c>
      <c r="B98" s="11">
        <v>48.3</v>
      </c>
      <c r="C98" s="10">
        <f t="shared" si="0"/>
        <v>9.9999999999994316E-2</v>
      </c>
      <c r="D98" s="5">
        <v>2E-3</v>
      </c>
    </row>
    <row r="99" spans="1:4" x14ac:dyDescent="0.35">
      <c r="A99" s="9">
        <v>41275</v>
      </c>
      <c r="B99" s="11">
        <v>48.6</v>
      </c>
      <c r="C99" s="10">
        <f t="shared" si="0"/>
        <v>0.30000000000000426</v>
      </c>
    </row>
    <row r="100" spans="1:4" x14ac:dyDescent="0.35">
      <c r="A100" s="9">
        <v>41306</v>
      </c>
      <c r="B100" s="11">
        <v>48.9</v>
      </c>
      <c r="C100" s="10">
        <f t="shared" si="0"/>
        <v>0.29999999999999716</v>
      </c>
    </row>
    <row r="101" spans="1:4" x14ac:dyDescent="0.35">
      <c r="A101" s="9">
        <v>41334</v>
      </c>
      <c r="B101" s="11">
        <v>48</v>
      </c>
      <c r="C101" s="10">
        <f t="shared" si="0"/>
        <v>-0.89999999999999858</v>
      </c>
      <c r="D101" s="5">
        <v>1E-3</v>
      </c>
    </row>
    <row r="102" spans="1:4" x14ac:dyDescent="0.35">
      <c r="A102" s="9">
        <v>41365</v>
      </c>
      <c r="B102" s="11">
        <v>48</v>
      </c>
      <c r="C102" s="10">
        <f t="shared" si="0"/>
        <v>0</v>
      </c>
    </row>
    <row r="103" spans="1:4" x14ac:dyDescent="0.35">
      <c r="A103" s="9">
        <v>41395</v>
      </c>
      <c r="B103" s="11">
        <v>46.9</v>
      </c>
      <c r="C103" s="10">
        <f t="shared" si="0"/>
        <v>-1.1000000000000014</v>
      </c>
    </row>
    <row r="104" spans="1:4" x14ac:dyDescent="0.35">
      <c r="A104" s="9">
        <v>41426</v>
      </c>
      <c r="B104" s="11">
        <v>48</v>
      </c>
      <c r="C104" s="10">
        <f t="shared" si="0"/>
        <v>1.1000000000000014</v>
      </c>
      <c r="D104" s="5">
        <v>8.0000000000000002E-3</v>
      </c>
    </row>
    <row r="105" spans="1:4" x14ac:dyDescent="0.35">
      <c r="A105" s="9">
        <v>41456</v>
      </c>
      <c r="B105" s="11">
        <v>49.3</v>
      </c>
      <c r="C105" s="10">
        <f t="shared" si="0"/>
        <v>1.2999999999999972</v>
      </c>
    </row>
    <row r="106" spans="1:4" x14ac:dyDescent="0.35">
      <c r="A106" s="9">
        <v>41487</v>
      </c>
      <c r="B106" s="11">
        <v>51.1</v>
      </c>
      <c r="C106" s="10">
        <f t="shared" si="0"/>
        <v>1.8000000000000043</v>
      </c>
    </row>
    <row r="107" spans="1:4" x14ac:dyDescent="0.35">
      <c r="A107" s="9">
        <v>41518</v>
      </c>
      <c r="B107" s="11">
        <v>52.6</v>
      </c>
      <c r="C107" s="10">
        <f t="shared" si="0"/>
        <v>1.5</v>
      </c>
      <c r="D107" s="5">
        <v>8.0000000000000002E-3</v>
      </c>
    </row>
    <row r="108" spans="1:4" x14ac:dyDescent="0.35">
      <c r="A108" s="9">
        <v>41548</v>
      </c>
      <c r="B108" s="11">
        <v>53.4</v>
      </c>
      <c r="C108" s="10">
        <f t="shared" si="0"/>
        <v>0.79999999999999716</v>
      </c>
    </row>
    <row r="109" spans="1:4" x14ac:dyDescent="0.35">
      <c r="A109" s="9">
        <v>41579</v>
      </c>
      <c r="B109" s="11">
        <v>54.4</v>
      </c>
      <c r="C109" s="10">
        <f t="shared" si="0"/>
        <v>1</v>
      </c>
    </row>
    <row r="110" spans="1:4" x14ac:dyDescent="0.35">
      <c r="A110" s="9">
        <v>41609</v>
      </c>
      <c r="B110" s="11">
        <v>53.2</v>
      </c>
      <c r="C110" s="10">
        <f t="shared" si="0"/>
        <v>-1.1999999999999957</v>
      </c>
      <c r="D110" s="5">
        <v>7.0000000000000001E-3</v>
      </c>
    </row>
    <row r="111" spans="1:4" x14ac:dyDescent="0.35">
      <c r="A111" s="9">
        <v>41640</v>
      </c>
      <c r="B111" s="11">
        <v>55.4</v>
      </c>
      <c r="C111" s="10">
        <f t="shared" si="0"/>
        <v>2.1999999999999957</v>
      </c>
    </row>
    <row r="112" spans="1:4" x14ac:dyDescent="0.35">
      <c r="A112" s="9">
        <v>41671</v>
      </c>
      <c r="B112" s="11">
        <v>55.9</v>
      </c>
      <c r="C112" s="10">
        <f t="shared" si="0"/>
        <v>0.5</v>
      </c>
    </row>
    <row r="113" spans="1:4" x14ac:dyDescent="0.35">
      <c r="A113" s="9">
        <v>41699</v>
      </c>
      <c r="B113" s="11">
        <v>54</v>
      </c>
      <c r="C113" s="10">
        <f t="shared" si="0"/>
        <v>-1.8999999999999986</v>
      </c>
      <c r="D113" s="5">
        <v>1.0999999999999999E-2</v>
      </c>
    </row>
    <row r="114" spans="1:4" x14ac:dyDescent="0.35">
      <c r="A114" s="9">
        <v>41730</v>
      </c>
      <c r="B114" s="11">
        <v>51.1</v>
      </c>
      <c r="C114" s="10">
        <f t="shared" si="0"/>
        <v>-2.8999999999999986</v>
      </c>
    </row>
    <row r="115" spans="1:4" x14ac:dyDescent="0.35">
      <c r="A115" s="9">
        <v>41760</v>
      </c>
      <c r="B115" s="11">
        <v>50.8</v>
      </c>
      <c r="C115" s="10">
        <f t="shared" ref="C115:C117" si="1">B115-B114</f>
        <v>-0.30000000000000426</v>
      </c>
    </row>
    <row r="116" spans="1:4" x14ac:dyDescent="0.35">
      <c r="A116" s="9">
        <v>41791</v>
      </c>
      <c r="B116" s="11">
        <v>50.3</v>
      </c>
      <c r="C116" s="10">
        <f t="shared" si="1"/>
        <v>-0.5</v>
      </c>
      <c r="D116" s="5">
        <v>6.0000000000000001E-3</v>
      </c>
    </row>
    <row r="117" spans="1:4" x14ac:dyDescent="0.35">
      <c r="A117" s="9">
        <v>41821</v>
      </c>
      <c r="B117" s="11">
        <v>49.4</v>
      </c>
      <c r="C117" s="10">
        <f t="shared" si="1"/>
        <v>-0.89999999999999858</v>
      </c>
    </row>
    <row r="118" spans="1:4" x14ac:dyDescent="0.35">
      <c r="A118" s="9">
        <v>41852</v>
      </c>
      <c r="B118" s="11">
        <v>49</v>
      </c>
      <c r="C118" s="10">
        <f t="shared" ref="C118" si="2">B118-B117</f>
        <v>-0.39999999999999858</v>
      </c>
    </row>
    <row r="119" spans="1:4" x14ac:dyDescent="0.35">
      <c r="A119" s="9">
        <v>41883</v>
      </c>
      <c r="B119" s="11">
        <v>49.5</v>
      </c>
      <c r="C119" s="10">
        <f>IFERROR(B119-B118,"")</f>
        <v>0.5</v>
      </c>
      <c r="D119" s="7">
        <f>IF(VLOOKUP(I85,Data!$O$51:$V$152,7,FALSE)=A118,VLOOKUP(I85,Data!$O$51:$V$152,2,FALSE)/100,#N/A)</f>
        <v>9.0000000000000011E-3</v>
      </c>
    </row>
    <row r="120" spans="1:4" x14ac:dyDescent="0.35">
      <c r="A120" s="9">
        <v>41913</v>
      </c>
      <c r="B120" s="11">
        <v>51.2</v>
      </c>
      <c r="C120" s="10">
        <v>1.7000000000000028</v>
      </c>
    </row>
    <row r="121" spans="1:4" x14ac:dyDescent="0.35">
      <c r="A121" s="9">
        <v>41944</v>
      </c>
      <c r="B121" s="11">
        <f>IF(A121=Data!$C$1,VLOOKUP($H$85,Data!$A$2:$C$36,3,FALSE),"N/A")</f>
        <v>53.2</v>
      </c>
      <c r="C121" s="10">
        <f t="shared" ref="C121" si="3">B121-B120</f>
        <v>2</v>
      </c>
    </row>
    <row r="122" spans="1:4" x14ac:dyDescent="0.35">
      <c r="A122" s="114">
        <v>41974</v>
      </c>
      <c r="B122" s="11"/>
      <c r="C122" s="10"/>
    </row>
    <row r="123" spans="1:4" x14ac:dyDescent="0.35">
      <c r="A123" s="114">
        <v>42005</v>
      </c>
      <c r="B123" s="11"/>
      <c r="C123" s="10"/>
    </row>
    <row r="124" spans="1:4" x14ac:dyDescent="0.35">
      <c r="A124" s="114">
        <v>42036</v>
      </c>
      <c r="B124" s="11"/>
      <c r="C124" s="10"/>
    </row>
    <row r="125" spans="1:4" x14ac:dyDescent="0.35">
      <c r="A125" s="114">
        <v>42064</v>
      </c>
      <c r="B125" s="11"/>
      <c r="C125" s="10"/>
    </row>
    <row r="126" spans="1:4" x14ac:dyDescent="0.35">
      <c r="A126" s="114">
        <v>42095</v>
      </c>
      <c r="B126" s="11"/>
      <c r="C126" s="10"/>
    </row>
    <row r="127" spans="1:4" x14ac:dyDescent="0.35">
      <c r="A127" s="114">
        <v>42125</v>
      </c>
      <c r="B127" s="11"/>
      <c r="C127" s="10"/>
    </row>
    <row r="128" spans="1:4" x14ac:dyDescent="0.35">
      <c r="A128" s="114">
        <v>42156</v>
      </c>
      <c r="B128" s="11"/>
      <c r="C128" s="10"/>
    </row>
    <row r="129" spans="1:3" x14ac:dyDescent="0.35">
      <c r="A129" s="114">
        <v>42186</v>
      </c>
      <c r="B129" s="11"/>
      <c r="C129" s="10"/>
    </row>
    <row r="130" spans="1:3" x14ac:dyDescent="0.35">
      <c r="A130" s="114">
        <v>42217</v>
      </c>
      <c r="B130" s="11"/>
      <c r="C130" s="10"/>
    </row>
    <row r="131" spans="1:3" x14ac:dyDescent="0.35">
      <c r="A131" s="114">
        <v>42248</v>
      </c>
      <c r="B131" s="11"/>
      <c r="C131" s="10"/>
    </row>
    <row r="132" spans="1:3" x14ac:dyDescent="0.35">
      <c r="A132" s="114">
        <v>42278</v>
      </c>
      <c r="B132" s="11"/>
      <c r="C132" s="10"/>
    </row>
    <row r="133" spans="1:3" x14ac:dyDescent="0.35">
      <c r="A133" s="114">
        <v>42309</v>
      </c>
      <c r="B133" s="11"/>
      <c r="C133" s="10"/>
    </row>
    <row r="134" spans="1:3" x14ac:dyDescent="0.35">
      <c r="A134" s="114">
        <v>42339</v>
      </c>
      <c r="B134" s="11"/>
      <c r="C134" s="10"/>
    </row>
    <row r="135" spans="1:3" x14ac:dyDescent="0.35">
      <c r="A135" s="114">
        <v>42370</v>
      </c>
      <c r="B135" s="11"/>
      <c r="C135" s="10"/>
    </row>
    <row r="136" spans="1:3" x14ac:dyDescent="0.35">
      <c r="A136" s="114">
        <v>42401</v>
      </c>
      <c r="B136" s="11"/>
      <c r="C136" s="10"/>
    </row>
    <row r="137" spans="1:3" x14ac:dyDescent="0.35">
      <c r="A137" s="114">
        <v>42430</v>
      </c>
      <c r="B137" s="11"/>
      <c r="C137" s="10"/>
    </row>
    <row r="138" spans="1:3" x14ac:dyDescent="0.35">
      <c r="A138" s="114">
        <v>42461</v>
      </c>
      <c r="B138" s="11"/>
      <c r="C138" s="10"/>
    </row>
    <row r="139" spans="1:3" x14ac:dyDescent="0.35">
      <c r="A139" s="114">
        <v>42491</v>
      </c>
      <c r="B139" s="11"/>
      <c r="C139" s="10"/>
    </row>
    <row r="140" spans="1:3" x14ac:dyDescent="0.35">
      <c r="A140" s="114">
        <v>42522</v>
      </c>
      <c r="B140" s="11"/>
      <c r="C140" s="10"/>
    </row>
    <row r="141" spans="1:3" x14ac:dyDescent="0.35">
      <c r="A141" s="114">
        <v>42552</v>
      </c>
      <c r="B141" s="11"/>
      <c r="C141" s="10"/>
    </row>
    <row r="142" spans="1:3" x14ac:dyDescent="0.35">
      <c r="A142" s="114">
        <v>42583</v>
      </c>
      <c r="B142" s="11"/>
      <c r="C142" s="10"/>
    </row>
    <row r="143" spans="1:3" x14ac:dyDescent="0.35">
      <c r="A143" s="114">
        <v>42614</v>
      </c>
      <c r="B143" s="11"/>
      <c r="C143" s="10"/>
    </row>
    <row r="144" spans="1:3" x14ac:dyDescent="0.35">
      <c r="A144" s="114">
        <v>42644</v>
      </c>
      <c r="B144" s="11"/>
      <c r="C144" s="10"/>
    </row>
    <row r="145" spans="1:5" x14ac:dyDescent="0.35">
      <c r="A145" s="114">
        <v>42675</v>
      </c>
      <c r="B145" s="11"/>
      <c r="C145" s="10"/>
    </row>
    <row r="146" spans="1:5" x14ac:dyDescent="0.35">
      <c r="A146" s="114">
        <v>42705</v>
      </c>
      <c r="B146" s="11"/>
      <c r="C146" s="10"/>
    </row>
    <row r="147" spans="1:5" x14ac:dyDescent="0.35">
      <c r="A147" s="114">
        <v>42736</v>
      </c>
      <c r="B147" s="11"/>
      <c r="C147" s="10"/>
    </row>
    <row r="148" spans="1:5" x14ac:dyDescent="0.35">
      <c r="A148" s="114">
        <v>42767</v>
      </c>
      <c r="B148" s="11"/>
      <c r="C148" s="10"/>
    </row>
    <row r="149" spans="1:5" x14ac:dyDescent="0.35">
      <c r="A149" s="114">
        <v>42795</v>
      </c>
      <c r="B149" s="11"/>
      <c r="C149" s="10"/>
    </row>
    <row r="150" spans="1:5" x14ac:dyDescent="0.35">
      <c r="A150" s="114">
        <v>42826</v>
      </c>
      <c r="B150" s="11"/>
      <c r="C150" s="10"/>
    </row>
    <row r="151" spans="1:5" x14ac:dyDescent="0.35">
      <c r="A151" s="114">
        <v>42856</v>
      </c>
      <c r="B151" s="11"/>
      <c r="C151" s="10"/>
    </row>
    <row r="152" spans="1:5" x14ac:dyDescent="0.35">
      <c r="A152" s="114">
        <v>42887</v>
      </c>
      <c r="B152" s="11"/>
      <c r="C152" s="10"/>
    </row>
    <row r="153" spans="1:5" x14ac:dyDescent="0.35">
      <c r="A153" s="114">
        <v>42917</v>
      </c>
      <c r="B153" s="11"/>
      <c r="C153" s="10"/>
    </row>
    <row r="154" spans="1:5" x14ac:dyDescent="0.35">
      <c r="A154" s="115">
        <v>42948</v>
      </c>
      <c r="B154" s="116"/>
      <c r="C154" s="117"/>
    </row>
    <row r="155" spans="1:5" x14ac:dyDescent="0.35">
      <c r="A155" s="125">
        <v>46143</v>
      </c>
      <c r="B155" s="116">
        <v>49.4</v>
      </c>
      <c r="C155" s="117"/>
      <c r="E155" t="s">
        <v>324</v>
      </c>
    </row>
    <row r="156" spans="1:5" x14ac:dyDescent="0.35">
      <c r="A156" s="125">
        <v>46174</v>
      </c>
      <c r="B156" s="116">
        <v>46.1</v>
      </c>
      <c r="C156" s="117">
        <v>-3.3</v>
      </c>
    </row>
  </sheetData>
  <conditionalFormatting sqref="B72:B15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:C12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Y59"/>
  <sheetViews>
    <sheetView topLeftCell="A10" zoomScaleNormal="100" workbookViewId="0">
      <selection activeCell="F26" sqref="F26"/>
    </sheetView>
  </sheetViews>
  <sheetFormatPr defaultRowHeight="14.5" x14ac:dyDescent="0.35"/>
  <cols>
    <col min="1" max="1" width="8.54296875" customWidth="1"/>
    <col min="2" max="6" width="5.54296875" customWidth="1"/>
    <col min="7" max="7" width="7.54296875" bestFit="1" customWidth="1"/>
    <col min="8" max="15" width="5.54296875" customWidth="1"/>
    <col min="16" max="16" width="6.08984375" bestFit="1" customWidth="1"/>
    <col min="17" max="17" width="7.36328125" bestFit="1" customWidth="1"/>
    <col min="18" max="18" width="7.6328125" bestFit="1" customWidth="1"/>
    <col min="19" max="19" width="6.90625" bestFit="1" customWidth="1"/>
    <col min="20" max="20" width="6.08984375" bestFit="1" customWidth="1"/>
    <col min="21" max="21" width="6" bestFit="1" customWidth="1"/>
    <col min="22" max="22" width="5.90625" bestFit="1" customWidth="1"/>
    <col min="23" max="25" width="5.54296875" customWidth="1"/>
  </cols>
  <sheetData>
    <row r="2" spans="1:25" x14ac:dyDescent="0.35">
      <c r="A2" s="67"/>
      <c r="B2" s="48" t="s">
        <v>15</v>
      </c>
      <c r="C2" s="48" t="s">
        <v>16</v>
      </c>
      <c r="D2" s="48" t="s">
        <v>18</v>
      </c>
      <c r="E2" s="48" t="s">
        <v>19</v>
      </c>
      <c r="F2" s="48" t="s">
        <v>21</v>
      </c>
      <c r="G2" s="48" t="s">
        <v>22</v>
      </c>
      <c r="H2" s="48" t="s">
        <v>23</v>
      </c>
      <c r="I2" s="48" t="s">
        <v>17</v>
      </c>
      <c r="J2" s="48" t="s">
        <v>25</v>
      </c>
      <c r="K2" s="48" t="s">
        <v>26</v>
      </c>
      <c r="L2" s="48" t="s">
        <v>24</v>
      </c>
      <c r="M2" s="48" t="s">
        <v>29</v>
      </c>
      <c r="N2" s="48" t="s">
        <v>27</v>
      </c>
      <c r="O2" s="48" t="s">
        <v>44</v>
      </c>
      <c r="P2" s="48" t="s">
        <v>35</v>
      </c>
      <c r="Q2" s="48" t="s">
        <v>28</v>
      </c>
      <c r="R2" s="49" t="s">
        <v>32</v>
      </c>
      <c r="S2" s="48" t="s">
        <v>33</v>
      </c>
      <c r="T2" s="48" t="s">
        <v>34</v>
      </c>
      <c r="U2" s="48" t="s">
        <v>30</v>
      </c>
      <c r="V2" s="48" t="s">
        <v>31</v>
      </c>
      <c r="W2" s="48" t="s">
        <v>41</v>
      </c>
      <c r="X2" s="48" t="s">
        <v>96</v>
      </c>
      <c r="Y2" s="48" t="s">
        <v>42</v>
      </c>
    </row>
    <row r="3" spans="1:25" x14ac:dyDescent="0.35">
      <c r="A3" s="68">
        <v>41244</v>
      </c>
      <c r="B3" s="69">
        <f>Global!B98</f>
        <v>50</v>
      </c>
      <c r="C3" s="69">
        <f>US!B98</f>
        <v>54</v>
      </c>
      <c r="D3" s="69">
        <f>CH!B98</f>
        <v>51.5</v>
      </c>
      <c r="E3" s="69">
        <f>EZ!B98</f>
        <v>46.1</v>
      </c>
      <c r="F3" s="69">
        <f>JP!B98</f>
        <v>45</v>
      </c>
      <c r="G3" s="69">
        <f>DE!B98</f>
        <v>46</v>
      </c>
      <c r="H3" s="69">
        <f>FR!B98</f>
        <v>44.6</v>
      </c>
      <c r="I3" s="69">
        <f>UK!B98</f>
        <v>50.7</v>
      </c>
      <c r="J3" s="69">
        <f>IT!B98</f>
        <v>46.7</v>
      </c>
      <c r="K3" s="69">
        <f>ES!B98</f>
        <v>44.6</v>
      </c>
      <c r="L3" s="69">
        <f>BRL!B98</f>
        <v>51.1</v>
      </c>
      <c r="M3" s="69">
        <f>MX!B98</f>
        <v>57.1</v>
      </c>
      <c r="N3" s="69">
        <f>RS!B98</f>
        <v>50</v>
      </c>
      <c r="O3" s="69">
        <f>IND!B98</f>
        <v>54.7</v>
      </c>
      <c r="P3" s="69">
        <f>CA!B98</f>
        <v>50.4</v>
      </c>
      <c r="Q3" s="69">
        <f>AU!B98</f>
        <v>44.3</v>
      </c>
      <c r="R3" s="69">
        <f>INS!B98</f>
        <v>51.5</v>
      </c>
      <c r="S3" s="69">
        <f>SK!B98</f>
        <v>50.1</v>
      </c>
      <c r="T3" s="69">
        <f>TW!B98</f>
        <v>47.4</v>
      </c>
      <c r="U3" s="69">
        <f>EL!B98</f>
        <v>41.4</v>
      </c>
      <c r="V3" s="69">
        <f>IR!B98</f>
        <v>51.4</v>
      </c>
      <c r="W3" s="69">
        <f>TUR!B98</f>
        <v>53.1</v>
      </c>
      <c r="X3" s="69">
        <f>CZ!B98</f>
        <v>46</v>
      </c>
      <c r="Y3" s="69">
        <f>PL!B98</f>
        <v>48.3</v>
      </c>
    </row>
    <row r="4" spans="1:25" x14ac:dyDescent="0.35">
      <c r="A4" s="68">
        <v>41275</v>
      </c>
      <c r="B4" s="69">
        <f>Global!B99</f>
        <v>51.5</v>
      </c>
      <c r="C4" s="69">
        <f>US!B99</f>
        <v>55.8</v>
      </c>
      <c r="D4" s="69">
        <f>CH!B99</f>
        <v>52.3</v>
      </c>
      <c r="E4" s="69">
        <f>EZ!B99</f>
        <v>47.9</v>
      </c>
      <c r="F4" s="69">
        <f>JP!B99</f>
        <v>47.7</v>
      </c>
      <c r="G4" s="69">
        <f>DE!B99</f>
        <v>49.8</v>
      </c>
      <c r="H4" s="69">
        <f>FR!B99</f>
        <v>42.9</v>
      </c>
      <c r="I4" s="69">
        <f>UK!B99</f>
        <v>50.9</v>
      </c>
      <c r="J4" s="69">
        <f>IT!B99</f>
        <v>47.8</v>
      </c>
      <c r="K4" s="69">
        <f>ES!B99</f>
        <v>46.1</v>
      </c>
      <c r="L4" s="69">
        <f>BRL!B99</f>
        <v>53.2</v>
      </c>
      <c r="M4" s="69">
        <f>MX!B99</f>
        <v>55</v>
      </c>
      <c r="N4" s="69">
        <f>RS!B99</f>
        <v>52</v>
      </c>
      <c r="O4" s="69">
        <f>IND!B99</f>
        <v>53.2</v>
      </c>
      <c r="P4" s="69">
        <f>CA!B99</f>
        <v>50.5</v>
      </c>
      <c r="Q4" s="69">
        <f>AU!B99</f>
        <v>40.200000000000003</v>
      </c>
      <c r="R4" s="69">
        <f>INS!B99</f>
        <v>49.7</v>
      </c>
      <c r="S4" s="69">
        <f>SK!B99</f>
        <v>49.9</v>
      </c>
      <c r="T4" s="69">
        <f>TW!B99</f>
        <v>51.5</v>
      </c>
      <c r="U4" s="69">
        <f>EL!B99</f>
        <v>41.7</v>
      </c>
      <c r="V4" s="69">
        <f>IR!B99</f>
        <v>50.3</v>
      </c>
      <c r="W4" s="69">
        <f>TUR!B99</f>
        <v>54</v>
      </c>
      <c r="X4" s="69">
        <f>CZ!B99</f>
        <v>48.3</v>
      </c>
      <c r="Y4" s="69">
        <f>PL!B99</f>
        <v>48.6</v>
      </c>
    </row>
    <row r="5" spans="1:25" x14ac:dyDescent="0.35">
      <c r="A5" s="68">
        <v>41306</v>
      </c>
      <c r="B5" s="69">
        <f>Global!B100</f>
        <v>50.9</v>
      </c>
      <c r="C5" s="69">
        <f>US!B100</f>
        <v>54.3</v>
      </c>
      <c r="D5" s="69">
        <f>CH!B100</f>
        <v>50.4</v>
      </c>
      <c r="E5" s="69">
        <f>EZ!B100</f>
        <v>47.9</v>
      </c>
      <c r="F5" s="69">
        <f>JP!B100</f>
        <v>48.5</v>
      </c>
      <c r="G5" s="69">
        <f>DE!B100</f>
        <v>50.3</v>
      </c>
      <c r="H5" s="69">
        <f>FR!B100</f>
        <v>43.9</v>
      </c>
      <c r="I5" s="69">
        <f>UK!B100</f>
        <v>48.2</v>
      </c>
      <c r="J5" s="69">
        <f>IT!B100</f>
        <v>45.8</v>
      </c>
      <c r="K5" s="69">
        <f>ES!B100</f>
        <v>46.8</v>
      </c>
      <c r="L5" s="69">
        <f>BRL!B100</f>
        <v>52.5</v>
      </c>
      <c r="M5" s="69">
        <f>MX!B100</f>
        <v>53.4</v>
      </c>
      <c r="N5" s="69">
        <f>RS!B100</f>
        <v>52</v>
      </c>
      <c r="O5" s="69">
        <f>IND!B100</f>
        <v>54.2</v>
      </c>
      <c r="P5" s="69">
        <f>CA!B100</f>
        <v>51.7</v>
      </c>
      <c r="Q5" s="69">
        <f>AU!B100</f>
        <v>45.6</v>
      </c>
      <c r="R5" s="69">
        <f>INS!B100</f>
        <v>50.5</v>
      </c>
      <c r="S5" s="69">
        <f>SK!B100</f>
        <v>50.9</v>
      </c>
      <c r="T5" s="69">
        <f>TW!B100</f>
        <v>51.5</v>
      </c>
      <c r="U5" s="69">
        <f>EL!B100</f>
        <v>43</v>
      </c>
      <c r="V5" s="69">
        <f>IR!B100</f>
        <v>51.5</v>
      </c>
      <c r="W5" s="69">
        <f>TUR!B100</f>
        <v>53.5</v>
      </c>
      <c r="X5" s="69">
        <f>CZ!B100</f>
        <v>49.9</v>
      </c>
      <c r="Y5" s="69">
        <f>PL!B100</f>
        <v>48.9</v>
      </c>
    </row>
    <row r="6" spans="1:25" x14ac:dyDescent="0.35">
      <c r="A6" s="68">
        <v>41334</v>
      </c>
      <c r="B6" s="69">
        <f>Global!B101</f>
        <v>51.2</v>
      </c>
      <c r="C6" s="69">
        <f>US!B101</f>
        <v>54.6</v>
      </c>
      <c r="D6" s="69">
        <f>CH!B101</f>
        <v>51.6</v>
      </c>
      <c r="E6" s="69">
        <f>EZ!B101</f>
        <v>46.8</v>
      </c>
      <c r="F6" s="69">
        <f>JP!B101</f>
        <v>50.4</v>
      </c>
      <c r="G6" s="69">
        <f>DE!B101</f>
        <v>49</v>
      </c>
      <c r="H6" s="69">
        <f>FR!B101</f>
        <v>44</v>
      </c>
      <c r="I6" s="69">
        <f>UK!B101</f>
        <v>49.3</v>
      </c>
      <c r="J6" s="69">
        <f>IT!B101</f>
        <v>44.5</v>
      </c>
      <c r="K6" s="69">
        <f>ES!B101</f>
        <v>44.2</v>
      </c>
      <c r="L6" s="69">
        <f>BRL!B101</f>
        <v>51.8</v>
      </c>
      <c r="M6" s="69">
        <f>MX!B101</f>
        <v>52.2</v>
      </c>
      <c r="N6" s="69">
        <f>RS!B101</f>
        <v>50.8</v>
      </c>
      <c r="O6" s="69">
        <f>IND!B101</f>
        <v>52</v>
      </c>
      <c r="P6" s="69">
        <f>CA!B101</f>
        <v>49.3</v>
      </c>
      <c r="Q6" s="69">
        <f>AU!B101</f>
        <v>44.4</v>
      </c>
      <c r="R6" s="69">
        <f>INS!B101</f>
        <v>51.3</v>
      </c>
      <c r="S6" s="69">
        <f>SK!B101</f>
        <v>52</v>
      </c>
      <c r="T6" s="69">
        <f>TW!B101</f>
        <v>50.2</v>
      </c>
      <c r="U6" s="69">
        <f>EL!B101</f>
        <v>42.1</v>
      </c>
      <c r="V6" s="69">
        <f>IR!B101</f>
        <v>48.6</v>
      </c>
      <c r="W6" s="69">
        <f>TUR!B101</f>
        <v>52.3</v>
      </c>
      <c r="X6" s="69">
        <f>CZ!B101</f>
        <v>49.1</v>
      </c>
      <c r="Y6" s="69">
        <f>PL!B101</f>
        <v>48</v>
      </c>
    </row>
    <row r="7" spans="1:25" x14ac:dyDescent="0.35">
      <c r="A7" s="68">
        <v>41365</v>
      </c>
      <c r="B7" s="69">
        <f>Global!B102</f>
        <v>50.4</v>
      </c>
      <c r="C7" s="69">
        <f>US!B102</f>
        <v>52.1</v>
      </c>
      <c r="D7" s="69">
        <f>CH!B102</f>
        <v>50.4</v>
      </c>
      <c r="E7" s="69">
        <f>EZ!B102</f>
        <v>46.7</v>
      </c>
      <c r="F7" s="69">
        <f>JP!B102</f>
        <v>51.1</v>
      </c>
      <c r="G7" s="69">
        <f>DE!B102</f>
        <v>48.1</v>
      </c>
      <c r="H7" s="69">
        <f>FR!B102</f>
        <v>44.4</v>
      </c>
      <c r="I7" s="69">
        <f>UK!B102</f>
        <v>50.6</v>
      </c>
      <c r="J7" s="69">
        <f>IT!B102</f>
        <v>45.5</v>
      </c>
      <c r="K7" s="69">
        <f>ES!B102</f>
        <v>44.7</v>
      </c>
      <c r="L7" s="69">
        <f>BRL!B102</f>
        <v>50.8</v>
      </c>
      <c r="M7" s="69">
        <f>MX!B102</f>
        <v>51.7</v>
      </c>
      <c r="N7" s="69">
        <f>RS!B102</f>
        <v>50.6</v>
      </c>
      <c r="O7" s="69">
        <f>IND!B102</f>
        <v>51</v>
      </c>
      <c r="P7" s="69">
        <f>CA!B102</f>
        <v>50.1</v>
      </c>
      <c r="Q7" s="69">
        <f>AU!B102</f>
        <v>36.700000000000003</v>
      </c>
      <c r="R7" s="69">
        <f>INS!B102</f>
        <v>51.7</v>
      </c>
      <c r="S7" s="69">
        <f>SK!B102</f>
        <v>52.6</v>
      </c>
      <c r="T7" s="69">
        <f>TW!B102</f>
        <v>51.2</v>
      </c>
      <c r="U7" s="69">
        <f>EL!B102</f>
        <v>45</v>
      </c>
      <c r="V7" s="69">
        <f>IR!B102</f>
        <v>48</v>
      </c>
      <c r="W7" s="69">
        <f>TUR!B102</f>
        <v>51.3</v>
      </c>
      <c r="X7" s="69">
        <f>CZ!B102</f>
        <v>49.5</v>
      </c>
      <c r="Y7" s="69">
        <f>PL!B102</f>
        <v>48</v>
      </c>
    </row>
    <row r="8" spans="1:25" x14ac:dyDescent="0.35">
      <c r="A8" s="68">
        <v>41395</v>
      </c>
      <c r="B8" s="69">
        <f>Global!B103</f>
        <v>50.6</v>
      </c>
      <c r="C8" s="69">
        <f>US!B103</f>
        <v>52.3</v>
      </c>
      <c r="D8" s="69">
        <f>CH!B103</f>
        <v>49.2</v>
      </c>
      <c r="E8" s="69">
        <f>EZ!B103</f>
        <v>48.3</v>
      </c>
      <c r="F8" s="69">
        <f>JP!B103</f>
        <v>51.5</v>
      </c>
      <c r="G8" s="69">
        <f>DE!B103</f>
        <v>49.4</v>
      </c>
      <c r="H8" s="69">
        <f>FR!B103</f>
        <v>46.4</v>
      </c>
      <c r="I8" s="69">
        <f>UK!B103</f>
        <v>52.1</v>
      </c>
      <c r="J8" s="69">
        <f>IT!B103</f>
        <v>47.3</v>
      </c>
      <c r="K8" s="69">
        <f>ES!B103</f>
        <v>48.1</v>
      </c>
      <c r="L8" s="69">
        <f>BRL!B103</f>
        <v>50.4</v>
      </c>
      <c r="M8" s="69">
        <f>MX!B103</f>
        <v>51.8</v>
      </c>
      <c r="N8" s="69">
        <f>RS!B103</f>
        <v>50.4</v>
      </c>
      <c r="O8" s="69">
        <f>IND!B103</f>
        <v>50.1</v>
      </c>
      <c r="P8" s="69">
        <f>CA!B103</f>
        <v>53.2</v>
      </c>
      <c r="Q8" s="69">
        <f>AU!B103</f>
        <v>43.8</v>
      </c>
      <c r="R8" s="69">
        <f>INS!B103</f>
        <v>51.6</v>
      </c>
      <c r="S8" s="69">
        <f>SK!B103</f>
        <v>51.1</v>
      </c>
      <c r="T8" s="69">
        <f>TW!B103</f>
        <v>50.7</v>
      </c>
      <c r="U8" s="69">
        <f>EL!B103</f>
        <v>45.3</v>
      </c>
      <c r="V8" s="69">
        <f>IR!B103</f>
        <v>49.7</v>
      </c>
      <c r="W8" s="69">
        <f>TUR!B103</f>
        <v>51.1</v>
      </c>
      <c r="X8" s="69">
        <f>CZ!B103</f>
        <v>50.1</v>
      </c>
      <c r="Y8" s="69">
        <f>PL!B103</f>
        <v>46.9</v>
      </c>
    </row>
    <row r="9" spans="1:25" x14ac:dyDescent="0.35">
      <c r="A9" s="68">
        <v>41426</v>
      </c>
      <c r="B9" s="69">
        <f>Global!B104</f>
        <v>50.6</v>
      </c>
      <c r="C9" s="69">
        <f>US!B104</f>
        <v>51.9</v>
      </c>
      <c r="D9" s="69">
        <f>CH!B104</f>
        <v>48.2</v>
      </c>
      <c r="E9" s="69">
        <f>EZ!B104</f>
        <v>48.8</v>
      </c>
      <c r="F9" s="69">
        <f>JP!B104</f>
        <v>52.3</v>
      </c>
      <c r="G9" s="69">
        <f>DE!B104</f>
        <v>48.6</v>
      </c>
      <c r="H9" s="69">
        <f>FR!B104</f>
        <v>48.4</v>
      </c>
      <c r="I9" s="69">
        <f>UK!B104</f>
        <v>53</v>
      </c>
      <c r="J9" s="69">
        <f>IT!B104</f>
        <v>49.1</v>
      </c>
      <c r="K9" s="69">
        <f>ES!B104</f>
        <v>50</v>
      </c>
      <c r="L9" s="69">
        <f>BRL!B104</f>
        <v>50.4</v>
      </c>
      <c r="M9" s="69">
        <f>MX!B104</f>
        <v>51.3</v>
      </c>
      <c r="N9" s="69">
        <f>RS!B104</f>
        <v>51.7</v>
      </c>
      <c r="O9" s="69">
        <f>IND!B104</f>
        <v>50.3</v>
      </c>
      <c r="P9" s="69">
        <f>CA!B104</f>
        <v>52.4</v>
      </c>
      <c r="Q9" s="69">
        <f>AU!B104</f>
        <v>49.6</v>
      </c>
      <c r="R9" s="69">
        <f>INS!B104</f>
        <v>51</v>
      </c>
      <c r="S9" s="69">
        <f>SK!B104</f>
        <v>49.4</v>
      </c>
      <c r="T9" s="69">
        <f>TW!B104</f>
        <v>47.1</v>
      </c>
      <c r="U9" s="69">
        <f>EL!B104</f>
        <v>45.4</v>
      </c>
      <c r="V9" s="69">
        <f>IR!B104</f>
        <v>50.3</v>
      </c>
      <c r="W9" s="69">
        <f>TUR!B104</f>
        <v>51.2</v>
      </c>
      <c r="X9" s="69">
        <f>CZ!B104</f>
        <v>51</v>
      </c>
      <c r="Y9" s="69">
        <f>PL!B104</f>
        <v>48</v>
      </c>
    </row>
    <row r="10" spans="1:25" x14ac:dyDescent="0.35">
      <c r="A10" s="68">
        <v>41456</v>
      </c>
      <c r="B10" s="69">
        <f>Global!B105</f>
        <v>50.8</v>
      </c>
      <c r="C10" s="69">
        <f>US!B105</f>
        <v>53.7</v>
      </c>
      <c r="D10" s="69">
        <f>CH!B105</f>
        <v>47.7</v>
      </c>
      <c r="E10" s="69">
        <f>EZ!B105</f>
        <v>50.3</v>
      </c>
      <c r="F10" s="69">
        <f>JP!B105</f>
        <v>50.7</v>
      </c>
      <c r="G10" s="69">
        <f>DE!B105</f>
        <v>50.7</v>
      </c>
      <c r="H10" s="69">
        <f>FR!B105</f>
        <v>49.7</v>
      </c>
      <c r="I10" s="69">
        <f>UK!B105</f>
        <v>54.7</v>
      </c>
      <c r="J10" s="69">
        <f>IT!B105</f>
        <v>50.4</v>
      </c>
      <c r="K10" s="69">
        <f>ES!B105</f>
        <v>49.8</v>
      </c>
      <c r="L10" s="69">
        <f>BRL!B105</f>
        <v>48.5</v>
      </c>
      <c r="M10" s="69">
        <f>MX!B105</f>
        <v>49.7</v>
      </c>
      <c r="N10" s="69">
        <f>RS!B105</f>
        <v>49.2</v>
      </c>
      <c r="O10" s="69">
        <f>IND!B105</f>
        <v>50.1</v>
      </c>
      <c r="P10" s="69">
        <f>CA!B105</f>
        <v>52</v>
      </c>
      <c r="Q10" s="69">
        <f>AU!B105</f>
        <v>42</v>
      </c>
      <c r="R10" s="69">
        <f>INS!B105</f>
        <v>50.7</v>
      </c>
      <c r="S10" s="69">
        <f>SK!B105</f>
        <v>47.2</v>
      </c>
      <c r="T10" s="69">
        <f>TW!B105</f>
        <v>49.5</v>
      </c>
      <c r="U10" s="69">
        <f>EL!B105</f>
        <v>47</v>
      </c>
      <c r="V10" s="69">
        <f>IR!B105</f>
        <v>51</v>
      </c>
      <c r="W10" s="69">
        <f>TUR!B105</f>
        <v>49.8</v>
      </c>
      <c r="X10" s="69">
        <f>CZ!B105</f>
        <v>52</v>
      </c>
      <c r="Y10" s="69">
        <f>PL!B105</f>
        <v>49.3</v>
      </c>
    </row>
    <row r="11" spans="1:25" x14ac:dyDescent="0.35">
      <c r="A11" s="68">
        <v>41487</v>
      </c>
      <c r="B11" s="69">
        <f>Global!B106</f>
        <v>51.6</v>
      </c>
      <c r="C11" s="69">
        <f>US!B106</f>
        <v>53.7</v>
      </c>
      <c r="D11" s="69">
        <f>CH!B106</f>
        <v>50.1</v>
      </c>
      <c r="E11" s="69">
        <f>EZ!B106</f>
        <v>51.4</v>
      </c>
      <c r="F11" s="69">
        <f>JP!B106</f>
        <v>52.2</v>
      </c>
      <c r="G11" s="69">
        <f>DE!B106</f>
        <v>51.8</v>
      </c>
      <c r="H11" s="69">
        <f>FR!B106</f>
        <v>49.7</v>
      </c>
      <c r="I11" s="69">
        <f>UK!B106</f>
        <v>57.3</v>
      </c>
      <c r="J11" s="69">
        <f>IT!B106</f>
        <v>51.3</v>
      </c>
      <c r="K11" s="69">
        <f>ES!B106</f>
        <v>51.1</v>
      </c>
      <c r="L11" s="69">
        <f>BRL!B106</f>
        <v>49.4</v>
      </c>
      <c r="M11" s="69">
        <f>MX!B106</f>
        <v>50.8</v>
      </c>
      <c r="N11" s="69">
        <f>RS!B106</f>
        <v>49.4</v>
      </c>
      <c r="O11" s="69">
        <f>IND!B106</f>
        <v>48.5</v>
      </c>
      <c r="P11" s="69">
        <f>CA!B106</f>
        <v>52.1</v>
      </c>
      <c r="Q11" s="69">
        <f>AU!B106</f>
        <v>46.4</v>
      </c>
      <c r="R11" s="69">
        <f>INS!B106</f>
        <v>48.5</v>
      </c>
      <c r="S11" s="69">
        <f>SK!B106</f>
        <v>47.5</v>
      </c>
      <c r="T11" s="69">
        <f>TW!B106</f>
        <v>48.6</v>
      </c>
      <c r="U11" s="69">
        <f>EL!B106</f>
        <v>48.7</v>
      </c>
      <c r="V11" s="69">
        <f>IR!B106</f>
        <v>52</v>
      </c>
      <c r="W11" s="69">
        <f>TUR!B106</f>
        <v>50.9</v>
      </c>
      <c r="X11" s="69">
        <f>CZ!B106</f>
        <v>53.9</v>
      </c>
      <c r="Y11" s="69">
        <f>PL!B106</f>
        <v>51.1</v>
      </c>
    </row>
    <row r="12" spans="1:25" x14ac:dyDescent="0.35">
      <c r="A12" s="68">
        <v>41518</v>
      </c>
      <c r="B12" s="69">
        <f>Global!B107</f>
        <v>51.8</v>
      </c>
      <c r="C12" s="69">
        <f>US!B107</f>
        <v>52.8</v>
      </c>
      <c r="D12" s="69">
        <f>CH!B107</f>
        <v>50.2</v>
      </c>
      <c r="E12" s="69">
        <f>EZ!B107</f>
        <v>51.1</v>
      </c>
      <c r="F12" s="69">
        <f>JP!B107</f>
        <v>52.5</v>
      </c>
      <c r="G12" s="69">
        <f>DE!B107</f>
        <v>51.1</v>
      </c>
      <c r="H12" s="69">
        <f>FR!B107</f>
        <v>49.8</v>
      </c>
      <c r="I12" s="69">
        <f>UK!B107</f>
        <v>56.7</v>
      </c>
      <c r="J12" s="69">
        <f>IT!B107</f>
        <v>50.8</v>
      </c>
      <c r="K12" s="69">
        <f>ES!B107</f>
        <v>50.7</v>
      </c>
      <c r="L12" s="69">
        <f>BRL!B107</f>
        <v>49.9</v>
      </c>
      <c r="M12" s="69">
        <f>MX!B107</f>
        <v>50</v>
      </c>
      <c r="N12" s="69">
        <f>RS!B107</f>
        <v>49.4</v>
      </c>
      <c r="O12" s="69">
        <f>IND!B107</f>
        <v>49.6</v>
      </c>
      <c r="P12" s="69">
        <f>CA!B107</f>
        <v>54.2</v>
      </c>
      <c r="Q12" s="69">
        <f>AU!B107</f>
        <v>51.7</v>
      </c>
      <c r="R12" s="69">
        <f>INS!B107</f>
        <v>50.2</v>
      </c>
      <c r="S12" s="69">
        <f>SK!B107</f>
        <v>49.7</v>
      </c>
      <c r="T12" s="69">
        <f>TW!B107</f>
        <v>50</v>
      </c>
      <c r="U12" s="69">
        <f>EL!B107</f>
        <v>47.5</v>
      </c>
      <c r="V12" s="69">
        <f>IR!B107</f>
        <v>52.7</v>
      </c>
      <c r="W12" s="69">
        <f>TUR!B107</f>
        <v>54</v>
      </c>
      <c r="X12" s="69">
        <f>CZ!B107</f>
        <v>53.4</v>
      </c>
      <c r="Y12" s="69">
        <f>PL!B107</f>
        <v>52.6</v>
      </c>
    </row>
    <row r="13" spans="1:25" x14ac:dyDescent="0.35">
      <c r="A13" s="68">
        <v>41548</v>
      </c>
      <c r="B13" s="69">
        <f>Global!B108</f>
        <v>52.1</v>
      </c>
      <c r="C13" s="69">
        <f>US!B108</f>
        <v>51.8</v>
      </c>
      <c r="D13" s="69">
        <f>CH!B108</f>
        <v>50.9</v>
      </c>
      <c r="E13" s="69">
        <f>EZ!B108</f>
        <v>51.3</v>
      </c>
      <c r="F13" s="69">
        <f>JP!B108</f>
        <v>54.2</v>
      </c>
      <c r="G13" s="69">
        <f>DE!B108</f>
        <v>51.7</v>
      </c>
      <c r="H13" s="69">
        <f>FR!B108</f>
        <v>49.1</v>
      </c>
      <c r="I13" s="69">
        <f>UK!B108</f>
        <v>56.5</v>
      </c>
      <c r="J13" s="69">
        <f>IT!B108</f>
        <v>50.7</v>
      </c>
      <c r="K13" s="69">
        <f>ES!B108</f>
        <v>50.9</v>
      </c>
      <c r="L13" s="69">
        <f>BRL!B108</f>
        <v>50.2</v>
      </c>
      <c r="M13" s="69">
        <f>MX!B108</f>
        <v>50.2</v>
      </c>
      <c r="N13" s="69">
        <f>RS!B108</f>
        <v>51.8</v>
      </c>
      <c r="O13" s="69">
        <f>IND!B108</f>
        <v>49.6</v>
      </c>
      <c r="P13" s="69">
        <f>CA!B108</f>
        <v>55.6</v>
      </c>
      <c r="Q13" s="69">
        <f>AU!B108</f>
        <v>53.2</v>
      </c>
      <c r="R13" s="69">
        <f>INS!B108</f>
        <v>50.9</v>
      </c>
      <c r="S13" s="69">
        <f>SK!B108</f>
        <v>50.2</v>
      </c>
      <c r="T13" s="69">
        <f>TW!B108</f>
        <v>52</v>
      </c>
      <c r="U13" s="69">
        <f>EL!B108</f>
        <v>47.3</v>
      </c>
      <c r="V13" s="69">
        <f>IR!B108</f>
        <v>54.9</v>
      </c>
      <c r="W13" s="69">
        <f>TUR!B108</f>
        <v>53.3</v>
      </c>
      <c r="X13" s="69">
        <f>CZ!B108</f>
        <v>54.5</v>
      </c>
      <c r="Y13" s="69">
        <f>PL!B108</f>
        <v>53.4</v>
      </c>
    </row>
    <row r="14" spans="1:25" x14ac:dyDescent="0.35">
      <c r="A14" s="68">
        <v>41579</v>
      </c>
      <c r="B14" s="69">
        <f>Global!B109</f>
        <v>53.1</v>
      </c>
      <c r="C14" s="69">
        <f>US!B109</f>
        <v>54.7</v>
      </c>
      <c r="D14" s="69">
        <f>CH!B109</f>
        <v>50.8</v>
      </c>
      <c r="E14" s="69">
        <f>EZ!B109</f>
        <v>51.6</v>
      </c>
      <c r="F14" s="69">
        <f>JP!B109</f>
        <v>55.1</v>
      </c>
      <c r="G14" s="69">
        <f>DE!B109</f>
        <v>52.7</v>
      </c>
      <c r="H14" s="69">
        <f>FR!B109</f>
        <v>48.4</v>
      </c>
      <c r="I14" s="69">
        <f>UK!B109</f>
        <v>58.1</v>
      </c>
      <c r="J14" s="69">
        <f>IT!B109</f>
        <v>51.4</v>
      </c>
      <c r="K14" s="69">
        <f>ES!B109</f>
        <v>48.6</v>
      </c>
      <c r="L14" s="69">
        <f>BRL!B109</f>
        <v>49.7</v>
      </c>
      <c r="M14" s="69">
        <f>MX!B109</f>
        <v>51.9</v>
      </c>
      <c r="N14" s="69">
        <f>RS!B109</f>
        <v>49.4</v>
      </c>
      <c r="O14" s="69">
        <f>IND!B109</f>
        <v>51.3</v>
      </c>
      <c r="P14" s="69">
        <f>CA!B109</f>
        <v>55.3</v>
      </c>
      <c r="Q14" s="69">
        <f>AU!B109</f>
        <v>47.7</v>
      </c>
      <c r="R14" s="69">
        <f>INS!B109</f>
        <v>50.3</v>
      </c>
      <c r="S14" s="69">
        <f>SK!B109</f>
        <v>50.4</v>
      </c>
      <c r="T14" s="69">
        <f>TW!B109</f>
        <v>53</v>
      </c>
      <c r="U14" s="69">
        <f>EL!B109</f>
        <v>49.2</v>
      </c>
      <c r="V14" s="69">
        <f>IR!B109</f>
        <v>52.4</v>
      </c>
      <c r="W14" s="69">
        <f>TUR!B109</f>
        <v>55</v>
      </c>
      <c r="X14" s="69">
        <f>CZ!B109</f>
        <v>55.4</v>
      </c>
      <c r="Y14" s="69">
        <f>PL!B109</f>
        <v>54.4</v>
      </c>
    </row>
    <row r="15" spans="1:25" x14ac:dyDescent="0.35">
      <c r="A15" s="68">
        <v>41609</v>
      </c>
      <c r="B15" s="69">
        <f>Global!B110</f>
        <v>53.3</v>
      </c>
      <c r="C15" s="69">
        <f>US!B110</f>
        <v>55</v>
      </c>
      <c r="D15" s="69">
        <f>CH!B110</f>
        <v>50.5</v>
      </c>
      <c r="E15" s="69">
        <f>EZ!B110</f>
        <v>52.7</v>
      </c>
      <c r="F15" s="69">
        <f>JP!B110</f>
        <v>55.2</v>
      </c>
      <c r="G15" s="69">
        <f>DE!B110</f>
        <v>54.3</v>
      </c>
      <c r="H15" s="69">
        <f>FR!B110</f>
        <v>47</v>
      </c>
      <c r="I15" s="69">
        <f>UK!B110</f>
        <v>57.3</v>
      </c>
      <c r="J15" s="69">
        <f>IT!B110</f>
        <v>53.3</v>
      </c>
      <c r="K15" s="69">
        <f>ES!B110</f>
        <v>50.8</v>
      </c>
      <c r="L15" s="69">
        <f>BRL!B110</f>
        <v>50.5</v>
      </c>
      <c r="M15" s="69">
        <f>MX!B110</f>
        <v>52.6</v>
      </c>
      <c r="N15" s="69">
        <f>RS!B110</f>
        <v>48.8</v>
      </c>
      <c r="O15" s="69">
        <f>IND!B110</f>
        <v>50.7</v>
      </c>
      <c r="P15" s="69">
        <f>CA!B110</f>
        <v>53.5</v>
      </c>
      <c r="Q15" s="69">
        <f>AU!B110</f>
        <v>47.6</v>
      </c>
      <c r="R15" s="69">
        <f>INS!B110</f>
        <v>50.9</v>
      </c>
      <c r="S15" s="69">
        <f>SK!B110</f>
        <v>50.8</v>
      </c>
      <c r="T15" s="69">
        <f>TW!B110</f>
        <v>53.4</v>
      </c>
      <c r="U15" s="69">
        <f>EL!B110</f>
        <v>49.6</v>
      </c>
      <c r="V15" s="69">
        <f>IR!B110</f>
        <v>53.5</v>
      </c>
      <c r="W15" s="69">
        <f>TUR!B110</f>
        <v>53.5</v>
      </c>
      <c r="X15" s="69">
        <f>CZ!B110</f>
        <v>54.9</v>
      </c>
      <c r="Y15" s="69">
        <f>PL!B110</f>
        <v>53.2</v>
      </c>
    </row>
    <row r="16" spans="1:25" x14ac:dyDescent="0.35">
      <c r="A16" s="68">
        <v>41640</v>
      </c>
      <c r="B16" s="69">
        <f>Global!B111</f>
        <v>52.9</v>
      </c>
      <c r="C16" s="69">
        <f>US!B111</f>
        <v>53.7</v>
      </c>
      <c r="D16" s="69">
        <f>CH!B111</f>
        <v>49.5</v>
      </c>
      <c r="E16" s="69">
        <f>EZ!B111</f>
        <v>54</v>
      </c>
      <c r="F16" s="69">
        <f>JP!B111</f>
        <v>56.6</v>
      </c>
      <c r="G16" s="69">
        <f>DE!B111</f>
        <v>56.6</v>
      </c>
      <c r="H16" s="69">
        <f>FR!B111</f>
        <v>49.3</v>
      </c>
      <c r="I16" s="69">
        <f>UK!B111</f>
        <v>56.7</v>
      </c>
      <c r="J16" s="69">
        <f>IT!B111</f>
        <v>53.1</v>
      </c>
      <c r="K16" s="69">
        <f>ES!B111</f>
        <v>52.2</v>
      </c>
      <c r="L16" s="69">
        <f>BRL!B111</f>
        <v>51.7</v>
      </c>
      <c r="M16" s="69">
        <f>MX!B111</f>
        <v>54</v>
      </c>
      <c r="N16" s="69">
        <f>RS!B111</f>
        <v>48</v>
      </c>
      <c r="O16" s="69">
        <f>IND!B111</f>
        <v>51.4</v>
      </c>
      <c r="P16" s="69">
        <f>CA!B111</f>
        <v>51.7</v>
      </c>
      <c r="Q16" s="69">
        <f>AU!B111</f>
        <v>46.7</v>
      </c>
      <c r="R16" s="69">
        <f>INS!B111</f>
        <v>51</v>
      </c>
      <c r="S16" s="69">
        <f>SK!B111</f>
        <v>50.9</v>
      </c>
      <c r="T16" s="69">
        <f>TW!B111</f>
        <v>55.5</v>
      </c>
      <c r="U16" s="69">
        <f>EL!B111</f>
        <v>51.2</v>
      </c>
      <c r="V16" s="69">
        <f>IR!B111</f>
        <v>52.8</v>
      </c>
      <c r="W16" s="69">
        <f>TUR!B111</f>
        <v>52.7</v>
      </c>
      <c r="X16" s="69">
        <f>CZ!B111</f>
        <v>55.9</v>
      </c>
      <c r="Y16" s="69">
        <f>PL!B111</f>
        <v>55.4</v>
      </c>
    </row>
    <row r="17" spans="1:25" x14ac:dyDescent="0.35">
      <c r="A17" s="68">
        <v>41671</v>
      </c>
      <c r="B17" s="69">
        <f>Global!B112</f>
        <v>53.3</v>
      </c>
      <c r="C17" s="69">
        <f>US!B112</f>
        <v>57.1</v>
      </c>
      <c r="D17" s="69">
        <f>CH!B112</f>
        <v>48.5</v>
      </c>
      <c r="E17" s="69">
        <f>EZ!B112</f>
        <v>53.2</v>
      </c>
      <c r="F17" s="69">
        <f>JP!B112</f>
        <v>55.5</v>
      </c>
      <c r="G17" s="69">
        <f>DE!B112</f>
        <v>54.8</v>
      </c>
      <c r="H17" s="69">
        <f>FR!B112</f>
        <v>49.7</v>
      </c>
      <c r="I17" s="69">
        <f>UK!B112</f>
        <v>56.9</v>
      </c>
      <c r="J17" s="69">
        <f>IT!B112</f>
        <v>52.3</v>
      </c>
      <c r="K17" s="69">
        <f>ES!B112</f>
        <v>52.5</v>
      </c>
      <c r="L17" s="69">
        <f>BRL!B112</f>
        <v>50.4</v>
      </c>
      <c r="M17" s="69">
        <f>MX!B112</f>
        <v>52</v>
      </c>
      <c r="N17" s="69">
        <f>RS!B112</f>
        <v>48.5</v>
      </c>
      <c r="O17" s="69">
        <f>IND!B112</f>
        <v>52.5</v>
      </c>
      <c r="P17" s="69">
        <f>CA!B112</f>
        <v>52.9</v>
      </c>
      <c r="Q17" s="69">
        <f>AU!B112</f>
        <v>48.6</v>
      </c>
      <c r="R17" s="69">
        <f>INS!B112</f>
        <v>50.5</v>
      </c>
      <c r="S17" s="69">
        <f>SK!B112</f>
        <v>49.8</v>
      </c>
      <c r="T17" s="69">
        <f>TW!B112</f>
        <v>54.7</v>
      </c>
      <c r="U17" s="69">
        <f>EL!B112</f>
        <v>51.3</v>
      </c>
      <c r="V17" s="69">
        <f>IR!B112</f>
        <v>52.9</v>
      </c>
      <c r="W17" s="69">
        <f>TUR!B112</f>
        <v>53.4</v>
      </c>
      <c r="X17" s="69">
        <f>CZ!B112</f>
        <v>56.5</v>
      </c>
      <c r="Y17" s="69">
        <f>PL!B112</f>
        <v>55.9</v>
      </c>
    </row>
    <row r="18" spans="1:25" x14ac:dyDescent="0.35">
      <c r="A18" s="68">
        <v>41699</v>
      </c>
      <c r="B18" s="69">
        <f>Global!B113</f>
        <v>52.4</v>
      </c>
      <c r="C18" s="69">
        <f>US!B113</f>
        <v>55.5</v>
      </c>
      <c r="D18" s="69">
        <f>CH!B113</f>
        <v>48</v>
      </c>
      <c r="E18" s="69">
        <f>EZ!B113</f>
        <v>53</v>
      </c>
      <c r="F18" s="69">
        <f>JP!B113</f>
        <v>53.9</v>
      </c>
      <c r="G18" s="69">
        <f>DE!B113</f>
        <v>53.7</v>
      </c>
      <c r="H18" s="69">
        <f>FR!B113</f>
        <v>52.1</v>
      </c>
      <c r="I18" s="69">
        <f>UK!B113</f>
        <v>55.3</v>
      </c>
      <c r="J18" s="69">
        <f>IT!B113</f>
        <v>52.4</v>
      </c>
      <c r="K18" s="69">
        <f>ES!B113</f>
        <v>52.8</v>
      </c>
      <c r="L18" s="69">
        <f>BRL!B113</f>
        <v>50.6</v>
      </c>
      <c r="M18" s="69">
        <f>MX!B113</f>
        <v>51.7</v>
      </c>
      <c r="N18" s="69">
        <f>RS!B113</f>
        <v>48.3</v>
      </c>
      <c r="O18" s="69">
        <f>IND!B113</f>
        <v>51.3</v>
      </c>
      <c r="P18" s="69">
        <f>CA!B113</f>
        <v>53.3</v>
      </c>
      <c r="Q18" s="69">
        <f>AU!B113</f>
        <v>49.7</v>
      </c>
      <c r="R18" s="69">
        <f>INS!B113</f>
        <v>50.1</v>
      </c>
      <c r="S18" s="69">
        <f>SK!B113</f>
        <v>50.4</v>
      </c>
      <c r="T18" s="69">
        <f>TW!B113</f>
        <v>52.7</v>
      </c>
      <c r="U18" s="69">
        <f>EL!B113</f>
        <v>49.7</v>
      </c>
      <c r="V18" s="69">
        <f>IR!B113</f>
        <v>55.5</v>
      </c>
      <c r="W18" s="69">
        <f>TUR!B113</f>
        <v>51.7</v>
      </c>
      <c r="X18" s="69">
        <f>CZ!B113</f>
        <v>55.5</v>
      </c>
      <c r="Y18" s="69">
        <f>PL!B113</f>
        <v>54</v>
      </c>
    </row>
    <row r="19" spans="1:25" x14ac:dyDescent="0.35">
      <c r="A19" s="68">
        <v>41730</v>
      </c>
      <c r="B19" s="69">
        <f>Global!B114</f>
        <v>51.9</v>
      </c>
      <c r="C19" s="69">
        <f>US!B114</f>
        <v>55.4</v>
      </c>
      <c r="D19" s="69">
        <f>CH!B114</f>
        <v>48.1</v>
      </c>
      <c r="E19" s="69">
        <f>EZ!B114</f>
        <v>54</v>
      </c>
      <c r="F19" s="69">
        <f>JP!B114</f>
        <v>49.4</v>
      </c>
      <c r="G19" s="69">
        <f>DE!B114</f>
        <v>54.1</v>
      </c>
      <c r="H19" s="69">
        <f>FR!B114</f>
        <v>51.2</v>
      </c>
      <c r="I19" s="69">
        <f>UK!B114</f>
        <v>57.3</v>
      </c>
      <c r="J19" s="69">
        <f>IT!B114</f>
        <v>54</v>
      </c>
      <c r="K19" s="69">
        <f>ES!B114</f>
        <v>52.7</v>
      </c>
      <c r="L19" s="69">
        <f>BRL!B114</f>
        <v>49.3</v>
      </c>
      <c r="M19" s="69">
        <f>MX!B114</f>
        <v>51.8</v>
      </c>
      <c r="N19" s="69">
        <f>RS!B114</f>
        <v>48.5</v>
      </c>
      <c r="O19" s="69">
        <f>IND!B114</f>
        <v>51.3</v>
      </c>
      <c r="P19" s="69">
        <f>CA!B114</f>
        <v>52.9</v>
      </c>
      <c r="Q19" s="69">
        <f>AU!B114</f>
        <v>44.8</v>
      </c>
      <c r="R19" s="69">
        <f>INS!B114</f>
        <v>51.1</v>
      </c>
      <c r="S19" s="69">
        <f>SK!B114</f>
        <v>50.2</v>
      </c>
      <c r="T19" s="69">
        <f>TW!B114</f>
        <v>52.3</v>
      </c>
      <c r="U19" s="69">
        <f>EL!B114</f>
        <v>51.1</v>
      </c>
      <c r="V19" s="69">
        <f>IR!B114</f>
        <v>56.1</v>
      </c>
      <c r="W19" s="69">
        <f>TUR!B114</f>
        <v>51.1</v>
      </c>
      <c r="X19" s="69">
        <f>CZ!B114</f>
        <v>56.5</v>
      </c>
      <c r="Y19" s="69">
        <f>PL!B114</f>
        <v>51.1</v>
      </c>
    </row>
    <row r="20" spans="1:25" x14ac:dyDescent="0.35">
      <c r="A20" s="68">
        <v>41760</v>
      </c>
      <c r="B20" s="69">
        <f>Global!B115</f>
        <v>52.2</v>
      </c>
      <c r="C20" s="69">
        <f>US!B115</f>
        <v>56.4</v>
      </c>
      <c r="D20" s="69">
        <f>CH!B115</f>
        <v>49.4</v>
      </c>
      <c r="E20" s="69">
        <f>EZ!B115</f>
        <v>52.2</v>
      </c>
      <c r="F20" s="69">
        <f>JP!B115</f>
        <v>49.9</v>
      </c>
      <c r="G20" s="69">
        <f>DE!B115</f>
        <v>52.3</v>
      </c>
      <c r="H20" s="69">
        <f>FR!B115</f>
        <v>49.6</v>
      </c>
      <c r="I20" s="69">
        <f>UK!B115</f>
        <v>57</v>
      </c>
      <c r="J20" s="69">
        <f>IT!B115</f>
        <v>53.2</v>
      </c>
      <c r="K20" s="69">
        <f>ES!B115</f>
        <v>52.9</v>
      </c>
      <c r="L20" s="69">
        <f>BRL!B115</f>
        <v>48.8</v>
      </c>
      <c r="M20" s="69">
        <f>MX!B115</f>
        <v>51.9</v>
      </c>
      <c r="N20" s="69">
        <f>RS!B115</f>
        <v>48.9</v>
      </c>
      <c r="O20" s="69">
        <f>IND!B115</f>
        <v>51.4</v>
      </c>
      <c r="P20" s="69">
        <f>CA!B115</f>
        <v>52.2</v>
      </c>
      <c r="Q20" s="69">
        <f>AU!B115</f>
        <v>49.2</v>
      </c>
      <c r="R20" s="69">
        <f>INS!B115</f>
        <v>52.4</v>
      </c>
      <c r="S20" s="69">
        <f>SK!B115</f>
        <v>49.5</v>
      </c>
      <c r="T20" s="69">
        <f>TW!B115</f>
        <v>52.4</v>
      </c>
      <c r="U20" s="69">
        <f>EL!B115</f>
        <v>51</v>
      </c>
      <c r="V20" s="69">
        <f>IR!B115</f>
        <v>55</v>
      </c>
      <c r="W20" s="69">
        <f>TUR!B115</f>
        <v>50.1</v>
      </c>
      <c r="X20" s="69">
        <f>CZ!B115</f>
        <v>57.3</v>
      </c>
      <c r="Y20" s="69">
        <f>PL!B115</f>
        <v>50.8</v>
      </c>
    </row>
    <row r="21" spans="1:25" x14ac:dyDescent="0.35">
      <c r="A21" s="68">
        <v>41791</v>
      </c>
      <c r="B21" s="69">
        <f>Global!B116</f>
        <v>52.6</v>
      </c>
      <c r="C21" s="69">
        <f>US!B116</f>
        <v>57.3</v>
      </c>
      <c r="D21" s="69">
        <f>CH!B116</f>
        <v>50.7</v>
      </c>
      <c r="E21" s="69">
        <f>EZ!B116</f>
        <v>51.8</v>
      </c>
      <c r="F21" s="69">
        <f>JP!B116</f>
        <v>51.5</v>
      </c>
      <c r="G21" s="69">
        <f>DE!B116</f>
        <v>52</v>
      </c>
      <c r="H21" s="69">
        <f>FR!B116</f>
        <v>48.2</v>
      </c>
      <c r="I21" s="69">
        <f>UK!B116</f>
        <v>57.5</v>
      </c>
      <c r="J21" s="69">
        <f>IT!B116</f>
        <v>52.6</v>
      </c>
      <c r="K21" s="69">
        <f>ES!B116</f>
        <v>54.6</v>
      </c>
      <c r="L21" s="69">
        <f>BRL!B116</f>
        <v>48.7</v>
      </c>
      <c r="M21" s="69">
        <f>MX!B116</f>
        <v>51.8</v>
      </c>
      <c r="N21" s="69">
        <f>RS!B116</f>
        <v>49.1</v>
      </c>
      <c r="O21" s="69">
        <f>IND!B116</f>
        <v>51.5</v>
      </c>
      <c r="P21" s="69">
        <f>CA!B116</f>
        <v>53.5</v>
      </c>
      <c r="Q21" s="69">
        <f>AU!B116</f>
        <v>48.9</v>
      </c>
      <c r="R21" s="69">
        <f>INS!B116</f>
        <v>52.7</v>
      </c>
      <c r="S21" s="69">
        <f>SK!B116</f>
        <v>48.4</v>
      </c>
      <c r="T21" s="69">
        <f>TW!B116</f>
        <v>54</v>
      </c>
      <c r="U21" s="69">
        <f>EL!B116</f>
        <v>49.4</v>
      </c>
      <c r="V21" s="69">
        <f>IR!B116</f>
        <v>55.3</v>
      </c>
      <c r="W21" s="69">
        <f>TUR!B116</f>
        <v>48.8</v>
      </c>
      <c r="X21" s="69">
        <f>CZ!B116</f>
        <v>54.7</v>
      </c>
      <c r="Y21" s="69">
        <f>PL!B116</f>
        <v>50.3</v>
      </c>
    </row>
    <row r="22" spans="1:25" x14ac:dyDescent="0.35">
      <c r="A22" s="68">
        <v>41821</v>
      </c>
      <c r="B22" s="69">
        <f>Global!B117</f>
        <v>52.5</v>
      </c>
      <c r="C22" s="69">
        <f>US!B117</f>
        <v>55.8</v>
      </c>
      <c r="D22" s="69">
        <f>CH!B117</f>
        <v>51.7</v>
      </c>
      <c r="E22" s="69">
        <f>EZ!B117</f>
        <v>51.8</v>
      </c>
      <c r="F22" s="69">
        <f>JP!B117</f>
        <v>50.5</v>
      </c>
      <c r="G22" s="69">
        <f>DE!B117</f>
        <v>52.4</v>
      </c>
      <c r="H22" s="69">
        <f>FR!B117</f>
        <v>47.8</v>
      </c>
      <c r="I22" s="69">
        <f>UK!B117</f>
        <v>55.4</v>
      </c>
      <c r="J22" s="69">
        <f>IT!B117</f>
        <v>51.9</v>
      </c>
      <c r="K22" s="69">
        <f>ES!B117</f>
        <v>53.9</v>
      </c>
      <c r="L22" s="69">
        <f>BRL!B117</f>
        <v>49.1</v>
      </c>
      <c r="M22" s="69">
        <f>MX!B117</f>
        <v>51.5</v>
      </c>
      <c r="N22" s="69">
        <f>RS!B117</f>
        <v>51</v>
      </c>
      <c r="O22" s="69">
        <f>IND!B117</f>
        <v>53</v>
      </c>
      <c r="P22" s="69">
        <f>CA!B117</f>
        <v>54.3</v>
      </c>
      <c r="Q22" s="69">
        <f>AU!B117</f>
        <v>50.7</v>
      </c>
      <c r="R22" s="69">
        <f>INS!B117</f>
        <v>52.4</v>
      </c>
      <c r="S22" s="69">
        <f>SK!B117</f>
        <v>48.506666666666703</v>
      </c>
      <c r="T22" s="69">
        <f>TW!B117</f>
        <v>55.8</v>
      </c>
      <c r="U22" s="69">
        <f>EL!B117</f>
        <v>48.7</v>
      </c>
      <c r="V22" s="69">
        <f>IR!B117</f>
        <v>55.4</v>
      </c>
      <c r="W22" s="69">
        <f>TUR!B117</f>
        <v>48.453571428571401</v>
      </c>
      <c r="X22" s="69">
        <f>CZ!B117</f>
        <v>56.463888888888903</v>
      </c>
      <c r="Y22" s="69">
        <f>PL!B117</f>
        <v>49.4</v>
      </c>
    </row>
    <row r="23" spans="1:25" x14ac:dyDescent="0.35">
      <c r="A23" s="68">
        <v>41852</v>
      </c>
      <c r="B23" s="69">
        <f>Global!B118</f>
        <v>52.6</v>
      </c>
      <c r="C23" s="69">
        <f>US!B118</f>
        <v>57.9</v>
      </c>
      <c r="D23" s="69">
        <f>CH!B118</f>
        <v>50.2</v>
      </c>
      <c r="E23" s="69">
        <f>EZ!B118</f>
        <v>50.7</v>
      </c>
      <c r="F23" s="69">
        <f>JP!B118</f>
        <v>52.2</v>
      </c>
      <c r="G23" s="69">
        <f>DE!B118</f>
        <v>51.4</v>
      </c>
      <c r="H23" s="69">
        <f>FR!B118</f>
        <v>46.9</v>
      </c>
      <c r="I23" s="69">
        <f>UK!B118</f>
        <v>52.5</v>
      </c>
      <c r="J23" s="69">
        <f>IT!B118</f>
        <v>49.8</v>
      </c>
      <c r="K23" s="69">
        <f>ES!B118</f>
        <v>52.8</v>
      </c>
      <c r="L23" s="69">
        <f>BRL!B118</f>
        <v>50.2</v>
      </c>
      <c r="M23" s="69">
        <f>MX!B118</f>
        <v>52.1</v>
      </c>
      <c r="N23" s="69">
        <f>RS!B118</f>
        <v>51</v>
      </c>
      <c r="O23" s="69">
        <f>IND!B118</f>
        <v>52.4</v>
      </c>
      <c r="P23" s="69">
        <f>CA!B118</f>
        <v>54.8</v>
      </c>
      <c r="Q23" s="69">
        <f>AU!B118</f>
        <v>47.3</v>
      </c>
      <c r="R23" s="69">
        <f>INS!B118</f>
        <v>49.5</v>
      </c>
      <c r="S23" s="69">
        <f>SK!B118</f>
        <v>50.3</v>
      </c>
      <c r="T23" s="69">
        <f>TW!B118</f>
        <v>56.1</v>
      </c>
      <c r="U23" s="69">
        <f>EL!B118</f>
        <v>50.1</v>
      </c>
      <c r="V23" s="69">
        <f>IR!B118</f>
        <v>57.3</v>
      </c>
      <c r="W23" s="69">
        <f>TUR!B118</f>
        <v>50</v>
      </c>
      <c r="X23" s="69">
        <f>CZ!B118</f>
        <v>54.3</v>
      </c>
      <c r="Y23" s="69">
        <f>PL!B118</f>
        <v>49</v>
      </c>
    </row>
    <row r="24" spans="1:25" x14ac:dyDescent="0.35">
      <c r="A24" s="68">
        <v>41883</v>
      </c>
      <c r="B24" s="69">
        <f>Global!B119</f>
        <v>52.2</v>
      </c>
      <c r="C24" s="69">
        <f>US!B119</f>
        <v>57.5</v>
      </c>
      <c r="D24" s="69">
        <f>CH!B119</f>
        <v>51.1</v>
      </c>
      <c r="E24" s="69">
        <f>EZ!B119</f>
        <v>50.3</v>
      </c>
      <c r="F24" s="69">
        <f>JP!B119</f>
        <v>51.7</v>
      </c>
      <c r="G24" s="69">
        <f>DE!B119</f>
        <v>49.9</v>
      </c>
      <c r="H24" s="69">
        <f>FR!B119</f>
        <v>48.8</v>
      </c>
      <c r="I24" s="69">
        <f>UK!B119</f>
        <v>51.6</v>
      </c>
      <c r="J24" s="69">
        <f>IT!B119</f>
        <v>50.7</v>
      </c>
      <c r="K24" s="69">
        <f>ES!B119</f>
        <v>52.6</v>
      </c>
      <c r="L24" s="69">
        <f>BRL!B119</f>
        <v>49.3</v>
      </c>
      <c r="M24" s="69">
        <f>MX!B119</f>
        <v>52.6</v>
      </c>
      <c r="N24" s="69">
        <f>RS!B119</f>
        <v>50.4</v>
      </c>
      <c r="O24" s="69">
        <f>IND!B119</f>
        <v>51</v>
      </c>
      <c r="P24" s="69">
        <f>CA!B119</f>
        <v>53.5</v>
      </c>
      <c r="Q24" s="69">
        <f>AU!B119</f>
        <v>46.5</v>
      </c>
      <c r="R24" s="69">
        <f>INS!B119</f>
        <v>50.7</v>
      </c>
      <c r="S24" s="69">
        <f>SK!B119</f>
        <v>48.8</v>
      </c>
      <c r="T24" s="69">
        <f>TW!B119</f>
        <v>53.3</v>
      </c>
      <c r="U24" s="69">
        <f>EL!B119</f>
        <v>48.4</v>
      </c>
      <c r="V24" s="69">
        <f>IR!B119</f>
        <v>55.7</v>
      </c>
      <c r="W24" s="69">
        <f>TUR!B119</f>
        <v>50.4</v>
      </c>
      <c r="X24" s="69">
        <f>CZ!B119</f>
        <v>55.6</v>
      </c>
      <c r="Y24" s="69">
        <f>PL!B119</f>
        <v>49.5</v>
      </c>
    </row>
    <row r="25" spans="1:25" x14ac:dyDescent="0.35">
      <c r="A25" s="68">
        <v>41913</v>
      </c>
      <c r="B25" s="69">
        <f>Global!B120</f>
        <v>52.2</v>
      </c>
      <c r="C25" s="69">
        <f>US!B120</f>
        <v>55.9</v>
      </c>
      <c r="D25" s="69">
        <f>CH!B120</f>
        <v>50.8</v>
      </c>
      <c r="E25" s="69">
        <f>EZ!B120</f>
        <v>50.6</v>
      </c>
      <c r="F25" s="69">
        <f>JP!B120</f>
        <v>52.4</v>
      </c>
      <c r="G25" s="69">
        <f>DE!B120</f>
        <v>51.4</v>
      </c>
      <c r="H25" s="69">
        <f>FR!B120</f>
        <v>48.5</v>
      </c>
      <c r="I25" s="69">
        <f>UK!B120</f>
        <v>53.2</v>
      </c>
      <c r="J25" s="69">
        <f>IT!B120</f>
        <v>49</v>
      </c>
      <c r="K25" s="69">
        <f>ES!B120</f>
        <v>52.6</v>
      </c>
      <c r="L25" s="69">
        <f>BRL!B120</f>
        <v>49.1</v>
      </c>
      <c r="M25" s="69">
        <f>MX!B120</f>
        <v>53.3</v>
      </c>
      <c r="N25" s="69">
        <f>RS!B120</f>
        <v>50.3</v>
      </c>
      <c r="O25" s="69">
        <f>IND!B120</f>
        <v>51.6</v>
      </c>
      <c r="P25" s="69">
        <f>CA!B120</f>
        <v>55.3</v>
      </c>
      <c r="Q25" s="69">
        <f>AU!B120</f>
        <v>49.42</v>
      </c>
      <c r="R25" s="69">
        <f>INS!B120</f>
        <v>49.2</v>
      </c>
      <c r="S25" s="69">
        <f>SK!B120</f>
        <v>48.7</v>
      </c>
      <c r="T25" s="69">
        <f>TW!B120</f>
        <v>52</v>
      </c>
      <c r="U25" s="69">
        <f>EL!B120</f>
        <v>48.8</v>
      </c>
      <c r="V25" s="69">
        <f>IR!B120</f>
        <v>56.6</v>
      </c>
      <c r="W25" s="69">
        <f>TUR!B120</f>
        <v>51.5</v>
      </c>
      <c r="X25" s="69">
        <f>CZ!B120</f>
        <v>54.4</v>
      </c>
      <c r="Y25" s="69">
        <f>PL!B120</f>
        <v>51.2</v>
      </c>
    </row>
    <row r="26" spans="1:25" x14ac:dyDescent="0.35">
      <c r="A26" s="68">
        <v>41944</v>
      </c>
      <c r="B26" s="69">
        <f>Global!B121</f>
        <v>51.8</v>
      </c>
      <c r="C26" s="69">
        <f>US!B121</f>
        <v>54.8</v>
      </c>
      <c r="D26" s="69">
        <f>CH!B121</f>
        <v>50.3</v>
      </c>
      <c r="E26" s="69">
        <f>EZ!B121</f>
        <v>50.1</v>
      </c>
      <c r="F26" s="69">
        <f>JP!B121</f>
        <v>52</v>
      </c>
      <c r="G26" s="69">
        <f>DE!B121</f>
        <v>49.5</v>
      </c>
      <c r="H26" s="69">
        <f>FR!B121</f>
        <v>48.4</v>
      </c>
      <c r="I26" s="69">
        <f>UK!B121</f>
        <v>53.5</v>
      </c>
      <c r="J26" s="69">
        <f>IT!B121</f>
        <v>49</v>
      </c>
      <c r="K26" s="69">
        <f>ES!B121</f>
        <v>54.7</v>
      </c>
      <c r="L26" s="69">
        <f>BRL!B121</f>
        <v>48.7</v>
      </c>
      <c r="M26" s="69">
        <f>MX!B121</f>
        <v>54.3</v>
      </c>
      <c r="N26" s="69">
        <f>RS!B121</f>
        <v>51.7</v>
      </c>
      <c r="O26" s="69">
        <f>IND!B121</f>
        <v>53.3</v>
      </c>
      <c r="P26" s="69">
        <f>CA!B121</f>
        <v>55.3</v>
      </c>
      <c r="Q26" s="69">
        <f>AU!B121</f>
        <v>50.1</v>
      </c>
      <c r="R26" s="69">
        <f>INS!B121</f>
        <v>48</v>
      </c>
      <c r="S26" s="69">
        <f>SK!B121</f>
        <v>49</v>
      </c>
      <c r="T26" s="69">
        <f>TW!B121</f>
        <v>51.4</v>
      </c>
      <c r="U26" s="69">
        <f>EL!B121</f>
        <v>49.1</v>
      </c>
      <c r="V26" s="69">
        <f>IR!B121</f>
        <v>56.2</v>
      </c>
      <c r="W26" s="69">
        <f>TUR!B121</f>
        <v>52.2</v>
      </c>
      <c r="X26" s="69">
        <f>CZ!B121</f>
        <v>55.6</v>
      </c>
      <c r="Y26" s="69">
        <f>PL!B121</f>
        <v>53.2</v>
      </c>
    </row>
    <row r="27" spans="1:25" x14ac:dyDescent="0.35">
      <c r="A27" s="103">
        <v>41974</v>
      </c>
    </row>
    <row r="28" spans="1:25" x14ac:dyDescent="0.35">
      <c r="A28" s="104">
        <v>42005</v>
      </c>
    </row>
    <row r="29" spans="1:25" x14ac:dyDescent="0.35">
      <c r="A29" s="103">
        <v>42036</v>
      </c>
    </row>
    <row r="30" spans="1:25" x14ac:dyDescent="0.35">
      <c r="A30" s="104">
        <v>42064</v>
      </c>
    </row>
    <row r="31" spans="1:25" x14ac:dyDescent="0.35">
      <c r="A31" s="103">
        <v>42095</v>
      </c>
    </row>
    <row r="32" spans="1:25" x14ac:dyDescent="0.35">
      <c r="A32" s="104">
        <v>42125</v>
      </c>
    </row>
    <row r="33" spans="1:1" x14ac:dyDescent="0.35">
      <c r="A33" s="103">
        <v>42156</v>
      </c>
    </row>
    <row r="34" spans="1:1" x14ac:dyDescent="0.35">
      <c r="A34" s="104">
        <v>42186</v>
      </c>
    </row>
    <row r="35" spans="1:1" x14ac:dyDescent="0.35">
      <c r="A35" s="103">
        <v>42217</v>
      </c>
    </row>
    <row r="36" spans="1:1" x14ac:dyDescent="0.35">
      <c r="A36" s="104">
        <v>42248</v>
      </c>
    </row>
    <row r="37" spans="1:1" x14ac:dyDescent="0.35">
      <c r="A37" s="103">
        <v>42278</v>
      </c>
    </row>
    <row r="38" spans="1:1" x14ac:dyDescent="0.35">
      <c r="A38" s="104">
        <v>42309</v>
      </c>
    </row>
    <row r="39" spans="1:1" x14ac:dyDescent="0.35">
      <c r="A39" s="103">
        <v>42339</v>
      </c>
    </row>
    <row r="40" spans="1:1" x14ac:dyDescent="0.35">
      <c r="A40" s="104">
        <v>42370</v>
      </c>
    </row>
    <row r="41" spans="1:1" x14ac:dyDescent="0.35">
      <c r="A41" s="103">
        <v>42401</v>
      </c>
    </row>
    <row r="42" spans="1:1" x14ac:dyDescent="0.35">
      <c r="A42" s="104">
        <v>42430</v>
      </c>
    </row>
    <row r="43" spans="1:1" x14ac:dyDescent="0.35">
      <c r="A43" s="103">
        <v>42461</v>
      </c>
    </row>
    <row r="44" spans="1:1" x14ac:dyDescent="0.35">
      <c r="A44" s="104">
        <v>42491</v>
      </c>
    </row>
    <row r="45" spans="1:1" x14ac:dyDescent="0.35">
      <c r="A45" s="103">
        <v>42522</v>
      </c>
    </row>
    <row r="46" spans="1:1" x14ac:dyDescent="0.35">
      <c r="A46" s="104">
        <v>42552</v>
      </c>
    </row>
    <row r="47" spans="1:1" x14ac:dyDescent="0.35">
      <c r="A47" s="103">
        <v>42583</v>
      </c>
    </row>
    <row r="48" spans="1:1" x14ac:dyDescent="0.35">
      <c r="A48" s="104">
        <v>42614</v>
      </c>
    </row>
    <row r="49" spans="1:1" x14ac:dyDescent="0.35">
      <c r="A49" s="103">
        <v>42644</v>
      </c>
    </row>
    <row r="50" spans="1:1" x14ac:dyDescent="0.35">
      <c r="A50" s="104">
        <v>42675</v>
      </c>
    </row>
    <row r="51" spans="1:1" x14ac:dyDescent="0.35">
      <c r="A51" s="103">
        <v>42705</v>
      </c>
    </row>
    <row r="52" spans="1:1" x14ac:dyDescent="0.35">
      <c r="A52" s="104">
        <v>42736</v>
      </c>
    </row>
    <row r="53" spans="1:1" x14ac:dyDescent="0.35">
      <c r="A53" s="103">
        <v>42767</v>
      </c>
    </row>
    <row r="54" spans="1:1" x14ac:dyDescent="0.35">
      <c r="A54" s="104">
        <v>42795</v>
      </c>
    </row>
    <row r="55" spans="1:1" x14ac:dyDescent="0.35">
      <c r="A55" s="103">
        <v>42826</v>
      </c>
    </row>
    <row r="56" spans="1:1" x14ac:dyDescent="0.35">
      <c r="A56" s="104">
        <v>42856</v>
      </c>
    </row>
    <row r="57" spans="1:1" x14ac:dyDescent="0.35">
      <c r="A57" s="103">
        <v>42887</v>
      </c>
    </row>
    <row r="58" spans="1:1" x14ac:dyDescent="0.35">
      <c r="A58" s="104">
        <v>42917</v>
      </c>
    </row>
    <row r="59" spans="1:1" x14ac:dyDescent="0.35">
      <c r="A59" s="103">
        <v>42948</v>
      </c>
    </row>
  </sheetData>
  <conditionalFormatting sqref="B3:B26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S26 U3:V26">
    <cfRule type="colorScale" priority="5">
      <colorScale>
        <cfvo type="num" val="45"/>
        <cfvo type="num" val="50"/>
        <cfvo type="num" val="58"/>
        <color rgb="FFF8696B"/>
        <color rgb="FFFFEB84"/>
        <color rgb="FF63BE7B"/>
      </colorScale>
    </cfRule>
  </conditionalFormatting>
  <conditionalFormatting sqref="C3:C26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6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6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6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26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6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6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26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26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26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26"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P26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6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26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26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26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26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26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26"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26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26"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26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I3:Q34"/>
  <sheetViews>
    <sheetView zoomScale="70" zoomScaleNormal="70" workbookViewId="0"/>
  </sheetViews>
  <sheetFormatPr defaultRowHeight="14.5" x14ac:dyDescent="0.35"/>
  <cols>
    <col min="8" max="8" width="7.54296875" customWidth="1"/>
    <col min="9" max="9" width="14.6328125" customWidth="1"/>
    <col min="10" max="11" width="6.6328125" customWidth="1"/>
    <col min="12" max="12" width="10.6328125" customWidth="1"/>
    <col min="13" max="13" width="14.6328125" customWidth="1"/>
    <col min="14" max="14" width="12.90625" bestFit="1" customWidth="1"/>
    <col min="15" max="15" width="6.6328125" customWidth="1"/>
    <col min="16" max="16" width="10.6328125" customWidth="1"/>
  </cols>
  <sheetData>
    <row r="3" spans="9:17" ht="14.25" customHeight="1" x14ac:dyDescent="0.35">
      <c r="I3" s="127" t="str">
        <f>J4&amp;" 2014  PMI numbers"</f>
        <v>Nov 2014  PMI numbers</v>
      </c>
      <c r="J3" s="128"/>
      <c r="K3" s="128"/>
      <c r="L3" s="129"/>
      <c r="M3" s="71"/>
      <c r="N3" s="127" t="str">
        <f>O4&amp;" 2014  PMI numbers"</f>
        <v>Nov 2014  PMI numbers</v>
      </c>
      <c r="O3" s="128"/>
      <c r="P3" s="128"/>
      <c r="Q3" s="129"/>
    </row>
    <row r="4" spans="9:17" ht="14.25" customHeight="1" x14ac:dyDescent="0.35">
      <c r="I4" s="44" t="s">
        <v>37</v>
      </c>
      <c r="J4" s="94" t="s">
        <v>153</v>
      </c>
      <c r="K4" s="44" t="s">
        <v>146</v>
      </c>
      <c r="L4" s="43" t="s">
        <v>5</v>
      </c>
      <c r="M4" s="72"/>
      <c r="N4" s="44" t="s">
        <v>37</v>
      </c>
      <c r="O4" s="44" t="s">
        <v>153</v>
      </c>
      <c r="P4" s="44" t="s">
        <v>146</v>
      </c>
      <c r="Q4" s="43" t="s">
        <v>5</v>
      </c>
    </row>
    <row r="5" spans="9:17" ht="14.25" customHeight="1" x14ac:dyDescent="0.35">
      <c r="I5" s="57" t="s">
        <v>31</v>
      </c>
      <c r="J5" s="58">
        <f>Tabs!AP27</f>
        <v>54.9</v>
      </c>
      <c r="K5" s="58">
        <f>Tabs!AP26</f>
        <v>55.9</v>
      </c>
      <c r="L5" s="59">
        <f t="shared" ref="L5:L28" si="0">J5-K5</f>
        <v>-1</v>
      </c>
      <c r="M5" s="72"/>
      <c r="N5" s="57" t="s">
        <v>26</v>
      </c>
      <c r="O5" s="58">
        <v>54.7</v>
      </c>
      <c r="P5" s="58">
        <v>52.6</v>
      </c>
      <c r="Q5" s="59">
        <v>2.1000000000000014</v>
      </c>
    </row>
    <row r="6" spans="9:17" ht="14.25" customHeight="1" x14ac:dyDescent="0.35">
      <c r="I6" s="57" t="s">
        <v>39</v>
      </c>
      <c r="J6" s="58">
        <f>Tabs!CL27</f>
        <v>53.9</v>
      </c>
      <c r="K6" s="58">
        <f>Tabs!CL26</f>
        <v>52.2</v>
      </c>
      <c r="L6" s="59">
        <f t="shared" si="0"/>
        <v>1.6999999999999957</v>
      </c>
      <c r="M6" s="72"/>
      <c r="N6" s="57" t="s">
        <v>42</v>
      </c>
      <c r="O6" s="58">
        <v>53.2</v>
      </c>
      <c r="P6" s="58">
        <v>51.2</v>
      </c>
      <c r="Q6" s="59">
        <v>2</v>
      </c>
    </row>
    <row r="7" spans="9:17" ht="14.25" customHeight="1" x14ac:dyDescent="0.35">
      <c r="I7" s="57" t="s">
        <v>35</v>
      </c>
      <c r="J7" s="58">
        <f>Tabs!J27</f>
        <v>53</v>
      </c>
      <c r="K7" s="58">
        <f>Tabs!J26</f>
        <v>52.9</v>
      </c>
      <c r="L7" s="59">
        <f t="shared" si="0"/>
        <v>0.10000000000000142</v>
      </c>
      <c r="M7" s="72"/>
      <c r="N7" s="57" t="s">
        <v>44</v>
      </c>
      <c r="O7" s="58">
        <v>53.3</v>
      </c>
      <c r="P7" s="58">
        <v>51.6</v>
      </c>
      <c r="Q7" s="59">
        <v>1.6999999999999957</v>
      </c>
    </row>
    <row r="8" spans="9:17" ht="14.25" customHeight="1" x14ac:dyDescent="0.35">
      <c r="I8" s="57" t="s">
        <v>16</v>
      </c>
      <c r="J8" s="58">
        <f>Tabs!F27</f>
        <v>53.9</v>
      </c>
      <c r="K8" s="58">
        <f>Tabs!F26</f>
        <v>55.1</v>
      </c>
      <c r="L8" s="59">
        <f t="shared" si="0"/>
        <v>-1.2000000000000028</v>
      </c>
      <c r="M8" s="72"/>
      <c r="N8" s="57" t="s">
        <v>27</v>
      </c>
      <c r="O8" s="58">
        <v>51.7</v>
      </c>
      <c r="P8" s="58">
        <v>50.3</v>
      </c>
      <c r="Q8" s="59">
        <v>1.4000000000000057</v>
      </c>
    </row>
    <row r="9" spans="9:17" ht="14.25" customHeight="1" x14ac:dyDescent="0.35">
      <c r="I9" s="57" t="s">
        <v>26</v>
      </c>
      <c r="J9" s="58">
        <f>Tabs!AH27</f>
        <v>49.7</v>
      </c>
      <c r="K9" s="58">
        <f>Tabs!AH26</f>
        <v>51.2</v>
      </c>
      <c r="L9" s="59">
        <f t="shared" si="0"/>
        <v>-1.5</v>
      </c>
      <c r="M9" s="72"/>
      <c r="N9" s="57" t="s">
        <v>39</v>
      </c>
      <c r="O9" s="58">
        <v>55.6</v>
      </c>
      <c r="P9" s="58">
        <v>54.4</v>
      </c>
      <c r="Q9" s="59">
        <v>1.2000000000000028</v>
      </c>
    </row>
    <row r="10" spans="9:17" ht="14.25" customHeight="1" x14ac:dyDescent="0.35">
      <c r="I10" s="57" t="s">
        <v>29</v>
      </c>
      <c r="J10" s="58">
        <f>Tabs!BN27</f>
        <v>51.3</v>
      </c>
      <c r="K10" s="58">
        <f>Tabs!BN26</f>
        <v>49.6</v>
      </c>
      <c r="L10" s="59">
        <f t="shared" si="0"/>
        <v>1.6999999999999957</v>
      </c>
      <c r="M10" s="72"/>
      <c r="N10" s="57" t="s">
        <v>29</v>
      </c>
      <c r="O10" s="58">
        <v>54.3</v>
      </c>
      <c r="P10" s="58">
        <v>53.3</v>
      </c>
      <c r="Q10" s="59">
        <v>1</v>
      </c>
    </row>
    <row r="11" spans="9:17" ht="14.25" customHeight="1" x14ac:dyDescent="0.35">
      <c r="I11" s="57" t="s">
        <v>17</v>
      </c>
      <c r="J11" s="58">
        <f>Tabs!R27</f>
        <v>52.5</v>
      </c>
      <c r="K11" s="58">
        <f>Tabs!R26</f>
        <v>53.9</v>
      </c>
      <c r="L11" s="59">
        <f t="shared" si="0"/>
        <v>-1.3999999999999986</v>
      </c>
      <c r="M11" s="72"/>
      <c r="N11" s="57" t="s">
        <v>41</v>
      </c>
      <c r="O11" s="58">
        <v>52.2</v>
      </c>
      <c r="P11" s="58">
        <v>51.5</v>
      </c>
      <c r="Q11" s="59">
        <v>0.70000000000000284</v>
      </c>
    </row>
    <row r="12" spans="9:17" ht="14.25" customHeight="1" x14ac:dyDescent="0.35">
      <c r="I12" s="57" t="s">
        <v>44</v>
      </c>
      <c r="J12" s="58">
        <f>Tabs!BF27</f>
        <v>54.2</v>
      </c>
      <c r="K12" s="58">
        <f>Tabs!BF26</f>
        <v>55</v>
      </c>
      <c r="L12" s="59">
        <f t="shared" si="0"/>
        <v>-0.79999999999999716</v>
      </c>
      <c r="M12" s="72"/>
      <c r="N12" s="57" t="s">
        <v>28</v>
      </c>
      <c r="O12" s="58">
        <v>50.1</v>
      </c>
      <c r="P12" s="58">
        <v>49.42</v>
      </c>
      <c r="Q12" s="59">
        <v>0.67999999999999972</v>
      </c>
    </row>
    <row r="13" spans="9:17" ht="14.25" customHeight="1" x14ac:dyDescent="0.35">
      <c r="I13" s="57" t="s">
        <v>42</v>
      </c>
      <c r="J13" s="58">
        <f>Tabs!CP27</f>
        <v>46.1</v>
      </c>
      <c r="K13" s="58">
        <f>Tabs!CP26</f>
        <v>49.4</v>
      </c>
      <c r="L13" s="59">
        <f t="shared" si="0"/>
        <v>-3.2999999999999972</v>
      </c>
      <c r="M13" s="72"/>
      <c r="N13" s="57" t="s">
        <v>30</v>
      </c>
      <c r="O13" s="58">
        <v>49.1</v>
      </c>
      <c r="P13" s="58">
        <v>48.8</v>
      </c>
      <c r="Q13" s="59">
        <v>0.30000000000000426</v>
      </c>
    </row>
    <row r="14" spans="9:17" ht="14.25" customHeight="1" x14ac:dyDescent="0.35">
      <c r="I14" s="57" t="s">
        <v>41</v>
      </c>
      <c r="J14" s="58">
        <f>Tabs!CH27</f>
        <v>47.1</v>
      </c>
      <c r="K14" s="58">
        <f>Tabs!CH26</f>
        <v>49.8</v>
      </c>
      <c r="L14" s="59">
        <f t="shared" si="0"/>
        <v>-2.6999999999999957</v>
      </c>
      <c r="M14" s="72"/>
      <c r="N14" s="57" t="s">
        <v>17</v>
      </c>
      <c r="O14" s="58">
        <v>53.5</v>
      </c>
      <c r="P14" s="58">
        <v>53.2</v>
      </c>
      <c r="Q14" s="59">
        <v>0.29999999999999716</v>
      </c>
    </row>
    <row r="15" spans="9:17" ht="14.25" customHeight="1" x14ac:dyDescent="0.35">
      <c r="I15" s="57" t="s">
        <v>21</v>
      </c>
      <c r="J15" s="58">
        <f>Tabs!AX27</f>
        <v>54.8</v>
      </c>
      <c r="K15" s="58">
        <f>Tabs!AX26</f>
        <v>54.5</v>
      </c>
      <c r="L15" s="59">
        <f t="shared" si="0"/>
        <v>0.29999999999999716</v>
      </c>
      <c r="M15" s="72"/>
      <c r="N15" s="57" t="s">
        <v>33</v>
      </c>
      <c r="O15" s="58">
        <v>49</v>
      </c>
      <c r="P15" s="58">
        <v>48.7</v>
      </c>
      <c r="Q15" s="59">
        <v>0.29999999999999716</v>
      </c>
    </row>
    <row r="16" spans="9:17" ht="14.25" customHeight="1" x14ac:dyDescent="0.35">
      <c r="I16" s="57" t="s">
        <v>15</v>
      </c>
      <c r="J16" s="58">
        <f>Tabs!B27</f>
        <v>52.2</v>
      </c>
      <c r="K16" s="58">
        <f>Tabs!B26</f>
        <v>52.7</v>
      </c>
      <c r="L16" s="59">
        <f t="shared" si="0"/>
        <v>-0.5</v>
      </c>
      <c r="M16" s="72"/>
      <c r="N16" s="57" t="s">
        <v>35</v>
      </c>
      <c r="O16" s="58">
        <v>55.3</v>
      </c>
      <c r="P16" s="58">
        <v>55.3</v>
      </c>
      <c r="Q16" s="59">
        <v>0</v>
      </c>
    </row>
    <row r="17" spans="9:17" ht="14.25" customHeight="1" x14ac:dyDescent="0.35">
      <c r="I17" s="57" t="s">
        <v>27</v>
      </c>
      <c r="J17" s="58">
        <f>Tabs!BJ27</f>
        <v>50.3</v>
      </c>
      <c r="K17" s="58">
        <f>Tabs!BJ26</f>
        <v>48.8</v>
      </c>
      <c r="L17" s="59">
        <f t="shared" si="0"/>
        <v>1.5</v>
      </c>
      <c r="M17" s="72"/>
      <c r="N17" s="57" t="s">
        <v>25</v>
      </c>
      <c r="O17" s="58">
        <v>49</v>
      </c>
      <c r="P17" s="58">
        <v>49</v>
      </c>
      <c r="Q17" s="59">
        <v>0</v>
      </c>
    </row>
    <row r="18" spans="9:17" ht="14.25" customHeight="1" x14ac:dyDescent="0.35">
      <c r="I18" s="57" t="s">
        <v>34</v>
      </c>
      <c r="J18" s="58">
        <f>Tabs!CD27</f>
        <v>55.2</v>
      </c>
      <c r="K18" s="58">
        <f>Tabs!CD26</f>
        <v>56.1</v>
      </c>
      <c r="L18" s="59">
        <f t="shared" si="0"/>
        <v>-0.89999999999999858</v>
      </c>
      <c r="M18" s="72"/>
      <c r="N18" s="57" t="s">
        <v>23</v>
      </c>
      <c r="O18" s="58">
        <v>48.4</v>
      </c>
      <c r="P18" s="58">
        <v>48.5</v>
      </c>
      <c r="Q18" s="59">
        <v>-0.10000000000000142</v>
      </c>
    </row>
    <row r="19" spans="9:17" ht="14.25" customHeight="1" x14ac:dyDescent="0.35">
      <c r="I19" s="57" t="s">
        <v>18</v>
      </c>
      <c r="J19" s="58">
        <f>Tabs!AT27</f>
        <v>51.7</v>
      </c>
      <c r="K19" s="58">
        <f>Tabs!AT26</f>
        <v>51.8</v>
      </c>
      <c r="L19" s="59">
        <f t="shared" si="0"/>
        <v>-9.9999999999994316E-2</v>
      </c>
      <c r="M19" s="72"/>
      <c r="N19" s="57" t="s">
        <v>31</v>
      </c>
      <c r="O19" s="58">
        <v>56.2</v>
      </c>
      <c r="P19" s="58">
        <v>56.6</v>
      </c>
      <c r="Q19" s="59">
        <v>-0.39999999999999858</v>
      </c>
    </row>
    <row r="20" spans="9:17" ht="14.25" customHeight="1" x14ac:dyDescent="0.35">
      <c r="I20" s="57" t="s">
        <v>28</v>
      </c>
      <c r="J20" s="58">
        <f>Tabs!BR27</f>
        <v>51.5</v>
      </c>
      <c r="K20" s="58">
        <f>Tabs!BR26</f>
        <v>50.7</v>
      </c>
      <c r="L20" s="59">
        <f t="shared" si="0"/>
        <v>0.79999999999999716</v>
      </c>
      <c r="M20" s="72"/>
      <c r="N20" s="57" t="s">
        <v>21</v>
      </c>
      <c r="O20" s="58">
        <v>52</v>
      </c>
      <c r="P20" s="58">
        <v>52.4</v>
      </c>
      <c r="Q20" s="59">
        <v>-0.39999999999999858</v>
      </c>
    </row>
    <row r="21" spans="9:17" ht="14.25" customHeight="1" x14ac:dyDescent="0.35">
      <c r="I21" s="57" t="s">
        <v>19</v>
      </c>
      <c r="J21" s="58">
        <f>Tabs!N27</f>
        <v>51.4</v>
      </c>
      <c r="K21" s="58">
        <f>Tabs!N26</f>
        <v>51.6</v>
      </c>
      <c r="L21" s="60">
        <f t="shared" si="0"/>
        <v>-0.20000000000000284</v>
      </c>
      <c r="M21" s="72"/>
      <c r="N21" s="57" t="s">
        <v>24</v>
      </c>
      <c r="O21" s="58">
        <v>48.7</v>
      </c>
      <c r="P21" s="58">
        <v>49.1</v>
      </c>
      <c r="Q21" s="60">
        <v>-0.39999999999999858</v>
      </c>
    </row>
    <row r="22" spans="9:17" ht="14.25" customHeight="1" x14ac:dyDescent="0.35">
      <c r="I22" s="57" t="s">
        <v>22</v>
      </c>
      <c r="J22" s="58">
        <f>Tabs!V27</f>
        <v>50.3</v>
      </c>
      <c r="K22" s="58">
        <f>Tabs!V26</f>
        <v>50.1</v>
      </c>
      <c r="L22" s="59">
        <f t="shared" si="0"/>
        <v>0.19999999999999574</v>
      </c>
      <c r="M22" s="72"/>
      <c r="N22" s="57" t="s">
        <v>15</v>
      </c>
      <c r="O22" s="58">
        <v>51.8</v>
      </c>
      <c r="P22" s="58">
        <v>52.2</v>
      </c>
      <c r="Q22" s="59">
        <v>-0.40000000000000568</v>
      </c>
    </row>
    <row r="23" spans="9:17" ht="14.25" customHeight="1" x14ac:dyDescent="0.35">
      <c r="I23" s="57" t="s">
        <v>30</v>
      </c>
      <c r="J23" s="58">
        <f>Tabs!AL27</f>
        <v>53.8</v>
      </c>
      <c r="K23" s="58">
        <f>Tabs!AL26</f>
        <v>53.3</v>
      </c>
      <c r="L23" s="59">
        <f t="shared" si="0"/>
        <v>0.5</v>
      </c>
      <c r="M23" s="72"/>
      <c r="N23" s="57" t="s">
        <v>19</v>
      </c>
      <c r="O23" s="58">
        <v>50.1</v>
      </c>
      <c r="P23" s="58">
        <v>50.6</v>
      </c>
      <c r="Q23" s="59">
        <v>-0.5</v>
      </c>
    </row>
    <row r="24" spans="9:17" ht="14.25" customHeight="1" x14ac:dyDescent="0.35">
      <c r="I24" s="57" t="s">
        <v>33</v>
      </c>
      <c r="J24" s="58">
        <f>Tabs!BV27</f>
        <v>52.1</v>
      </c>
      <c r="K24" s="58">
        <f>Tabs!BV26</f>
        <v>54.8</v>
      </c>
      <c r="L24" s="59">
        <f t="shared" si="0"/>
        <v>-2.6999999999999957</v>
      </c>
      <c r="M24" s="72"/>
      <c r="N24" s="57" t="s">
        <v>18</v>
      </c>
      <c r="O24" s="58">
        <v>50.3</v>
      </c>
      <c r="P24" s="58">
        <v>50.8</v>
      </c>
      <c r="Q24" s="59">
        <v>-0.5</v>
      </c>
    </row>
    <row r="25" spans="9:17" ht="14.25" customHeight="1" x14ac:dyDescent="0.35">
      <c r="I25" s="57" t="s">
        <v>25</v>
      </c>
      <c r="J25" s="58">
        <f>Tabs!AD27</f>
        <v>52.2</v>
      </c>
      <c r="K25" s="58">
        <f>Tabs!AD26</f>
        <v>52.9</v>
      </c>
      <c r="L25" s="59">
        <f t="shared" si="0"/>
        <v>-0.69999999999999574</v>
      </c>
      <c r="M25" s="72"/>
      <c r="N25" s="57" t="s">
        <v>34</v>
      </c>
      <c r="O25" s="58">
        <v>51.4</v>
      </c>
      <c r="P25" s="58">
        <v>52</v>
      </c>
      <c r="Q25" s="59">
        <v>-0.60000000000000142</v>
      </c>
    </row>
    <row r="26" spans="9:17" ht="14.25" customHeight="1" x14ac:dyDescent="0.35">
      <c r="I26" s="57" t="s">
        <v>24</v>
      </c>
      <c r="J26" s="58">
        <f>Tabs!BB27</f>
        <v>50.8</v>
      </c>
      <c r="K26" s="58">
        <f>Tabs!BB26</f>
        <v>49.1</v>
      </c>
      <c r="L26" s="59">
        <f t="shared" si="0"/>
        <v>1.6999999999999957</v>
      </c>
      <c r="M26" s="72"/>
      <c r="N26" s="57" t="s">
        <v>16</v>
      </c>
      <c r="O26" s="58">
        <v>54.8</v>
      </c>
      <c r="P26" s="58">
        <v>55.9</v>
      </c>
      <c r="Q26" s="59">
        <v>-1.1000000000000014</v>
      </c>
    </row>
    <row r="27" spans="9:17" ht="14.25" customHeight="1" x14ac:dyDescent="0.35">
      <c r="I27" s="57" t="s">
        <v>23</v>
      </c>
      <c r="J27" s="58">
        <f>Tabs!Z27</f>
        <v>51.2</v>
      </c>
      <c r="K27" s="58">
        <f>Tabs!Z26</f>
        <v>49.7</v>
      </c>
      <c r="L27" s="59">
        <f t="shared" si="0"/>
        <v>1.5</v>
      </c>
      <c r="M27" s="72"/>
      <c r="N27" s="57" t="s">
        <v>32</v>
      </c>
      <c r="O27" s="58">
        <v>48</v>
      </c>
      <c r="P27" s="58">
        <v>49.2</v>
      </c>
      <c r="Q27" s="59">
        <v>-1.2000000000000028</v>
      </c>
    </row>
    <row r="28" spans="9:17" ht="14.25" customHeight="1" x14ac:dyDescent="0.35">
      <c r="I28" s="61" t="s">
        <v>32</v>
      </c>
      <c r="J28" s="62">
        <f>Tabs!BZ27</f>
        <v>46.9</v>
      </c>
      <c r="K28" s="62">
        <f>Tabs!BZ26</f>
        <v>50</v>
      </c>
      <c r="L28" s="63">
        <f t="shared" si="0"/>
        <v>-3.1000000000000014</v>
      </c>
      <c r="M28" s="72"/>
      <c r="N28" s="61" t="s">
        <v>22</v>
      </c>
      <c r="O28" s="62">
        <v>49.5</v>
      </c>
      <c r="P28" s="62">
        <v>51.4</v>
      </c>
      <c r="Q28" s="63">
        <v>-1.8999999999999986</v>
      </c>
    </row>
    <row r="29" spans="9:17" ht="14.25" customHeight="1" x14ac:dyDescent="0.35">
      <c r="M29" s="70"/>
      <c r="N29" s="6"/>
      <c r="O29" s="6"/>
      <c r="P29" s="19"/>
    </row>
    <row r="30" spans="9:17" ht="14.25" customHeight="1" x14ac:dyDescent="0.35">
      <c r="M30" s="70"/>
      <c r="N30" s="6"/>
      <c r="O30" s="6"/>
      <c r="P30" s="19"/>
    </row>
    <row r="31" spans="9:17" ht="14.25" customHeight="1" x14ac:dyDescent="0.35">
      <c r="M31" s="70"/>
      <c r="N31" s="6"/>
      <c r="O31" s="6"/>
      <c r="P31" s="19"/>
    </row>
    <row r="32" spans="9:17" ht="14.25" customHeight="1" x14ac:dyDescent="0.35">
      <c r="M32" s="70"/>
      <c r="N32" s="6"/>
      <c r="O32" s="6"/>
      <c r="P32" s="19"/>
    </row>
    <row r="33" spans="13:16" ht="14.25" customHeight="1" x14ac:dyDescent="0.35">
      <c r="M33" s="70"/>
      <c r="N33" s="6"/>
      <c r="O33" s="6"/>
      <c r="P33" s="19"/>
    </row>
    <row r="34" spans="13:16" ht="14.25" customHeight="1" x14ac:dyDescent="0.35">
      <c r="M34" s="70"/>
      <c r="N34" s="6"/>
      <c r="O34" s="6"/>
      <c r="P34" s="19"/>
    </row>
  </sheetData>
  <sortState xmlns:xlrd2="http://schemas.microsoft.com/office/spreadsheetml/2017/richdata2" ref="M5:P34">
    <sortCondition descending="1" ref="P5"/>
  </sortState>
  <mergeCells count="2">
    <mergeCell ref="I3:L3"/>
    <mergeCell ref="N3:Q3"/>
  </mergeCells>
  <conditionalFormatting sqref="J5:K28">
    <cfRule type="colorScale" priority="524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L5:L28">
    <cfRule type="colorScale" priority="522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N29:O34">
    <cfRule type="colorScale" priority="5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O5:P28">
    <cfRule type="colorScale" priority="2">
      <colorScale>
        <cfvo type="min"/>
        <cfvo type="num" val="50"/>
        <cfvo type="max"/>
        <color rgb="FFF8696B"/>
        <color rgb="FFFFEB84"/>
        <color rgb="FF63BE7B"/>
      </colorScale>
    </cfRule>
  </conditionalFormatting>
  <conditionalFormatting sqref="P29:P34">
    <cfRule type="colorScale" priority="6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Q5:Q28">
    <cfRule type="colorScale" priority="1">
      <colorScale>
        <cfvo type="min"/>
        <cfvo type="num" val="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"/>
  <dimension ref="A1:W233"/>
  <sheetViews>
    <sheetView topLeftCell="A35" workbookViewId="0">
      <selection activeCell="A50" sqref="A50"/>
    </sheetView>
  </sheetViews>
  <sheetFormatPr defaultRowHeight="14.5" x14ac:dyDescent="0.35"/>
  <cols>
    <col min="2" max="2" width="15.453125" bestFit="1" customWidth="1"/>
    <col min="5" max="5" width="21.453125" bestFit="1" customWidth="1"/>
    <col min="10" max="10" width="10.453125" bestFit="1" customWidth="1"/>
    <col min="11" max="11" width="11.08984375" customWidth="1"/>
    <col min="12" max="12" width="12.54296875" customWidth="1"/>
  </cols>
  <sheetData>
    <row r="1" spans="1:12" ht="15" thickBot="1" x14ac:dyDescent="0.4">
      <c r="C1" s="65">
        <v>41944</v>
      </c>
      <c r="E1" s="89" t="s">
        <v>145</v>
      </c>
      <c r="F1" s="89" t="s">
        <v>138</v>
      </c>
      <c r="G1" s="89" t="s">
        <v>80</v>
      </c>
      <c r="H1" s="89" t="s">
        <v>139</v>
      </c>
      <c r="I1" s="89" t="s">
        <v>140</v>
      </c>
      <c r="J1" s="89" t="s">
        <v>141</v>
      </c>
      <c r="K1" s="89" t="s">
        <v>142</v>
      </c>
      <c r="L1" s="89" t="s">
        <v>143</v>
      </c>
    </row>
    <row r="2" spans="1:12" ht="15.5" thickTop="1" thickBot="1" x14ac:dyDescent="0.4">
      <c r="A2" t="s">
        <v>16</v>
      </c>
      <c r="B2" t="s">
        <v>87</v>
      </c>
      <c r="C2">
        <f t="shared" ref="C2:C24" si="0">IF(VLOOKUP(B2,$E$2:$L$49,7,FALSE)=$C$1,VLOOKUP(B2,$E$2:$L$49,2,FALSE),"")</f>
        <v>54.8</v>
      </c>
      <c r="E2" t="s">
        <v>28</v>
      </c>
      <c r="F2" s="73">
        <v>50.1</v>
      </c>
      <c r="G2" s="74">
        <v>49.42</v>
      </c>
      <c r="H2" s="85">
        <v>62.13</v>
      </c>
      <c r="I2" s="85">
        <v>30.86</v>
      </c>
      <c r="J2" s="85"/>
      <c r="K2" s="86">
        <v>41944</v>
      </c>
      <c r="L2" s="85" t="s">
        <v>126</v>
      </c>
    </row>
    <row r="3" spans="1:12" ht="15" thickBot="1" x14ac:dyDescent="0.4">
      <c r="A3" t="s">
        <v>101</v>
      </c>
      <c r="B3" t="s">
        <v>35</v>
      </c>
      <c r="C3">
        <f t="shared" si="0"/>
        <v>55.3</v>
      </c>
      <c r="E3" t="s">
        <v>127</v>
      </c>
      <c r="F3" s="73">
        <v>47.4</v>
      </c>
      <c r="G3" s="74">
        <v>46.9</v>
      </c>
      <c r="H3" s="85">
        <v>54.3</v>
      </c>
      <c r="I3" s="85">
        <v>46.9</v>
      </c>
      <c r="J3" s="85"/>
      <c r="K3" s="86">
        <v>41944</v>
      </c>
      <c r="L3" s="85" t="s">
        <v>126</v>
      </c>
    </row>
    <row r="4" spans="1:12" ht="15" thickBot="1" x14ac:dyDescent="0.4">
      <c r="A4" t="s">
        <v>17</v>
      </c>
      <c r="B4" t="s">
        <v>83</v>
      </c>
      <c r="C4">
        <f t="shared" si="0"/>
        <v>53.5</v>
      </c>
      <c r="E4" t="s">
        <v>24</v>
      </c>
      <c r="F4" s="73">
        <v>48.7</v>
      </c>
      <c r="G4" s="74">
        <v>49.1</v>
      </c>
      <c r="H4" s="85">
        <v>53.2</v>
      </c>
      <c r="I4" s="85">
        <v>48.5</v>
      </c>
      <c r="J4" s="85"/>
      <c r="K4" s="86">
        <v>41944</v>
      </c>
      <c r="L4" s="85" t="s">
        <v>126</v>
      </c>
    </row>
    <row r="5" spans="1:12" ht="15" thickBot="1" x14ac:dyDescent="0.4">
      <c r="A5" t="s">
        <v>102</v>
      </c>
      <c r="B5" t="s">
        <v>130</v>
      </c>
      <c r="C5">
        <f t="shared" si="0"/>
        <v>50.1</v>
      </c>
      <c r="E5" t="s">
        <v>35</v>
      </c>
      <c r="F5" s="73">
        <v>55.3</v>
      </c>
      <c r="G5" s="74">
        <v>55.3</v>
      </c>
      <c r="H5" s="85">
        <v>56.3</v>
      </c>
      <c r="I5" s="85">
        <v>49.3</v>
      </c>
      <c r="J5" s="85"/>
      <c r="K5" s="86">
        <v>41944</v>
      </c>
      <c r="L5" s="85" t="s">
        <v>126</v>
      </c>
    </row>
    <row r="6" spans="1:12" ht="15" thickBot="1" x14ac:dyDescent="0.4">
      <c r="A6" t="s">
        <v>103</v>
      </c>
      <c r="B6" t="s">
        <v>22</v>
      </c>
      <c r="C6">
        <f t="shared" si="0"/>
        <v>49.5</v>
      </c>
      <c r="E6" t="s">
        <v>85</v>
      </c>
      <c r="F6" s="73">
        <v>50.3</v>
      </c>
      <c r="G6" s="74">
        <v>50.8</v>
      </c>
      <c r="H6" s="87">
        <v>63.4</v>
      </c>
      <c r="I6" s="87">
        <v>38.799999999999997</v>
      </c>
      <c r="J6" s="87"/>
      <c r="K6" s="88">
        <v>41944</v>
      </c>
      <c r="L6" s="87" t="s">
        <v>126</v>
      </c>
    </row>
    <row r="7" spans="1:12" ht="15" thickBot="1" x14ac:dyDescent="0.4">
      <c r="A7" t="s">
        <v>104</v>
      </c>
      <c r="B7" t="s">
        <v>23</v>
      </c>
      <c r="C7">
        <f t="shared" si="0"/>
        <v>48.4</v>
      </c>
      <c r="E7" t="s">
        <v>128</v>
      </c>
      <c r="F7" s="73">
        <v>55.6</v>
      </c>
      <c r="G7" s="74">
        <v>54.4</v>
      </c>
      <c r="H7" s="85">
        <v>57.3</v>
      </c>
      <c r="I7" s="85">
        <v>46</v>
      </c>
      <c r="J7" s="85"/>
      <c r="K7" s="86">
        <v>41944</v>
      </c>
      <c r="L7" s="85" t="s">
        <v>126</v>
      </c>
    </row>
    <row r="8" spans="1:12" ht="15" thickBot="1" x14ac:dyDescent="0.4">
      <c r="A8" t="s">
        <v>105</v>
      </c>
      <c r="B8" t="s">
        <v>84</v>
      </c>
      <c r="C8">
        <f t="shared" si="0"/>
        <v>49</v>
      </c>
      <c r="E8" t="s">
        <v>129</v>
      </c>
      <c r="F8" s="73">
        <v>51</v>
      </c>
      <c r="G8" s="74">
        <v>52.4</v>
      </c>
      <c r="H8" s="85">
        <v>52.5</v>
      </c>
      <c r="I8" s="85">
        <v>37.1</v>
      </c>
      <c r="J8" s="85"/>
      <c r="K8" s="86">
        <v>41913</v>
      </c>
      <c r="L8" s="85" t="s">
        <v>126</v>
      </c>
    </row>
    <row r="9" spans="1:12" ht="15" thickBot="1" x14ac:dyDescent="0.4">
      <c r="A9" t="s">
        <v>106</v>
      </c>
      <c r="B9" t="s">
        <v>26</v>
      </c>
      <c r="C9">
        <f t="shared" si="0"/>
        <v>54.7</v>
      </c>
      <c r="E9" t="s">
        <v>130</v>
      </c>
      <c r="F9" s="73">
        <v>50.1</v>
      </c>
      <c r="G9" s="74">
        <v>50.6</v>
      </c>
      <c r="H9" s="85">
        <v>59</v>
      </c>
      <c r="I9" s="85">
        <v>33.5</v>
      </c>
      <c r="J9" s="85"/>
      <c r="K9" s="86">
        <v>41944</v>
      </c>
      <c r="L9" s="85" t="s">
        <v>126</v>
      </c>
    </row>
    <row r="10" spans="1:12" ht="15" thickBot="1" x14ac:dyDescent="0.4">
      <c r="A10" t="s">
        <v>107</v>
      </c>
      <c r="B10" t="s">
        <v>30</v>
      </c>
      <c r="C10">
        <f t="shared" si="0"/>
        <v>49.1</v>
      </c>
      <c r="E10" t="s">
        <v>23</v>
      </c>
      <c r="F10" s="73">
        <v>48.4</v>
      </c>
      <c r="G10" s="74">
        <v>48.5</v>
      </c>
      <c r="H10" s="85">
        <v>57.5</v>
      </c>
      <c r="I10" s="85">
        <v>42.7</v>
      </c>
      <c r="J10" s="85"/>
      <c r="K10" s="86">
        <v>41944</v>
      </c>
      <c r="L10" s="85" t="s">
        <v>126</v>
      </c>
    </row>
    <row r="11" spans="1:12" ht="15" thickBot="1" x14ac:dyDescent="0.4">
      <c r="A11" t="s">
        <v>108</v>
      </c>
      <c r="B11" t="s">
        <v>31</v>
      </c>
      <c r="C11">
        <f t="shared" si="0"/>
        <v>56.2</v>
      </c>
      <c r="E11" t="s">
        <v>22</v>
      </c>
      <c r="F11" s="73">
        <v>49.5</v>
      </c>
      <c r="G11" s="74">
        <v>51.4</v>
      </c>
      <c r="H11" s="85">
        <v>62.7</v>
      </c>
      <c r="I11" s="85">
        <v>32</v>
      </c>
      <c r="J11" s="85"/>
      <c r="K11" s="86">
        <v>41944</v>
      </c>
      <c r="L11" s="85" t="s">
        <v>126</v>
      </c>
    </row>
    <row r="12" spans="1:12" ht="15" thickBot="1" x14ac:dyDescent="0.4">
      <c r="A12" t="s">
        <v>109</v>
      </c>
      <c r="B12" t="s">
        <v>85</v>
      </c>
      <c r="C12">
        <f t="shared" si="0"/>
        <v>50.3</v>
      </c>
      <c r="E12" t="s">
        <v>30</v>
      </c>
      <c r="F12" s="73">
        <v>49.1</v>
      </c>
      <c r="G12" s="74">
        <v>48.8</v>
      </c>
      <c r="H12" s="85">
        <v>51.3</v>
      </c>
      <c r="I12" s="85">
        <v>37.700000000000003</v>
      </c>
      <c r="J12" s="85"/>
      <c r="K12" s="86">
        <v>41944</v>
      </c>
      <c r="L12" s="85" t="s">
        <v>126</v>
      </c>
    </row>
    <row r="13" spans="1:12" ht="15" thickBot="1" x14ac:dyDescent="0.4">
      <c r="A13" t="s">
        <v>110</v>
      </c>
      <c r="B13" t="s">
        <v>86</v>
      </c>
      <c r="C13">
        <f t="shared" si="0"/>
        <v>52</v>
      </c>
      <c r="E13" t="s">
        <v>131</v>
      </c>
      <c r="F13" s="73">
        <v>47.7</v>
      </c>
      <c r="G13" s="74">
        <v>49.8</v>
      </c>
      <c r="H13" s="85">
        <v>53.3</v>
      </c>
      <c r="I13" s="85">
        <v>47.7</v>
      </c>
      <c r="J13" s="85"/>
      <c r="K13" s="86">
        <v>41913</v>
      </c>
      <c r="L13" s="85" t="s">
        <v>126</v>
      </c>
    </row>
    <row r="14" spans="1:12" ht="15" thickBot="1" x14ac:dyDescent="0.4">
      <c r="A14" t="s">
        <v>111</v>
      </c>
      <c r="B14" t="s">
        <v>24</v>
      </c>
      <c r="C14">
        <f t="shared" si="0"/>
        <v>48.7</v>
      </c>
      <c r="E14" t="s">
        <v>44</v>
      </c>
      <c r="F14" s="73">
        <v>53.3</v>
      </c>
      <c r="G14" s="74">
        <v>51.6</v>
      </c>
      <c r="H14" s="85">
        <v>55</v>
      </c>
      <c r="I14" s="85">
        <v>48.5</v>
      </c>
      <c r="J14" s="85"/>
      <c r="K14" s="86">
        <v>41944</v>
      </c>
      <c r="L14" s="85" t="s">
        <v>126</v>
      </c>
    </row>
    <row r="15" spans="1:12" ht="15" thickBot="1" x14ac:dyDescent="0.4">
      <c r="A15" t="s">
        <v>112</v>
      </c>
      <c r="B15" t="s">
        <v>44</v>
      </c>
      <c r="C15">
        <f t="shared" si="0"/>
        <v>53.3</v>
      </c>
      <c r="E15" t="s">
        <v>32</v>
      </c>
      <c r="F15" s="73">
        <v>48</v>
      </c>
      <c r="G15" s="74">
        <v>49.2</v>
      </c>
      <c r="H15" s="85">
        <v>58.5</v>
      </c>
      <c r="I15" s="85">
        <v>49.5</v>
      </c>
      <c r="J15" s="85"/>
      <c r="K15" s="86">
        <v>41944</v>
      </c>
      <c r="L15" s="85" t="s">
        <v>126</v>
      </c>
    </row>
    <row r="16" spans="1:12" ht="15" thickBot="1" x14ac:dyDescent="0.4">
      <c r="A16" t="s">
        <v>113</v>
      </c>
      <c r="B16" t="s">
        <v>27</v>
      </c>
      <c r="C16">
        <f t="shared" si="0"/>
        <v>51.7</v>
      </c>
      <c r="E16" t="s">
        <v>31</v>
      </c>
      <c r="F16" s="73">
        <v>56.2</v>
      </c>
      <c r="G16" s="74">
        <v>56.6</v>
      </c>
      <c r="H16" s="85">
        <v>57.3</v>
      </c>
      <c r="I16" s="85">
        <v>48</v>
      </c>
      <c r="J16" s="85"/>
      <c r="K16" s="86">
        <v>41944</v>
      </c>
      <c r="L16" s="85" t="s">
        <v>126</v>
      </c>
    </row>
    <row r="17" spans="1:12" ht="15" thickBot="1" x14ac:dyDescent="0.4">
      <c r="A17" t="s">
        <v>114</v>
      </c>
      <c r="B17" t="s">
        <v>29</v>
      </c>
      <c r="C17">
        <f t="shared" si="0"/>
        <v>54.3</v>
      </c>
      <c r="E17" t="s">
        <v>84</v>
      </c>
      <c r="F17" s="73">
        <v>49</v>
      </c>
      <c r="G17" s="74">
        <v>49</v>
      </c>
      <c r="H17" s="85">
        <v>54.9</v>
      </c>
      <c r="I17" s="85">
        <v>48</v>
      </c>
      <c r="J17" s="85"/>
      <c r="K17" s="86">
        <v>41944</v>
      </c>
      <c r="L17" s="85" t="s">
        <v>126</v>
      </c>
    </row>
    <row r="18" spans="1:12" ht="15" thickBot="1" x14ac:dyDescent="0.4">
      <c r="A18" t="s">
        <v>115</v>
      </c>
      <c r="B18" t="s">
        <v>28</v>
      </c>
      <c r="C18">
        <f t="shared" si="0"/>
        <v>50.1</v>
      </c>
      <c r="E18" t="s">
        <v>86</v>
      </c>
      <c r="F18" s="73">
        <v>52</v>
      </c>
      <c r="G18" s="74">
        <v>52.4</v>
      </c>
      <c r="H18" s="85">
        <v>56.2</v>
      </c>
      <c r="I18" s="85">
        <v>29.6</v>
      </c>
      <c r="J18" s="85"/>
      <c r="K18" s="86">
        <v>41944</v>
      </c>
      <c r="L18" s="85" t="s">
        <v>126</v>
      </c>
    </row>
    <row r="19" spans="1:12" ht="15" thickBot="1" x14ac:dyDescent="0.4">
      <c r="A19" t="s">
        <v>116</v>
      </c>
      <c r="B19" t="s">
        <v>135</v>
      </c>
      <c r="C19">
        <f t="shared" si="0"/>
        <v>49</v>
      </c>
      <c r="E19" t="s">
        <v>29</v>
      </c>
      <c r="F19" s="73">
        <v>54.3</v>
      </c>
      <c r="G19" s="74">
        <v>53.3</v>
      </c>
      <c r="H19" s="85">
        <v>57.1</v>
      </c>
      <c r="I19" s="85">
        <v>49.7</v>
      </c>
      <c r="J19" s="85"/>
      <c r="K19" s="86">
        <v>41944</v>
      </c>
      <c r="L19" s="85" t="s">
        <v>126</v>
      </c>
    </row>
    <row r="20" spans="1:12" ht="15" thickBot="1" x14ac:dyDescent="0.4">
      <c r="A20" t="s">
        <v>117</v>
      </c>
      <c r="B20" t="s">
        <v>32</v>
      </c>
      <c r="C20">
        <f t="shared" si="0"/>
        <v>48</v>
      </c>
      <c r="E20" t="s">
        <v>149</v>
      </c>
      <c r="F20" s="73">
        <v>54.6</v>
      </c>
      <c r="G20" s="74">
        <v>53</v>
      </c>
      <c r="H20" s="85">
        <v>57</v>
      </c>
      <c r="I20" s="85">
        <v>48</v>
      </c>
      <c r="J20" s="85"/>
      <c r="K20" s="86">
        <v>41944</v>
      </c>
      <c r="L20" s="85" t="s">
        <v>126</v>
      </c>
    </row>
    <row r="21" spans="1:12" ht="15" thickBot="1" x14ac:dyDescent="0.4">
      <c r="A21" t="s">
        <v>118</v>
      </c>
      <c r="B21" t="s">
        <v>34</v>
      </c>
      <c r="C21">
        <f t="shared" si="0"/>
        <v>51.4</v>
      </c>
      <c r="E21" t="s">
        <v>150</v>
      </c>
      <c r="F21" s="73">
        <v>59.26</v>
      </c>
      <c r="G21" s="74">
        <v>58.5</v>
      </c>
      <c r="H21" s="85">
        <v>62.77</v>
      </c>
      <c r="I21" s="85">
        <v>35.979999999999997</v>
      </c>
      <c r="J21" s="85"/>
      <c r="K21" s="86">
        <v>41913</v>
      </c>
      <c r="L21" s="85" t="s">
        <v>126</v>
      </c>
    </row>
    <row r="22" spans="1:12" ht="15" thickBot="1" x14ac:dyDescent="0.4">
      <c r="A22" t="s">
        <v>119</v>
      </c>
      <c r="B22" t="s">
        <v>41</v>
      </c>
      <c r="C22">
        <f t="shared" si="0"/>
        <v>52.2</v>
      </c>
      <c r="E22" t="s">
        <v>40</v>
      </c>
      <c r="F22" s="73">
        <v>51.3</v>
      </c>
      <c r="G22" s="74">
        <v>50.8</v>
      </c>
      <c r="H22" s="85">
        <v>65.3</v>
      </c>
      <c r="I22" s="85">
        <v>35.200000000000003</v>
      </c>
      <c r="J22" s="85"/>
      <c r="K22" s="86">
        <v>41944</v>
      </c>
      <c r="L22" s="85" t="s">
        <v>126</v>
      </c>
    </row>
    <row r="23" spans="1:12" ht="15" thickBot="1" x14ac:dyDescent="0.4">
      <c r="A23" t="s">
        <v>120</v>
      </c>
      <c r="B23" t="s">
        <v>128</v>
      </c>
      <c r="C23">
        <f t="shared" si="0"/>
        <v>55.6</v>
      </c>
      <c r="E23" t="s">
        <v>42</v>
      </c>
      <c r="F23" s="73">
        <v>53.2</v>
      </c>
      <c r="G23" s="74">
        <v>51.2</v>
      </c>
      <c r="H23" s="85">
        <v>55.9</v>
      </c>
      <c r="I23" s="85">
        <v>46.9</v>
      </c>
      <c r="J23" s="85"/>
      <c r="K23" s="86">
        <v>41944</v>
      </c>
      <c r="L23" s="85" t="s">
        <v>126</v>
      </c>
    </row>
    <row r="24" spans="1:12" ht="15" thickBot="1" x14ac:dyDescent="0.4">
      <c r="A24" t="s">
        <v>121</v>
      </c>
      <c r="B24" t="s">
        <v>42</v>
      </c>
      <c r="C24">
        <f t="shared" si="0"/>
        <v>53.2</v>
      </c>
      <c r="E24" t="s">
        <v>27</v>
      </c>
      <c r="F24" s="73">
        <v>51.7</v>
      </c>
      <c r="G24" s="74">
        <v>50.3</v>
      </c>
      <c r="H24" s="85">
        <v>53.2</v>
      </c>
      <c r="I24" s="85">
        <v>48</v>
      </c>
      <c r="J24" s="85"/>
      <c r="K24" s="86">
        <v>41944</v>
      </c>
      <c r="L24" s="85" t="s">
        <v>126</v>
      </c>
    </row>
    <row r="25" spans="1:12" ht="15" thickBot="1" x14ac:dyDescent="0.4">
      <c r="E25" t="s">
        <v>132</v>
      </c>
      <c r="F25" s="73">
        <v>59.1</v>
      </c>
      <c r="G25" s="74">
        <v>61.8</v>
      </c>
      <c r="H25" s="85">
        <v>61.8</v>
      </c>
      <c r="I25" s="85">
        <v>56.6</v>
      </c>
      <c r="J25" s="85"/>
      <c r="K25" s="86">
        <v>41913</v>
      </c>
      <c r="L25" s="85" t="s">
        <v>126</v>
      </c>
    </row>
    <row r="26" spans="1:12" ht="15" thickBot="1" x14ac:dyDescent="0.4">
      <c r="E26" t="s">
        <v>133</v>
      </c>
      <c r="F26" s="73">
        <v>51.8</v>
      </c>
      <c r="G26" s="74">
        <v>51.9</v>
      </c>
      <c r="H26" s="85">
        <v>51.9</v>
      </c>
      <c r="I26" s="85">
        <v>48.3</v>
      </c>
      <c r="J26" s="85"/>
      <c r="K26" s="86">
        <v>41944</v>
      </c>
      <c r="L26" s="85" t="s">
        <v>126</v>
      </c>
    </row>
    <row r="27" spans="1:12" ht="15" thickBot="1" x14ac:dyDescent="0.4">
      <c r="E27" t="s">
        <v>134</v>
      </c>
      <c r="F27" s="73">
        <v>50.1</v>
      </c>
      <c r="G27" s="74">
        <v>50.07</v>
      </c>
      <c r="H27" s="85">
        <v>63.71</v>
      </c>
      <c r="I27" s="85">
        <v>34.11</v>
      </c>
      <c r="J27" s="85"/>
      <c r="K27" s="86">
        <v>41944</v>
      </c>
      <c r="L27" s="85" t="s">
        <v>126</v>
      </c>
    </row>
    <row r="28" spans="1:12" ht="15" thickBot="1" x14ac:dyDescent="0.4">
      <c r="E28" t="s">
        <v>135</v>
      </c>
      <c r="F28" s="73">
        <v>49</v>
      </c>
      <c r="G28" s="74">
        <v>48.7</v>
      </c>
      <c r="H28" s="85">
        <v>52.6</v>
      </c>
      <c r="I28" s="85">
        <v>45.7</v>
      </c>
      <c r="J28" s="85"/>
      <c r="K28" s="86">
        <v>41944</v>
      </c>
      <c r="L28" s="85" t="s">
        <v>126</v>
      </c>
    </row>
    <row r="29" spans="1:12" ht="15" thickBot="1" x14ac:dyDescent="0.4">
      <c r="E29" t="s">
        <v>26</v>
      </c>
      <c r="F29" s="73">
        <v>54.7</v>
      </c>
      <c r="G29" s="74">
        <v>52.6</v>
      </c>
      <c r="H29" s="85">
        <v>54.7</v>
      </c>
      <c r="I29" s="85">
        <v>41.1</v>
      </c>
      <c r="J29" s="85"/>
      <c r="K29" s="86">
        <v>41944</v>
      </c>
      <c r="L29" s="85" t="s">
        <v>126</v>
      </c>
    </row>
    <row r="30" spans="1:12" ht="15" thickBot="1" x14ac:dyDescent="0.4">
      <c r="E30" t="s">
        <v>38</v>
      </c>
      <c r="F30" s="73">
        <v>52.7</v>
      </c>
      <c r="G30" s="74">
        <v>52.1</v>
      </c>
      <c r="H30" s="85">
        <v>71.400000000000006</v>
      </c>
      <c r="I30" s="85">
        <v>32.700000000000003</v>
      </c>
      <c r="J30" s="85"/>
      <c r="K30" s="86">
        <v>41944</v>
      </c>
      <c r="L30" s="85" t="s">
        <v>126</v>
      </c>
    </row>
    <row r="31" spans="1:12" ht="15" thickBot="1" x14ac:dyDescent="0.4">
      <c r="E31" t="s">
        <v>136</v>
      </c>
      <c r="F31" s="73">
        <v>52.1</v>
      </c>
      <c r="G31" s="74">
        <v>55.3</v>
      </c>
      <c r="H31" s="85">
        <v>66.900000000000006</v>
      </c>
      <c r="I31" s="85">
        <v>32.6</v>
      </c>
      <c r="J31" s="85"/>
      <c r="K31" s="86">
        <v>41944</v>
      </c>
      <c r="L31" s="85" t="s">
        <v>126</v>
      </c>
    </row>
    <row r="32" spans="1:12" ht="15" thickBot="1" x14ac:dyDescent="0.4">
      <c r="E32" t="s">
        <v>34</v>
      </c>
      <c r="F32" s="73">
        <v>51.4</v>
      </c>
      <c r="G32" s="74">
        <v>52</v>
      </c>
      <c r="H32" s="85">
        <v>56.1</v>
      </c>
      <c r="I32" s="85">
        <v>45.6</v>
      </c>
      <c r="J32" s="85"/>
      <c r="K32" s="86">
        <v>41944</v>
      </c>
      <c r="L32" s="85" t="s">
        <v>126</v>
      </c>
    </row>
    <row r="33" spans="5:12" ht="15" thickBot="1" x14ac:dyDescent="0.4">
      <c r="E33" t="s">
        <v>41</v>
      </c>
      <c r="F33" s="73">
        <v>52.2</v>
      </c>
      <c r="G33" s="74">
        <v>51.5</v>
      </c>
      <c r="H33" s="85">
        <v>55</v>
      </c>
      <c r="I33" s="85">
        <v>48.5</v>
      </c>
      <c r="J33" s="85"/>
      <c r="K33" s="86">
        <v>41944</v>
      </c>
      <c r="L33" s="85" t="s">
        <v>126</v>
      </c>
    </row>
    <row r="34" spans="5:12" ht="15" thickBot="1" x14ac:dyDescent="0.4">
      <c r="E34" t="s">
        <v>137</v>
      </c>
      <c r="F34" s="73">
        <v>61.2</v>
      </c>
      <c r="G34" s="74">
        <v>57.6</v>
      </c>
      <c r="H34" s="85">
        <v>61.2</v>
      </c>
      <c r="I34" s="85">
        <v>51.7</v>
      </c>
      <c r="J34" s="85"/>
      <c r="K34" s="86">
        <v>41913</v>
      </c>
      <c r="L34" s="85" t="s">
        <v>126</v>
      </c>
    </row>
    <row r="35" spans="5:12" ht="15" thickBot="1" x14ac:dyDescent="0.4">
      <c r="E35" t="s">
        <v>83</v>
      </c>
      <c r="F35" s="73">
        <v>53.5</v>
      </c>
      <c r="G35" s="74">
        <v>53.3</v>
      </c>
      <c r="H35" s="85">
        <v>61.5</v>
      </c>
      <c r="I35" s="85">
        <v>34.4</v>
      </c>
      <c r="J35" s="85"/>
      <c r="K35" s="86">
        <v>41944</v>
      </c>
      <c r="L35" s="85" t="s">
        <v>126</v>
      </c>
    </row>
    <row r="36" spans="5:12" ht="15" thickBot="1" x14ac:dyDescent="0.4">
      <c r="E36" t="s">
        <v>87</v>
      </c>
      <c r="F36" s="73">
        <v>54.8</v>
      </c>
      <c r="G36" s="74">
        <v>55.9</v>
      </c>
      <c r="H36" s="85">
        <v>57.9</v>
      </c>
      <c r="I36" s="85">
        <v>51</v>
      </c>
      <c r="J36" s="85"/>
      <c r="K36" s="86">
        <v>41944</v>
      </c>
      <c r="L36" s="85" t="s">
        <v>126</v>
      </c>
    </row>
    <row r="37" spans="5:12" ht="15" thickBot="1" x14ac:dyDescent="0.4">
      <c r="E37" t="s">
        <v>151</v>
      </c>
      <c r="F37" s="73">
        <v>51</v>
      </c>
      <c r="G37" s="74">
        <v>51.7</v>
      </c>
      <c r="H37" s="85">
        <v>53.1</v>
      </c>
      <c r="I37" s="85">
        <v>43.6</v>
      </c>
      <c r="J37" s="85"/>
      <c r="K37" s="86">
        <v>41913</v>
      </c>
      <c r="L37" s="85" t="s">
        <v>126</v>
      </c>
    </row>
    <row r="50" spans="1:23" ht="15" thickBot="1" x14ac:dyDescent="0.4">
      <c r="A50" t="s">
        <v>318</v>
      </c>
      <c r="N50" t="s">
        <v>323</v>
      </c>
      <c r="O50" t="s">
        <v>319</v>
      </c>
    </row>
    <row r="51" spans="1:23" ht="29" thickBot="1" x14ac:dyDescent="0.4">
      <c r="A51" s="131" t="s">
        <v>145</v>
      </c>
      <c r="B51" s="130" t="s">
        <v>154</v>
      </c>
      <c r="C51" s="130" t="s">
        <v>155</v>
      </c>
      <c r="D51" s="130" t="s">
        <v>156</v>
      </c>
      <c r="E51" s="130" t="s">
        <v>157</v>
      </c>
      <c r="F51" s="130" t="s">
        <v>158</v>
      </c>
      <c r="G51" s="130" t="s">
        <v>159</v>
      </c>
      <c r="H51" s="130" t="s">
        <v>160</v>
      </c>
      <c r="I51" s="130" t="s">
        <v>161</v>
      </c>
      <c r="J51" s="130" t="s">
        <v>162</v>
      </c>
      <c r="K51" s="130" t="s">
        <v>163</v>
      </c>
      <c r="L51" s="130" t="s">
        <v>164</v>
      </c>
      <c r="O51" s="89" t="s">
        <v>145</v>
      </c>
      <c r="P51" s="89" t="s">
        <v>138</v>
      </c>
      <c r="Q51" s="89" t="s">
        <v>80</v>
      </c>
      <c r="R51" s="89" t="s">
        <v>139</v>
      </c>
      <c r="S51" s="89" t="s">
        <v>140</v>
      </c>
      <c r="T51" s="89" t="s">
        <v>141</v>
      </c>
      <c r="U51" s="89" t="s">
        <v>142</v>
      </c>
      <c r="V51" s="89" t="s">
        <v>143</v>
      </c>
      <c r="W51" s="89"/>
    </row>
    <row r="52" spans="1:23" ht="15.5" thickTop="1" thickBot="1" x14ac:dyDescent="0.4">
      <c r="A52" s="132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O52" t="s">
        <v>258</v>
      </c>
      <c r="P52" s="73">
        <v>0.38</v>
      </c>
      <c r="Q52" s="74">
        <v>0.12</v>
      </c>
      <c r="R52" s="85">
        <v>6</v>
      </c>
      <c r="S52" s="85">
        <v>-2.6</v>
      </c>
      <c r="T52" s="85" t="s">
        <v>312</v>
      </c>
      <c r="U52" s="86">
        <v>41760</v>
      </c>
      <c r="V52" s="85" t="s">
        <v>313</v>
      </c>
      <c r="W52" t="s">
        <v>148</v>
      </c>
    </row>
    <row r="53" spans="1:23" ht="15" thickBot="1" x14ac:dyDescent="0.4">
      <c r="A53" t="s">
        <v>87</v>
      </c>
      <c r="B53">
        <v>16800</v>
      </c>
      <c r="C53">
        <v>2.1999999999999999E-2</v>
      </c>
      <c r="E53">
        <v>3.6299999999999999E-2</v>
      </c>
      <c r="F53">
        <v>4.2999999999999997E-2</v>
      </c>
      <c r="G53">
        <v>5.8000000000000003E-2</v>
      </c>
      <c r="H53">
        <v>-2.8000000000000001E-2</v>
      </c>
      <c r="I53">
        <v>1.0153000000000001</v>
      </c>
      <c r="J53">
        <v>-2.2999999999999998</v>
      </c>
      <c r="K53">
        <v>119.89</v>
      </c>
      <c r="L53">
        <v>317.3</v>
      </c>
      <c r="O53" t="s">
        <v>182</v>
      </c>
      <c r="P53" s="73">
        <v>3.1</v>
      </c>
      <c r="Q53" s="74">
        <v>2.6</v>
      </c>
      <c r="R53" s="85">
        <v>6.7</v>
      </c>
      <c r="S53" s="85">
        <v>2</v>
      </c>
      <c r="T53" s="85" t="s">
        <v>312</v>
      </c>
      <c r="U53" s="86">
        <v>41244</v>
      </c>
      <c r="V53" s="85" t="s">
        <v>314</v>
      </c>
      <c r="W53" t="s">
        <v>148</v>
      </c>
    </row>
    <row r="54" spans="1:23" ht="15" thickBot="1" x14ac:dyDescent="0.4">
      <c r="A54" t="s">
        <v>130</v>
      </c>
      <c r="B54">
        <v>12750</v>
      </c>
      <c r="C54">
        <v>3.0000000000000001E-3</v>
      </c>
      <c r="E54">
        <v>1.9299999999999998E-2</v>
      </c>
      <c r="F54">
        <v>3.1400000000000004E-2</v>
      </c>
      <c r="G54">
        <v>0.115</v>
      </c>
      <c r="H54">
        <v>-2.9000000000000001E-2</v>
      </c>
      <c r="I54">
        <v>0.90900000000000003</v>
      </c>
      <c r="J54">
        <v>2.4</v>
      </c>
      <c r="K54">
        <v>1.24</v>
      </c>
      <c r="L54">
        <v>332.88</v>
      </c>
      <c r="O54" t="s">
        <v>190</v>
      </c>
      <c r="P54" s="73">
        <v>7.4</v>
      </c>
      <c r="Q54" s="74">
        <v>5.2</v>
      </c>
      <c r="R54" s="85">
        <v>23.2</v>
      </c>
      <c r="S54" s="85">
        <v>2.4</v>
      </c>
      <c r="T54" s="85" t="s">
        <v>312</v>
      </c>
      <c r="U54" s="86">
        <v>41609</v>
      </c>
      <c r="V54" s="85" t="s">
        <v>314</v>
      </c>
      <c r="W54" t="s">
        <v>148</v>
      </c>
    </row>
    <row r="55" spans="1:23" ht="15" thickBot="1" x14ac:dyDescent="0.4">
      <c r="A55" t="s">
        <v>85</v>
      </c>
      <c r="B55">
        <v>9240</v>
      </c>
      <c r="C55">
        <v>4.4600000000000001E-2</v>
      </c>
      <c r="E55">
        <v>0.03</v>
      </c>
      <c r="F55">
        <v>-1E-3</v>
      </c>
      <c r="G55">
        <v>4.1000000000000002E-2</v>
      </c>
      <c r="H55">
        <v>-2.1000000000000001E-2</v>
      </c>
      <c r="I55">
        <v>0.224</v>
      </c>
      <c r="J55">
        <v>2</v>
      </c>
      <c r="K55">
        <v>6.15</v>
      </c>
      <c r="L55">
        <v>1360.72</v>
      </c>
      <c r="O55" t="s">
        <v>165</v>
      </c>
      <c r="P55" s="73">
        <v>0.9</v>
      </c>
      <c r="Q55" s="74">
        <v>-0.5</v>
      </c>
      <c r="R55" s="85">
        <v>5.0999999999999996</v>
      </c>
      <c r="S55" s="85">
        <v>-5.7</v>
      </c>
      <c r="T55" s="85" t="s">
        <v>312</v>
      </c>
      <c r="U55" s="86">
        <v>41760</v>
      </c>
      <c r="V55" s="85" t="s">
        <v>313</v>
      </c>
      <c r="W55" t="s">
        <v>148</v>
      </c>
    </row>
    <row r="56" spans="1:23" ht="15" thickBot="1" x14ac:dyDescent="0.4">
      <c r="A56" t="s">
        <v>86</v>
      </c>
      <c r="B56">
        <v>4901</v>
      </c>
      <c r="C56">
        <v>1.43E-2</v>
      </c>
      <c r="E56">
        <v>7.4999999999999997E-3</v>
      </c>
      <c r="F56">
        <v>1.9199999999999998E-2</v>
      </c>
      <c r="G56">
        <v>3.5000000000000003E-2</v>
      </c>
      <c r="H56">
        <v>-7.5999999999999998E-2</v>
      </c>
      <c r="I56">
        <v>2.2719999999999998</v>
      </c>
      <c r="J56">
        <v>0.7</v>
      </c>
      <c r="K56">
        <v>119.12</v>
      </c>
      <c r="L56">
        <v>127.22</v>
      </c>
      <c r="O56" t="s">
        <v>28</v>
      </c>
      <c r="P56" s="73">
        <v>0.5</v>
      </c>
      <c r="Q56" s="74">
        <v>1.1000000000000001</v>
      </c>
      <c r="R56" s="85">
        <v>4.5</v>
      </c>
      <c r="S56" s="85">
        <v>-2</v>
      </c>
      <c r="T56" s="85" t="s">
        <v>312</v>
      </c>
      <c r="U56" s="86">
        <v>41760</v>
      </c>
      <c r="V56" s="85" t="s">
        <v>313</v>
      </c>
      <c r="W56" t="s">
        <v>148</v>
      </c>
    </row>
    <row r="57" spans="1:23" ht="15" thickBot="1" x14ac:dyDescent="0.4">
      <c r="A57" t="s">
        <v>22</v>
      </c>
      <c r="B57">
        <v>3635</v>
      </c>
      <c r="C57">
        <v>7.1999999999999998E-3</v>
      </c>
      <c r="E57">
        <v>2.3799999999999998E-2</v>
      </c>
      <c r="F57">
        <v>2.0199999999999999E-2</v>
      </c>
      <c r="G57">
        <v>4.9000000000000002E-2</v>
      </c>
      <c r="H57">
        <v>1E-3</v>
      </c>
      <c r="I57">
        <v>0.76900000000000002</v>
      </c>
      <c r="J57">
        <v>7.5</v>
      </c>
      <c r="K57">
        <v>1.24</v>
      </c>
      <c r="L57">
        <v>80.52</v>
      </c>
      <c r="O57" t="s">
        <v>127</v>
      </c>
      <c r="P57" s="73">
        <v>-0.3</v>
      </c>
      <c r="Q57" s="74">
        <v>0.1</v>
      </c>
      <c r="R57" s="85">
        <v>1.6</v>
      </c>
      <c r="S57" s="85">
        <v>-1.8</v>
      </c>
      <c r="T57" s="85" t="s">
        <v>312</v>
      </c>
      <c r="U57" s="86">
        <v>41852</v>
      </c>
      <c r="V57" s="85" t="s">
        <v>313</v>
      </c>
      <c r="W57" t="s">
        <v>148</v>
      </c>
    </row>
    <row r="58" spans="1:23" ht="15" thickBot="1" x14ac:dyDescent="0.4">
      <c r="A58" t="s">
        <v>23</v>
      </c>
      <c r="B58">
        <v>2735</v>
      </c>
      <c r="C58">
        <v>8.9999999999999993E-3</v>
      </c>
      <c r="E58">
        <v>2.3799999999999998E-2</v>
      </c>
      <c r="F58">
        <v>1.6E-2</v>
      </c>
      <c r="G58">
        <v>0.10199999999999999</v>
      </c>
      <c r="H58">
        <v>-4.1000000000000002E-2</v>
      </c>
      <c r="I58">
        <v>0.92200000000000004</v>
      </c>
      <c r="J58">
        <v>-1.3</v>
      </c>
      <c r="K58">
        <v>1.24</v>
      </c>
      <c r="L58">
        <v>65.8</v>
      </c>
      <c r="O58" t="s">
        <v>225</v>
      </c>
      <c r="P58" s="73">
        <v>2.2799999999999998</v>
      </c>
      <c r="Q58" s="74">
        <v>0.26</v>
      </c>
      <c r="R58" s="85">
        <v>2.8</v>
      </c>
      <c r="S58" s="85">
        <v>-6.6</v>
      </c>
      <c r="T58" s="85" t="s">
        <v>312</v>
      </c>
      <c r="U58" s="86">
        <v>41760</v>
      </c>
      <c r="V58" s="85" t="s">
        <v>313</v>
      </c>
      <c r="W58" t="s">
        <v>148</v>
      </c>
    </row>
    <row r="59" spans="1:23" ht="15" thickBot="1" x14ac:dyDescent="0.4">
      <c r="A59" t="s">
        <v>83</v>
      </c>
      <c r="B59">
        <v>2522</v>
      </c>
      <c r="C59">
        <v>1.6899999999999998E-2</v>
      </c>
      <c r="E59">
        <v>3.73E-2</v>
      </c>
      <c r="F59">
        <v>2.7999999999999997E-2</v>
      </c>
      <c r="G59">
        <v>0.06</v>
      </c>
      <c r="H59">
        <v>-5.8000000000000003E-2</v>
      </c>
      <c r="I59">
        <v>0.90600000000000003</v>
      </c>
      <c r="J59">
        <v>-4.4000000000000004</v>
      </c>
      <c r="K59">
        <v>1.56</v>
      </c>
      <c r="L59">
        <v>63.9</v>
      </c>
      <c r="O59" t="s">
        <v>188</v>
      </c>
      <c r="P59" s="73">
        <v>6.01</v>
      </c>
      <c r="Q59" s="74">
        <v>6.32</v>
      </c>
      <c r="R59" s="85">
        <v>6.71</v>
      </c>
      <c r="S59" s="85">
        <v>4.08</v>
      </c>
      <c r="T59" s="85" t="s">
        <v>312</v>
      </c>
      <c r="U59" s="86">
        <v>41426</v>
      </c>
      <c r="V59" s="85" t="s">
        <v>314</v>
      </c>
      <c r="W59" t="s">
        <v>148</v>
      </c>
    </row>
    <row r="60" spans="1:23" ht="15" thickBot="1" x14ac:dyDescent="0.4">
      <c r="A60" t="s">
        <v>24</v>
      </c>
      <c r="B60">
        <v>2246</v>
      </c>
      <c r="C60">
        <v>2.3300000000000001E-2</v>
      </c>
      <c r="E60">
        <v>0.15</v>
      </c>
      <c r="F60">
        <v>4.24E-2</v>
      </c>
      <c r="G60">
        <v>4.7E-2</v>
      </c>
      <c r="H60">
        <v>1.9E-2</v>
      </c>
      <c r="I60">
        <v>0.56799999999999995</v>
      </c>
      <c r="J60">
        <v>-3.66</v>
      </c>
      <c r="K60">
        <v>2.57</v>
      </c>
      <c r="L60">
        <v>201.03</v>
      </c>
      <c r="O60" t="s">
        <v>167</v>
      </c>
      <c r="P60" s="73">
        <v>0.3</v>
      </c>
      <c r="Q60" s="74">
        <v>0.1</v>
      </c>
      <c r="R60" s="85">
        <v>15.8</v>
      </c>
      <c r="S60" s="85">
        <v>-2.2000000000000002</v>
      </c>
      <c r="T60" s="85" t="s">
        <v>312</v>
      </c>
      <c r="U60" s="86">
        <v>41852</v>
      </c>
      <c r="V60" s="85" t="s">
        <v>313</v>
      </c>
      <c r="W60" t="s">
        <v>148</v>
      </c>
    </row>
    <row r="61" spans="1:23" ht="15" thickBot="1" x14ac:dyDescent="0.4">
      <c r="A61" t="s">
        <v>27</v>
      </c>
      <c r="B61">
        <v>2097</v>
      </c>
      <c r="C61">
        <v>1.1299999999999999E-2</v>
      </c>
      <c r="E61">
        <v>0.16</v>
      </c>
      <c r="F61">
        <v>7.0400000000000004E-2</v>
      </c>
      <c r="G61">
        <v>5.0999999999999997E-2</v>
      </c>
      <c r="H61">
        <v>-5.0000000000000001E-3</v>
      </c>
      <c r="I61">
        <v>0.1341</v>
      </c>
      <c r="J61">
        <v>1.56</v>
      </c>
      <c r="K61">
        <v>53.92</v>
      </c>
      <c r="L61">
        <v>143.69999999999999</v>
      </c>
      <c r="O61" t="s">
        <v>315</v>
      </c>
      <c r="P61" s="73">
        <v>9.94</v>
      </c>
      <c r="Q61" s="74">
        <v>-2.1</v>
      </c>
      <c r="R61" s="85">
        <v>13.45</v>
      </c>
      <c r="S61" s="85">
        <v>-10.63</v>
      </c>
      <c r="T61" s="85" t="s">
        <v>312</v>
      </c>
      <c r="U61" s="86">
        <v>41760</v>
      </c>
      <c r="V61" s="85" t="s">
        <v>313</v>
      </c>
      <c r="W61" t="s">
        <v>148</v>
      </c>
    </row>
    <row r="62" spans="1:23" ht="15" thickBot="1" x14ac:dyDescent="0.4">
      <c r="A62" t="s">
        <v>84</v>
      </c>
      <c r="B62">
        <v>2071</v>
      </c>
      <c r="C62">
        <v>8.9999999999999993E-3</v>
      </c>
      <c r="E62">
        <v>2.3799999999999998E-2</v>
      </c>
      <c r="F62">
        <v>2.06E-2</v>
      </c>
      <c r="G62">
        <v>0.13200000000000001</v>
      </c>
      <c r="H62">
        <v>-2.8000000000000001E-2</v>
      </c>
      <c r="I62">
        <v>1.3260000000000001</v>
      </c>
      <c r="J62">
        <v>1</v>
      </c>
      <c r="K62">
        <v>1.24</v>
      </c>
      <c r="L62">
        <v>59.69</v>
      </c>
      <c r="O62" t="s">
        <v>228</v>
      </c>
      <c r="P62" s="73">
        <v>-7.43</v>
      </c>
      <c r="Q62" s="74">
        <v>9.9499999999999993</v>
      </c>
      <c r="R62" s="85">
        <v>17.600000000000001</v>
      </c>
      <c r="S62" s="85">
        <v>-15.7</v>
      </c>
      <c r="T62" s="85" t="s">
        <v>312</v>
      </c>
      <c r="U62" s="86">
        <v>41760</v>
      </c>
      <c r="V62" s="85" t="s">
        <v>313</v>
      </c>
      <c r="W62" t="s">
        <v>148</v>
      </c>
    </row>
    <row r="63" spans="1:23" ht="15" thickBot="1" x14ac:dyDescent="0.4">
      <c r="A63" t="s">
        <v>44</v>
      </c>
      <c r="B63">
        <v>1877</v>
      </c>
      <c r="C63">
        <v>6.6699999999999995E-2</v>
      </c>
      <c r="E63">
        <v>5.2499999999999998E-2</v>
      </c>
      <c r="F63">
        <v>4.2000000000000003E-2</v>
      </c>
      <c r="G63">
        <v>5.1999999999999998E-2</v>
      </c>
      <c r="H63">
        <v>-4.4999999999999998E-2</v>
      </c>
      <c r="I63">
        <v>0.67720000000000002</v>
      </c>
      <c r="J63">
        <v>-1.7</v>
      </c>
      <c r="K63">
        <v>61.91</v>
      </c>
      <c r="L63">
        <v>1233</v>
      </c>
      <c r="O63" t="s">
        <v>316</v>
      </c>
      <c r="P63" s="73">
        <v>-1.2</v>
      </c>
      <c r="Q63" s="74">
        <v>1.3</v>
      </c>
      <c r="R63" s="85">
        <v>1.3</v>
      </c>
      <c r="S63" s="85">
        <v>-1.6</v>
      </c>
      <c r="T63" s="85" t="s">
        <v>312</v>
      </c>
      <c r="U63" s="86">
        <v>41760</v>
      </c>
      <c r="V63" s="85" t="s">
        <v>313</v>
      </c>
      <c r="W63" t="s">
        <v>148</v>
      </c>
    </row>
    <row r="64" spans="1:23" ht="15" thickBot="1" x14ac:dyDescent="0.4">
      <c r="A64" t="s">
        <v>35</v>
      </c>
      <c r="B64">
        <v>1825</v>
      </c>
      <c r="C64">
        <v>1.95E-2</v>
      </c>
      <c r="E64">
        <v>2.2499999999999999E-2</v>
      </c>
      <c r="F64">
        <v>1.9900000000000001E-2</v>
      </c>
      <c r="G64">
        <v>6.5000000000000002E-2</v>
      </c>
      <c r="H64">
        <v>-0.01</v>
      </c>
      <c r="I64">
        <v>0.89100000000000001</v>
      </c>
      <c r="J64">
        <v>-3.2</v>
      </c>
      <c r="K64">
        <v>1.1299999999999999</v>
      </c>
      <c r="L64">
        <v>35.35</v>
      </c>
      <c r="O64" t="s">
        <v>249</v>
      </c>
      <c r="P64" s="73">
        <v>1.6</v>
      </c>
      <c r="Q64" s="74">
        <v>-0.7</v>
      </c>
      <c r="R64" s="85">
        <v>13.4</v>
      </c>
      <c r="S64" s="85">
        <v>-14.4</v>
      </c>
      <c r="T64" s="85" t="s">
        <v>312</v>
      </c>
      <c r="U64" s="86">
        <v>41760</v>
      </c>
      <c r="V64" s="85" t="s">
        <v>313</v>
      </c>
      <c r="W64" t="s">
        <v>148</v>
      </c>
    </row>
    <row r="65" spans="1:23" ht="15" thickBot="1" x14ac:dyDescent="0.4">
      <c r="A65" t="s">
        <v>28</v>
      </c>
      <c r="B65">
        <v>1561</v>
      </c>
      <c r="C65">
        <v>1.89E-2</v>
      </c>
      <c r="E65">
        <v>4.3099999999999999E-2</v>
      </c>
      <c r="F65">
        <v>2.4E-2</v>
      </c>
      <c r="G65">
        <v>6.2E-2</v>
      </c>
      <c r="H65">
        <v>-1.2E-2</v>
      </c>
      <c r="I65">
        <v>0.20480000000000001</v>
      </c>
      <c r="J65">
        <v>-2.9</v>
      </c>
      <c r="K65">
        <v>0.84</v>
      </c>
      <c r="L65">
        <v>23.13</v>
      </c>
      <c r="O65" t="s">
        <v>24</v>
      </c>
      <c r="P65" s="73">
        <v>0.1</v>
      </c>
      <c r="Q65" s="74">
        <v>-0.6</v>
      </c>
      <c r="R65" s="85">
        <v>4.5</v>
      </c>
      <c r="S65" s="85">
        <v>-4.2</v>
      </c>
      <c r="T65" s="85" t="s">
        <v>312</v>
      </c>
      <c r="U65" s="86">
        <v>41852</v>
      </c>
      <c r="V65" s="85" t="s">
        <v>313</v>
      </c>
      <c r="W65" t="s">
        <v>148</v>
      </c>
    </row>
    <row r="66" spans="1:23" ht="15" thickBot="1" x14ac:dyDescent="0.4">
      <c r="A66" t="s">
        <v>26</v>
      </c>
      <c r="B66">
        <v>1358</v>
      </c>
      <c r="C66">
        <v>2.2800000000000001E-2</v>
      </c>
      <c r="E66">
        <v>2.3799999999999998E-2</v>
      </c>
      <c r="F66">
        <v>2.06E-2</v>
      </c>
      <c r="G66">
        <v>0.23669999999999999</v>
      </c>
      <c r="H66">
        <v>-6.8000000000000005E-2</v>
      </c>
      <c r="I66">
        <v>0.92100000000000004</v>
      </c>
      <c r="J66">
        <v>0.8</v>
      </c>
      <c r="K66">
        <v>1.24</v>
      </c>
      <c r="L66">
        <v>46.73</v>
      </c>
      <c r="O66" t="s">
        <v>209</v>
      </c>
      <c r="P66" s="73">
        <v>0.5</v>
      </c>
      <c r="Q66" s="74">
        <v>0.3</v>
      </c>
      <c r="R66" s="85">
        <v>13.4</v>
      </c>
      <c r="S66" s="85">
        <v>-7.7</v>
      </c>
      <c r="T66" s="85" t="s">
        <v>312</v>
      </c>
      <c r="U66" s="86">
        <v>41852</v>
      </c>
      <c r="V66" s="85" t="s">
        <v>313</v>
      </c>
      <c r="W66" t="s">
        <v>148</v>
      </c>
    </row>
    <row r="67" spans="1:23" ht="15" thickBot="1" x14ac:dyDescent="0.4">
      <c r="A67" t="s">
        <v>135</v>
      </c>
      <c r="B67">
        <v>1305</v>
      </c>
      <c r="C67">
        <v>2.3E-2</v>
      </c>
      <c r="E67">
        <v>2.5000000000000001E-2</v>
      </c>
      <c r="F67">
        <v>1.84E-2</v>
      </c>
      <c r="G67">
        <v>3.5000000000000003E-2</v>
      </c>
      <c r="H67">
        <v>-1.4999999999999999E-2</v>
      </c>
      <c r="I67">
        <v>0.33800000000000002</v>
      </c>
      <c r="J67">
        <v>5.8</v>
      </c>
      <c r="K67">
        <v>1108.5999999999999</v>
      </c>
      <c r="L67">
        <v>50.22</v>
      </c>
      <c r="O67" t="s">
        <v>231</v>
      </c>
      <c r="P67" s="73">
        <v>1.7</v>
      </c>
      <c r="Q67" s="74">
        <v>-0.4</v>
      </c>
      <c r="R67" s="85">
        <v>2.4</v>
      </c>
      <c r="S67" s="85">
        <v>-0.8</v>
      </c>
      <c r="T67" s="85" t="s">
        <v>312</v>
      </c>
      <c r="U67" s="86">
        <v>41760</v>
      </c>
      <c r="V67" s="85" t="s">
        <v>313</v>
      </c>
      <c r="W67" t="s">
        <v>148</v>
      </c>
    </row>
    <row r="68" spans="1:23" ht="15" thickBot="1" x14ac:dyDescent="0.4">
      <c r="A68" t="s">
        <v>29</v>
      </c>
      <c r="B68">
        <v>1261</v>
      </c>
      <c r="C68">
        <v>1.41E-2</v>
      </c>
      <c r="E68">
        <v>7.0000000000000007E-2</v>
      </c>
      <c r="F68">
        <v>3.3399999999999999E-2</v>
      </c>
      <c r="G68">
        <v>4.7800000000000002E-2</v>
      </c>
      <c r="H68">
        <v>-2.3E-2</v>
      </c>
      <c r="I68">
        <v>0.36899999999999999</v>
      </c>
      <c r="J68">
        <v>-1.8</v>
      </c>
      <c r="K68">
        <v>13.98</v>
      </c>
      <c r="L68">
        <v>122.33</v>
      </c>
      <c r="O68" t="s">
        <v>35</v>
      </c>
      <c r="P68" s="73">
        <v>0.7</v>
      </c>
      <c r="Q68" s="74">
        <v>0.9</v>
      </c>
      <c r="R68" s="85">
        <v>3.33</v>
      </c>
      <c r="S68" s="85">
        <v>-1.8</v>
      </c>
      <c r="T68" s="85" t="s">
        <v>312</v>
      </c>
      <c r="U68" s="86">
        <v>41852</v>
      </c>
      <c r="V68" s="85" t="s">
        <v>313</v>
      </c>
      <c r="W68" t="s">
        <v>148</v>
      </c>
    </row>
    <row r="69" spans="1:23" ht="15" thickBot="1" x14ac:dyDescent="0.4">
      <c r="A69" t="s">
        <v>32</v>
      </c>
      <c r="B69">
        <v>868</v>
      </c>
      <c r="C69">
        <v>4.82E-2</v>
      </c>
      <c r="E69">
        <v>4.7500000000000001E-2</v>
      </c>
      <c r="F69">
        <v>2.2400000000000003E-2</v>
      </c>
      <c r="G69">
        <v>5.9400000000000001E-2</v>
      </c>
      <c r="H69">
        <v>-2.3E-2</v>
      </c>
      <c r="I69">
        <v>0.2611</v>
      </c>
      <c r="J69">
        <v>-3.3</v>
      </c>
      <c r="K69">
        <v>12285</v>
      </c>
      <c r="L69">
        <v>247.43</v>
      </c>
      <c r="O69" t="s">
        <v>175</v>
      </c>
      <c r="P69" s="73">
        <v>0.4</v>
      </c>
      <c r="Q69" s="74">
        <v>-0.1</v>
      </c>
      <c r="R69" s="85">
        <v>4.3</v>
      </c>
      <c r="S69" s="85">
        <v>-2.7</v>
      </c>
      <c r="T69" s="85" t="s">
        <v>312</v>
      </c>
      <c r="U69" s="86">
        <v>41852</v>
      </c>
      <c r="V69" s="85" t="s">
        <v>313</v>
      </c>
      <c r="W69" t="s">
        <v>148</v>
      </c>
    </row>
    <row r="70" spans="1:23" ht="15" thickBot="1" x14ac:dyDescent="0.4">
      <c r="A70" t="s">
        <v>41</v>
      </c>
      <c r="B70">
        <v>820</v>
      </c>
      <c r="C70">
        <v>2.5899999999999999E-2</v>
      </c>
      <c r="E70">
        <v>0.38</v>
      </c>
      <c r="F70">
        <v>0.30670000000000003</v>
      </c>
      <c r="G70">
        <v>0.10100000000000001</v>
      </c>
      <c r="H70">
        <v>-1.2E-2</v>
      </c>
      <c r="I70">
        <v>0.35849999999999999</v>
      </c>
      <c r="J70">
        <v>-7.9</v>
      </c>
      <c r="K70">
        <v>2.21</v>
      </c>
      <c r="L70">
        <v>76.67</v>
      </c>
      <c r="O70" t="s">
        <v>85</v>
      </c>
      <c r="P70" s="73">
        <v>1.9</v>
      </c>
      <c r="Q70" s="74">
        <v>2</v>
      </c>
      <c r="R70" s="85">
        <v>2.5</v>
      </c>
      <c r="S70" s="85">
        <v>1.4</v>
      </c>
      <c r="T70" s="85" t="s">
        <v>312</v>
      </c>
      <c r="U70" s="86">
        <v>41852</v>
      </c>
      <c r="V70" s="85" t="s">
        <v>313</v>
      </c>
      <c r="W70" t="s">
        <v>148</v>
      </c>
    </row>
    <row r="71" spans="1:23" ht="15" thickBot="1" x14ac:dyDescent="0.4">
      <c r="A71" t="s">
        <v>149</v>
      </c>
      <c r="B71">
        <v>800</v>
      </c>
      <c r="C71">
        <v>1.0999999999999999E-2</v>
      </c>
      <c r="D71">
        <v>2E-3</v>
      </c>
      <c r="E71">
        <v>5.0000000000000001E-4</v>
      </c>
      <c r="F71">
        <v>1.0999999999999999E-2</v>
      </c>
      <c r="G71">
        <v>0.08</v>
      </c>
      <c r="H71">
        <v>-2.3E-2</v>
      </c>
      <c r="I71">
        <v>0.73499999999999999</v>
      </c>
      <c r="J71">
        <v>10.4</v>
      </c>
      <c r="K71">
        <v>1.24</v>
      </c>
      <c r="L71">
        <v>16.78</v>
      </c>
      <c r="O71" t="s">
        <v>170</v>
      </c>
      <c r="P71" s="73">
        <v>-0.1</v>
      </c>
      <c r="Q71" s="74">
        <v>2.5</v>
      </c>
      <c r="R71" s="85">
        <v>3.5</v>
      </c>
      <c r="S71" s="85">
        <v>-0.9</v>
      </c>
      <c r="T71" s="85" t="s">
        <v>312</v>
      </c>
      <c r="U71" s="86">
        <v>41760</v>
      </c>
      <c r="V71" s="85" t="s">
        <v>313</v>
      </c>
      <c r="W71" t="s">
        <v>148</v>
      </c>
    </row>
    <row r="72" spans="1:23" ht="15" thickBot="1" x14ac:dyDescent="0.4">
      <c r="A72" t="s">
        <v>132</v>
      </c>
      <c r="B72">
        <v>745</v>
      </c>
      <c r="C72">
        <v>3.7999999999999999E-2</v>
      </c>
      <c r="D72">
        <v>3.7999999999999999E-2</v>
      </c>
      <c r="E72">
        <v>0.02</v>
      </c>
      <c r="F72">
        <v>2.5999999999999999E-2</v>
      </c>
      <c r="G72">
        <v>5.5E-2</v>
      </c>
      <c r="H72">
        <v>6.4000000000000001E-2</v>
      </c>
      <c r="I72">
        <v>2.6800000000000001E-2</v>
      </c>
      <c r="J72">
        <v>18</v>
      </c>
      <c r="K72">
        <v>3.75</v>
      </c>
      <c r="L72">
        <v>29.99</v>
      </c>
      <c r="O72" t="s">
        <v>212</v>
      </c>
      <c r="P72" s="73">
        <v>0.88</v>
      </c>
      <c r="Q72" s="74">
        <v>0.2</v>
      </c>
      <c r="R72" s="85">
        <v>9.33</v>
      </c>
      <c r="S72" s="85">
        <v>-6.15</v>
      </c>
      <c r="T72" s="85" t="s">
        <v>312</v>
      </c>
      <c r="U72" s="86">
        <v>41760</v>
      </c>
      <c r="V72" s="85" t="s">
        <v>313</v>
      </c>
      <c r="W72" t="s">
        <v>148</v>
      </c>
    </row>
    <row r="73" spans="1:23" ht="15" thickBot="1" x14ac:dyDescent="0.4">
      <c r="A73" t="s">
        <v>136</v>
      </c>
      <c r="B73">
        <v>651</v>
      </c>
      <c r="C73">
        <v>1.9E-2</v>
      </c>
      <c r="D73">
        <v>6.0000000000000001E-3</v>
      </c>
      <c r="E73">
        <v>0</v>
      </c>
      <c r="F73">
        <v>0</v>
      </c>
      <c r="G73">
        <v>3.1E-2</v>
      </c>
      <c r="H73">
        <v>0</v>
      </c>
      <c r="I73">
        <v>0.35399999999999998</v>
      </c>
      <c r="J73">
        <v>13.5</v>
      </c>
      <c r="K73">
        <v>0.96</v>
      </c>
      <c r="L73">
        <v>8.0399999999999991</v>
      </c>
      <c r="O73" t="s">
        <v>205</v>
      </c>
      <c r="P73" s="73">
        <v>-0.3</v>
      </c>
      <c r="Q73" s="74">
        <v>0</v>
      </c>
      <c r="R73" s="85">
        <v>2.1</v>
      </c>
      <c r="S73" s="85">
        <v>-5.5</v>
      </c>
      <c r="T73" s="85" t="s">
        <v>312</v>
      </c>
      <c r="U73" s="86">
        <v>41760</v>
      </c>
      <c r="V73" s="85" t="s">
        <v>313</v>
      </c>
      <c r="W73" t="s">
        <v>148</v>
      </c>
    </row>
    <row r="74" spans="1:23" ht="15" thickBot="1" x14ac:dyDescent="0.4">
      <c r="A74" t="s">
        <v>165</v>
      </c>
      <c r="B74">
        <v>612</v>
      </c>
      <c r="C74">
        <v>0</v>
      </c>
      <c r="D74">
        <v>8.9999999999999993E-3</v>
      </c>
      <c r="E74">
        <v>0.21049999999999999</v>
      </c>
      <c r="F74">
        <v>0.109</v>
      </c>
      <c r="G74">
        <v>7.4999999999999997E-2</v>
      </c>
      <c r="H74">
        <v>-2.5999999999999999E-2</v>
      </c>
      <c r="I74">
        <v>0.45600000000000002</v>
      </c>
      <c r="J74">
        <v>-0.9</v>
      </c>
      <c r="K74">
        <v>8.5299999999999994</v>
      </c>
      <c r="L74">
        <v>41.45</v>
      </c>
      <c r="O74" t="s">
        <v>236</v>
      </c>
      <c r="P74" s="73">
        <v>-0.4</v>
      </c>
      <c r="Q74" s="74">
        <v>-0.3</v>
      </c>
      <c r="R74" s="85">
        <v>2</v>
      </c>
      <c r="S74" s="85">
        <v>-1.8</v>
      </c>
      <c r="T74" s="85" t="s">
        <v>312</v>
      </c>
      <c r="U74" s="86">
        <v>41852</v>
      </c>
      <c r="V74" s="85" t="s">
        <v>313</v>
      </c>
      <c r="W74" t="s">
        <v>148</v>
      </c>
    </row>
    <row r="75" spans="1:23" ht="15" thickBot="1" x14ac:dyDescent="0.4">
      <c r="A75" t="s">
        <v>38</v>
      </c>
      <c r="B75">
        <v>558</v>
      </c>
      <c r="C75">
        <v>2.1000000000000001E-2</v>
      </c>
      <c r="D75">
        <v>3.0000000000000001E-3</v>
      </c>
      <c r="E75">
        <v>0</v>
      </c>
      <c r="F75">
        <v>-1E-3</v>
      </c>
      <c r="G75">
        <v>7.4999999999999997E-2</v>
      </c>
      <c r="H75">
        <v>-1.0999999999999999E-2</v>
      </c>
      <c r="I75">
        <v>0.40600000000000003</v>
      </c>
      <c r="J75">
        <v>6.2</v>
      </c>
      <c r="K75">
        <v>7.44</v>
      </c>
      <c r="L75">
        <v>9.56</v>
      </c>
      <c r="O75" t="s">
        <v>128</v>
      </c>
      <c r="P75" s="73">
        <v>0.4</v>
      </c>
      <c r="Q75" s="74">
        <v>0.3</v>
      </c>
      <c r="R75" s="85">
        <v>2.2999999999999998</v>
      </c>
      <c r="S75" s="85">
        <v>-3.3</v>
      </c>
      <c r="T75" s="85" t="s">
        <v>312</v>
      </c>
      <c r="U75" s="86">
        <v>41852</v>
      </c>
      <c r="V75" s="85" t="s">
        <v>313</v>
      </c>
      <c r="W75" t="s">
        <v>148</v>
      </c>
    </row>
    <row r="76" spans="1:23" ht="15" thickBot="1" x14ac:dyDescent="0.4">
      <c r="A76" t="s">
        <v>166</v>
      </c>
      <c r="B76">
        <v>523</v>
      </c>
      <c r="C76">
        <v>6.2300000000000001E-2</v>
      </c>
      <c r="D76">
        <v>8.6699999999999999E-2</v>
      </c>
      <c r="E76">
        <v>0.13</v>
      </c>
      <c r="F76">
        <v>8.1000000000000003E-2</v>
      </c>
      <c r="G76">
        <v>0.23899999999999999</v>
      </c>
      <c r="H76">
        <v>-1.7999999999999999E-2</v>
      </c>
      <c r="I76">
        <v>0.11</v>
      </c>
      <c r="J76">
        <v>7.1</v>
      </c>
      <c r="K76">
        <v>183.75</v>
      </c>
      <c r="L76">
        <v>166.21</v>
      </c>
      <c r="O76" t="s">
        <v>172</v>
      </c>
      <c r="P76" s="73">
        <v>0.5</v>
      </c>
      <c r="Q76" s="74">
        <v>0.1</v>
      </c>
      <c r="R76" s="85">
        <v>3.89</v>
      </c>
      <c r="S76" s="85">
        <v>-2.42</v>
      </c>
      <c r="T76" s="85" t="s">
        <v>312</v>
      </c>
      <c r="U76" s="86">
        <v>41852</v>
      </c>
      <c r="V76" s="85" t="s">
        <v>313</v>
      </c>
      <c r="W76" t="s">
        <v>148</v>
      </c>
    </row>
    <row r="77" spans="1:23" ht="15" thickBot="1" x14ac:dyDescent="0.4">
      <c r="A77" t="s">
        <v>42</v>
      </c>
      <c r="B77">
        <v>518</v>
      </c>
      <c r="C77">
        <v>3.3599999999999998E-2</v>
      </c>
      <c r="E77">
        <v>0.04</v>
      </c>
      <c r="F77">
        <v>5.0300000000000004E-2</v>
      </c>
      <c r="G77">
        <v>0.113</v>
      </c>
      <c r="H77">
        <v>-4.2999999999999997E-2</v>
      </c>
      <c r="I77">
        <v>0.56999999999999995</v>
      </c>
      <c r="J77">
        <v>-1.3</v>
      </c>
      <c r="K77">
        <v>3.35</v>
      </c>
      <c r="L77">
        <v>38.49</v>
      </c>
      <c r="O77" t="s">
        <v>203</v>
      </c>
      <c r="P77" s="73">
        <v>-13.44</v>
      </c>
      <c r="Q77" s="74">
        <v>13.17</v>
      </c>
      <c r="R77" s="85">
        <v>17.18</v>
      </c>
      <c r="S77" s="85">
        <v>-13.44</v>
      </c>
      <c r="T77" s="85" t="s">
        <v>312</v>
      </c>
      <c r="U77" s="86">
        <v>41671</v>
      </c>
      <c r="V77" s="85" t="s">
        <v>313</v>
      </c>
      <c r="W77" t="s">
        <v>148</v>
      </c>
    </row>
    <row r="78" spans="1:23" ht="15" thickBot="1" x14ac:dyDescent="0.4">
      <c r="A78" t="s">
        <v>40</v>
      </c>
      <c r="B78">
        <v>513</v>
      </c>
      <c r="C78">
        <v>2.1000000000000001E-2</v>
      </c>
      <c r="D78">
        <v>5.0000000000000001E-3</v>
      </c>
      <c r="E78">
        <v>1.4999999999999999E-2</v>
      </c>
      <c r="F78">
        <v>0.02</v>
      </c>
      <c r="G78">
        <v>3.6999999999999998E-2</v>
      </c>
      <c r="H78">
        <v>0.111</v>
      </c>
      <c r="I78">
        <v>0.29520000000000002</v>
      </c>
      <c r="J78">
        <v>11</v>
      </c>
      <c r="K78">
        <v>6.94</v>
      </c>
      <c r="L78">
        <v>5.1100000000000003</v>
      </c>
      <c r="O78" t="s">
        <v>194</v>
      </c>
      <c r="P78" s="73">
        <v>1</v>
      </c>
      <c r="Q78" s="74">
        <v>0.2</v>
      </c>
      <c r="R78" s="85">
        <v>3.4</v>
      </c>
      <c r="S78" s="85">
        <v>-1.9</v>
      </c>
      <c r="T78" s="85" t="s">
        <v>312</v>
      </c>
      <c r="U78" s="86">
        <v>41760</v>
      </c>
      <c r="V78" s="85" t="s">
        <v>313</v>
      </c>
      <c r="W78" t="s">
        <v>148</v>
      </c>
    </row>
    <row r="79" spans="1:23" ht="15" thickBot="1" x14ac:dyDescent="0.4">
      <c r="A79" t="s">
        <v>167</v>
      </c>
      <c r="B79">
        <v>508</v>
      </c>
      <c r="C79">
        <v>8.9999999999999993E-3</v>
      </c>
      <c r="D79">
        <v>3.0000000000000001E-3</v>
      </c>
      <c r="E79">
        <v>5.0000000000000001E-4</v>
      </c>
      <c r="F79">
        <v>-1.1000000000000001E-3</v>
      </c>
      <c r="G79">
        <v>8.5999999999999993E-2</v>
      </c>
      <c r="H79">
        <v>-2.5999999999999999E-2</v>
      </c>
      <c r="I79">
        <v>1.0149999999999999</v>
      </c>
      <c r="J79">
        <v>-1.6</v>
      </c>
      <c r="K79">
        <v>1.24</v>
      </c>
      <c r="L79">
        <v>11.16</v>
      </c>
      <c r="O79" t="s">
        <v>129</v>
      </c>
      <c r="P79" s="73">
        <v>3.7</v>
      </c>
      <c r="Q79" s="74">
        <v>2.5</v>
      </c>
      <c r="R79" s="85">
        <v>7.3</v>
      </c>
      <c r="S79" s="85">
        <v>-4.3</v>
      </c>
      <c r="T79" s="85" t="s">
        <v>312</v>
      </c>
      <c r="U79" s="86">
        <v>41760</v>
      </c>
      <c r="V79" s="85" t="s">
        <v>313</v>
      </c>
      <c r="W79" t="s">
        <v>148</v>
      </c>
    </row>
    <row r="80" spans="1:23" ht="15" thickBot="1" x14ac:dyDescent="0.4">
      <c r="A80" t="s">
        <v>34</v>
      </c>
      <c r="B80">
        <v>489</v>
      </c>
      <c r="C80">
        <v>8.6999999999999994E-2</v>
      </c>
      <c r="E80">
        <v>1.11E-2</v>
      </c>
      <c r="F80">
        <v>1.66E-2</v>
      </c>
      <c r="G80">
        <v>3.8699999999999998E-2</v>
      </c>
      <c r="H80">
        <v>-0.02</v>
      </c>
      <c r="I80">
        <v>0.4098</v>
      </c>
      <c r="J80">
        <v>11.73</v>
      </c>
      <c r="K80">
        <v>31.02</v>
      </c>
      <c r="L80">
        <v>23.37</v>
      </c>
      <c r="O80" t="s">
        <v>235</v>
      </c>
      <c r="P80" s="73">
        <v>-0.06</v>
      </c>
      <c r="Q80" s="74">
        <v>0.22</v>
      </c>
      <c r="R80" s="85">
        <v>2.5299999999999998</v>
      </c>
      <c r="S80" s="85">
        <v>-2.78</v>
      </c>
      <c r="T80" s="85" t="s">
        <v>312</v>
      </c>
      <c r="U80" s="86">
        <v>41760</v>
      </c>
      <c r="V80" s="85" t="s">
        <v>313</v>
      </c>
      <c r="W80" t="s">
        <v>148</v>
      </c>
    </row>
    <row r="81" spans="1:23" ht="15" thickBot="1" x14ac:dyDescent="0.4">
      <c r="A81" t="s">
        <v>168</v>
      </c>
      <c r="B81">
        <v>438</v>
      </c>
      <c r="C81">
        <v>0.01</v>
      </c>
      <c r="D81">
        <v>6.8000000000000005E-2</v>
      </c>
      <c r="E81">
        <v>0.18390000000000001</v>
      </c>
      <c r="F81">
        <v>0.63419999999999999</v>
      </c>
      <c r="G81">
        <v>7.0000000000000007E-2</v>
      </c>
      <c r="H81">
        <v>-0.115</v>
      </c>
      <c r="I81">
        <v>0.498</v>
      </c>
      <c r="J81">
        <v>7.1</v>
      </c>
      <c r="K81">
        <v>6.29</v>
      </c>
      <c r="L81">
        <v>29.72</v>
      </c>
      <c r="O81" t="s">
        <v>234</v>
      </c>
      <c r="P81" s="73">
        <v>0.2</v>
      </c>
      <c r="Q81" s="74">
        <v>1.1000000000000001</v>
      </c>
      <c r="R81" s="85">
        <v>4.9000000000000004</v>
      </c>
      <c r="S81" s="85">
        <v>-9.6999999999999993</v>
      </c>
      <c r="T81" s="85" t="s">
        <v>312</v>
      </c>
      <c r="U81" s="86">
        <v>41852</v>
      </c>
      <c r="V81" s="85" t="s">
        <v>313</v>
      </c>
      <c r="W81" t="s">
        <v>148</v>
      </c>
    </row>
    <row r="82" spans="1:23" ht="15" thickBot="1" x14ac:dyDescent="0.4">
      <c r="A82" t="s">
        <v>127</v>
      </c>
      <c r="B82">
        <v>416</v>
      </c>
      <c r="C82">
        <v>-1E-3</v>
      </c>
      <c r="D82">
        <v>-3.0000000000000001E-3</v>
      </c>
      <c r="E82">
        <v>5.0000000000000001E-4</v>
      </c>
      <c r="F82">
        <v>1.6E-2</v>
      </c>
      <c r="G82">
        <v>8.6999999999999994E-2</v>
      </c>
      <c r="H82">
        <v>-1.4999999999999999E-2</v>
      </c>
      <c r="I82">
        <v>0.745</v>
      </c>
      <c r="J82">
        <v>2.7</v>
      </c>
      <c r="K82">
        <v>1.24</v>
      </c>
      <c r="L82">
        <v>8.4499999999999993</v>
      </c>
      <c r="O82" t="s">
        <v>130</v>
      </c>
      <c r="P82" s="73">
        <v>0.2</v>
      </c>
      <c r="Q82" s="74">
        <v>0.1</v>
      </c>
      <c r="R82" s="85">
        <v>1.3</v>
      </c>
      <c r="S82" s="85">
        <v>-2.8</v>
      </c>
      <c r="T82" s="85" t="s">
        <v>312</v>
      </c>
      <c r="U82" s="86">
        <v>41852</v>
      </c>
      <c r="V82" s="85" t="s">
        <v>313</v>
      </c>
      <c r="W82" t="s">
        <v>148</v>
      </c>
    </row>
    <row r="83" spans="1:23" ht="15" thickBot="1" x14ac:dyDescent="0.4">
      <c r="A83" t="s">
        <v>169</v>
      </c>
      <c r="B83">
        <v>387</v>
      </c>
      <c r="C83">
        <v>6.0000000000000001E-3</v>
      </c>
      <c r="D83">
        <v>1.0999999999999999E-2</v>
      </c>
      <c r="E83">
        <v>0.02</v>
      </c>
      <c r="F83">
        <v>1.26E-2</v>
      </c>
      <c r="G83">
        <v>7.4999999999999997E-3</v>
      </c>
      <c r="H83">
        <v>-2.5000000000000001E-2</v>
      </c>
      <c r="I83">
        <v>0.45700000000000002</v>
      </c>
      <c r="J83">
        <v>-0.7</v>
      </c>
      <c r="K83">
        <v>32.770000000000003</v>
      </c>
      <c r="L83">
        <v>67.010000000000005</v>
      </c>
      <c r="O83" t="s">
        <v>317</v>
      </c>
      <c r="P83" s="73">
        <v>0.3</v>
      </c>
      <c r="Q83" s="74">
        <v>0.2</v>
      </c>
      <c r="R83" s="85">
        <v>1.3</v>
      </c>
      <c r="S83" s="85">
        <v>-2.7</v>
      </c>
      <c r="T83" s="85" t="s">
        <v>312</v>
      </c>
      <c r="U83" s="86">
        <v>41852</v>
      </c>
      <c r="V83" s="85" t="s">
        <v>313</v>
      </c>
      <c r="W83" t="s">
        <v>148</v>
      </c>
    </row>
    <row r="84" spans="1:23" ht="15" thickBot="1" x14ac:dyDescent="0.4">
      <c r="A84" t="s">
        <v>137</v>
      </c>
      <c r="B84">
        <v>384</v>
      </c>
      <c r="C84">
        <v>5.1999999999999998E-2</v>
      </c>
      <c r="D84">
        <v>5.1999999999999998E-2</v>
      </c>
      <c r="E84">
        <v>0.01</v>
      </c>
      <c r="F84">
        <v>3.1E-2</v>
      </c>
      <c r="G84">
        <v>4.2000000000000003E-2</v>
      </c>
      <c r="H84">
        <v>0.10150000000000001</v>
      </c>
      <c r="I84">
        <v>0.16700000000000001</v>
      </c>
      <c r="J84">
        <v>14.91</v>
      </c>
      <c r="K84">
        <v>3.67</v>
      </c>
      <c r="L84">
        <v>9.35</v>
      </c>
      <c r="O84" t="s">
        <v>177</v>
      </c>
      <c r="P84" s="73">
        <v>0.2</v>
      </c>
      <c r="Q84" s="74">
        <v>0.2</v>
      </c>
      <c r="R84" s="85">
        <v>5</v>
      </c>
      <c r="S84" s="85">
        <v>-6.3</v>
      </c>
      <c r="T84" s="85" t="s">
        <v>312</v>
      </c>
      <c r="U84" s="86">
        <v>41852</v>
      </c>
      <c r="V84" s="85" t="s">
        <v>313</v>
      </c>
      <c r="W84" t="s">
        <v>148</v>
      </c>
    </row>
    <row r="85" spans="1:23" ht="15" thickBot="1" x14ac:dyDescent="0.4">
      <c r="A85" t="s">
        <v>170</v>
      </c>
      <c r="B85">
        <v>378</v>
      </c>
      <c r="C85">
        <v>4.2999999999999997E-2</v>
      </c>
      <c r="D85">
        <v>-1E-3</v>
      </c>
      <c r="E85">
        <v>4.4999999999999998E-2</v>
      </c>
      <c r="F85">
        <v>3.2899999999999999E-2</v>
      </c>
      <c r="G85">
        <v>7.9000000000000001E-2</v>
      </c>
      <c r="H85">
        <v>-2.41E-2</v>
      </c>
      <c r="I85">
        <v>0.318</v>
      </c>
      <c r="J85">
        <v>-3.4</v>
      </c>
      <c r="K85">
        <v>2238.3000000000002</v>
      </c>
      <c r="L85">
        <v>47.1</v>
      </c>
      <c r="O85" t="s">
        <v>23</v>
      </c>
      <c r="P85" s="73">
        <v>0.3</v>
      </c>
      <c r="Q85" s="74">
        <v>-0.1</v>
      </c>
      <c r="R85" s="85">
        <v>1.6</v>
      </c>
      <c r="S85" s="85">
        <v>-1.7</v>
      </c>
      <c r="T85" s="85" t="s">
        <v>312</v>
      </c>
      <c r="U85" s="86">
        <v>41852</v>
      </c>
      <c r="V85" s="85" t="s">
        <v>313</v>
      </c>
      <c r="W85" t="s">
        <v>148</v>
      </c>
    </row>
    <row r="86" spans="1:23" ht="15" thickBot="1" x14ac:dyDescent="0.4">
      <c r="A86" t="s">
        <v>171</v>
      </c>
      <c r="B86">
        <v>369</v>
      </c>
      <c r="C86">
        <v>-1.0999999999999999E-2</v>
      </c>
      <c r="E86">
        <v>0.14149999999999999</v>
      </c>
      <c r="F86">
        <v>0.14380000000000001</v>
      </c>
      <c r="G86">
        <v>9.5000000000000001E-2</v>
      </c>
      <c r="H86">
        <v>-7.7999999999999996E-3</v>
      </c>
      <c r="I86">
        <v>0.10630000000000001</v>
      </c>
      <c r="J86">
        <v>8.1199999999999992</v>
      </c>
      <c r="K86">
        <v>24797</v>
      </c>
      <c r="L86">
        <v>77.45</v>
      </c>
      <c r="O86" t="s">
        <v>22</v>
      </c>
      <c r="P86" s="73">
        <v>0.1</v>
      </c>
      <c r="Q86" s="74">
        <v>-0.1</v>
      </c>
      <c r="R86" s="85">
        <v>2.1</v>
      </c>
      <c r="S86" s="85">
        <v>-3.7</v>
      </c>
      <c r="T86" s="85" t="s">
        <v>312</v>
      </c>
      <c r="U86" s="86">
        <v>41852</v>
      </c>
      <c r="V86" s="85" t="s">
        <v>313</v>
      </c>
      <c r="W86" t="s">
        <v>148</v>
      </c>
    </row>
    <row r="87" spans="1:23" ht="15" thickBot="1" x14ac:dyDescent="0.4">
      <c r="A87" t="s">
        <v>134</v>
      </c>
      <c r="B87">
        <v>351</v>
      </c>
      <c r="C87">
        <v>1.4E-2</v>
      </c>
      <c r="D87">
        <v>1.4E-2</v>
      </c>
      <c r="E87">
        <v>5.7500000000000002E-2</v>
      </c>
      <c r="F87">
        <v>5.8999999999999997E-2</v>
      </c>
      <c r="G87">
        <v>0.254</v>
      </c>
      <c r="H87">
        <v>-0.04</v>
      </c>
      <c r="I87">
        <v>0.46100000000000002</v>
      </c>
      <c r="J87">
        <v>-5.8</v>
      </c>
      <c r="K87">
        <v>11</v>
      </c>
      <c r="L87">
        <v>52.98</v>
      </c>
      <c r="O87" t="s">
        <v>213</v>
      </c>
      <c r="P87" s="73">
        <v>3.3</v>
      </c>
      <c r="Q87" s="74">
        <v>2</v>
      </c>
      <c r="R87" s="85">
        <v>7.8</v>
      </c>
      <c r="S87" s="85">
        <v>-5.9</v>
      </c>
      <c r="T87" s="85" t="s">
        <v>312</v>
      </c>
      <c r="U87" s="86">
        <v>41760</v>
      </c>
      <c r="V87" s="85" t="s">
        <v>313</v>
      </c>
      <c r="W87" t="s">
        <v>148</v>
      </c>
    </row>
    <row r="88" spans="1:23" ht="15" thickBot="1" x14ac:dyDescent="0.4">
      <c r="A88" t="s">
        <v>172</v>
      </c>
      <c r="B88">
        <v>331</v>
      </c>
      <c r="C88">
        <v>8.9999999999999993E-3</v>
      </c>
      <c r="D88">
        <v>5.0000000000000001E-3</v>
      </c>
      <c r="E88">
        <v>2E-3</v>
      </c>
      <c r="F88">
        <v>5.0000000000000001E-3</v>
      </c>
      <c r="G88">
        <v>0.04</v>
      </c>
      <c r="H88">
        <v>-8.0000000000000002E-3</v>
      </c>
      <c r="I88">
        <v>0.44500000000000001</v>
      </c>
      <c r="J88">
        <v>7.3</v>
      </c>
      <c r="K88">
        <v>5.97</v>
      </c>
      <c r="L88">
        <v>5.62</v>
      </c>
      <c r="O88" t="s">
        <v>30</v>
      </c>
      <c r="P88" s="73">
        <v>0.7</v>
      </c>
      <c r="Q88" s="74">
        <v>0.3</v>
      </c>
      <c r="R88" s="85">
        <v>3.3</v>
      </c>
      <c r="S88" s="85">
        <v>-4.7</v>
      </c>
      <c r="T88" s="85" t="s">
        <v>312</v>
      </c>
      <c r="U88" s="86">
        <v>41852</v>
      </c>
      <c r="V88" s="85" t="s">
        <v>313</v>
      </c>
      <c r="W88" t="s">
        <v>148</v>
      </c>
    </row>
    <row r="89" spans="1:23" ht="15" thickBot="1" x14ac:dyDescent="0.4">
      <c r="A89" t="s">
        <v>173</v>
      </c>
      <c r="B89">
        <v>312</v>
      </c>
      <c r="C89">
        <v>5.6000000000000001E-2</v>
      </c>
      <c r="D89">
        <v>8.9999999999999993E-3</v>
      </c>
      <c r="E89">
        <v>3.2500000000000001E-2</v>
      </c>
      <c r="F89">
        <v>2.8000000000000001E-2</v>
      </c>
      <c r="G89">
        <v>2.7E-2</v>
      </c>
      <c r="H89">
        <v>-3.9E-2</v>
      </c>
      <c r="I89">
        <v>0.54800000000000004</v>
      </c>
      <c r="J89">
        <v>4.7</v>
      </c>
      <c r="K89">
        <v>3.43</v>
      </c>
      <c r="L89">
        <v>29.95</v>
      </c>
      <c r="O89" t="s">
        <v>131</v>
      </c>
      <c r="P89" s="73">
        <v>1.7</v>
      </c>
      <c r="Q89" s="74">
        <v>-0.1</v>
      </c>
      <c r="R89" s="85">
        <v>6.3</v>
      </c>
      <c r="S89" s="85">
        <v>-3.4</v>
      </c>
      <c r="T89" s="85" t="s">
        <v>312</v>
      </c>
      <c r="U89" s="86">
        <v>41852</v>
      </c>
      <c r="V89" s="85" t="s">
        <v>313</v>
      </c>
      <c r="W89" t="s">
        <v>148</v>
      </c>
    </row>
    <row r="90" spans="1:23" ht="15" thickBot="1" x14ac:dyDescent="0.4">
      <c r="A90" t="s">
        <v>133</v>
      </c>
      <c r="B90">
        <v>298</v>
      </c>
      <c r="C90">
        <v>2.8000000000000001E-2</v>
      </c>
      <c r="D90">
        <v>3.1E-2</v>
      </c>
      <c r="E90">
        <v>1.1999999999999999E-3</v>
      </c>
      <c r="F90">
        <v>1E-3</v>
      </c>
      <c r="G90">
        <v>1.9E-2</v>
      </c>
      <c r="H90">
        <v>1.0999999999999999E-2</v>
      </c>
      <c r="I90">
        <v>1.0549999999999999</v>
      </c>
      <c r="J90">
        <v>18</v>
      </c>
      <c r="K90">
        <v>1.31</v>
      </c>
      <c r="L90">
        <v>5.4</v>
      </c>
      <c r="O90" t="s">
        <v>189</v>
      </c>
      <c r="P90" s="73">
        <v>0.5</v>
      </c>
      <c r="Q90" s="74">
        <v>0.8</v>
      </c>
      <c r="R90" s="85">
        <v>2.2999999999999998</v>
      </c>
      <c r="S90" s="85">
        <v>-3.3</v>
      </c>
      <c r="T90" s="85" t="s">
        <v>312</v>
      </c>
      <c r="U90" s="86">
        <v>41852</v>
      </c>
      <c r="V90" s="85" t="s">
        <v>313</v>
      </c>
      <c r="W90" t="s">
        <v>148</v>
      </c>
    </row>
    <row r="91" spans="1:23" ht="15" thickBot="1" x14ac:dyDescent="0.4">
      <c r="A91" t="s">
        <v>174</v>
      </c>
      <c r="B91">
        <v>291</v>
      </c>
      <c r="C91">
        <v>1.89E-2</v>
      </c>
      <c r="D91">
        <v>-8.9999999999999998E-4</v>
      </c>
      <c r="E91">
        <v>2.5000000000000001E-3</v>
      </c>
      <c r="F91">
        <v>-3.0000000000000001E-3</v>
      </c>
      <c r="G91">
        <v>5.7000000000000002E-2</v>
      </c>
      <c r="H91">
        <v>-3.15E-2</v>
      </c>
      <c r="I91">
        <v>0.67400000000000004</v>
      </c>
      <c r="J91">
        <v>2.4700000000000002</v>
      </c>
      <c r="K91">
        <v>3.91</v>
      </c>
      <c r="L91">
        <v>8.1300000000000008</v>
      </c>
      <c r="O91" t="s">
        <v>247</v>
      </c>
      <c r="P91" s="73">
        <v>-1.2</v>
      </c>
      <c r="Q91" s="74">
        <v>-1</v>
      </c>
      <c r="R91" s="85">
        <v>10.4</v>
      </c>
      <c r="S91" s="85">
        <v>-8</v>
      </c>
      <c r="T91" s="85" t="s">
        <v>312</v>
      </c>
      <c r="U91" s="86">
        <v>41760</v>
      </c>
      <c r="V91" s="85" t="s">
        <v>313</v>
      </c>
      <c r="W91" t="s">
        <v>148</v>
      </c>
    </row>
    <row r="92" spans="1:23" ht="15" thickBot="1" x14ac:dyDescent="0.4">
      <c r="A92" t="s">
        <v>175</v>
      </c>
      <c r="B92">
        <v>277</v>
      </c>
      <c r="C92">
        <v>8.0000000000000002E-3</v>
      </c>
      <c r="D92">
        <v>4.0000000000000001E-3</v>
      </c>
      <c r="E92">
        <v>0.03</v>
      </c>
      <c r="F92">
        <v>5.7000000000000002E-2</v>
      </c>
      <c r="G92">
        <v>6.4000000000000001E-2</v>
      </c>
      <c r="H92">
        <v>-7.0000000000000001E-3</v>
      </c>
      <c r="I92">
        <v>0.128</v>
      </c>
      <c r="J92">
        <v>-3.4</v>
      </c>
      <c r="K92">
        <v>612.1</v>
      </c>
      <c r="L92">
        <v>17.559999999999999</v>
      </c>
      <c r="O92" t="s">
        <v>44</v>
      </c>
      <c r="P92" s="73">
        <v>1.2</v>
      </c>
      <c r="Q92" s="74">
        <v>1.9</v>
      </c>
      <c r="R92" s="85">
        <v>5.8</v>
      </c>
      <c r="S92" s="85">
        <v>-1.9</v>
      </c>
      <c r="T92" s="85" t="s">
        <v>312</v>
      </c>
      <c r="U92" s="86">
        <v>41760</v>
      </c>
      <c r="V92" s="85" t="s">
        <v>313</v>
      </c>
      <c r="W92" t="s">
        <v>148</v>
      </c>
    </row>
    <row r="93" spans="1:23" ht="15" thickBot="1" x14ac:dyDescent="0.4">
      <c r="A93" t="s">
        <v>131</v>
      </c>
      <c r="B93">
        <v>274</v>
      </c>
      <c r="C93">
        <v>2.7E-2</v>
      </c>
      <c r="D93">
        <v>1.7000000000000001E-2</v>
      </c>
      <c r="E93">
        <v>5.0000000000000001E-3</v>
      </c>
      <c r="F93">
        <v>5.1999999999999998E-2</v>
      </c>
      <c r="G93">
        <v>3.3000000000000002E-2</v>
      </c>
      <c r="H93">
        <v>6.0000000000000001E-3</v>
      </c>
      <c r="I93">
        <v>0.33839999999999998</v>
      </c>
      <c r="J93">
        <v>2.1</v>
      </c>
      <c r="K93">
        <v>7.76</v>
      </c>
      <c r="L93">
        <v>7.22</v>
      </c>
      <c r="O93" t="s">
        <v>32</v>
      </c>
      <c r="P93" s="73">
        <v>2.96</v>
      </c>
      <c r="Q93" s="74">
        <v>2.4900000000000002</v>
      </c>
      <c r="R93" s="85">
        <v>3.82</v>
      </c>
      <c r="S93" s="85">
        <v>-3.57</v>
      </c>
      <c r="T93" s="85" t="s">
        <v>312</v>
      </c>
      <c r="U93" s="86">
        <v>41852</v>
      </c>
      <c r="V93" s="85" t="s">
        <v>313</v>
      </c>
      <c r="W93" t="s">
        <v>148</v>
      </c>
    </row>
    <row r="94" spans="1:23" ht="15" thickBot="1" x14ac:dyDescent="0.4">
      <c r="A94" t="s">
        <v>129</v>
      </c>
      <c r="B94">
        <v>272</v>
      </c>
      <c r="C94">
        <v>3.6999999999999998E-2</v>
      </c>
      <c r="D94">
        <v>3.6999999999999998E-2</v>
      </c>
      <c r="E94">
        <v>9.2499999999999999E-2</v>
      </c>
      <c r="F94">
        <v>0.11799999999999999</v>
      </c>
      <c r="G94">
        <v>0.13100000000000001</v>
      </c>
      <c r="H94">
        <v>-9.0999999999999998E-2</v>
      </c>
      <c r="I94">
        <v>0.871</v>
      </c>
      <c r="J94">
        <v>-2.4</v>
      </c>
      <c r="K94">
        <v>7.13</v>
      </c>
      <c r="L94">
        <v>82.06</v>
      </c>
      <c r="O94" t="s">
        <v>31</v>
      </c>
      <c r="P94" s="73">
        <v>1.5</v>
      </c>
      <c r="Q94" s="74">
        <v>2.8</v>
      </c>
      <c r="R94" s="85">
        <v>5.5</v>
      </c>
      <c r="S94" s="85">
        <v>-4.3</v>
      </c>
      <c r="T94" s="85" t="s">
        <v>312</v>
      </c>
      <c r="U94" s="86">
        <v>41760</v>
      </c>
      <c r="V94" s="85" t="s">
        <v>313</v>
      </c>
      <c r="W94" t="s">
        <v>148</v>
      </c>
    </row>
    <row r="95" spans="1:23" ht="15" thickBot="1" x14ac:dyDescent="0.4">
      <c r="A95" t="s">
        <v>176</v>
      </c>
      <c r="B95">
        <v>272</v>
      </c>
      <c r="C95">
        <v>5.2999999999999999E-2</v>
      </c>
      <c r="D95">
        <v>4.0000000000000001E-3</v>
      </c>
      <c r="E95">
        <v>0.04</v>
      </c>
      <c r="F95">
        <v>4.2999999999999997E-2</v>
      </c>
      <c r="G95">
        <v>6.7000000000000004E-2</v>
      </c>
      <c r="H95">
        <v>-1.4E-2</v>
      </c>
      <c r="I95">
        <v>0.49199999999999999</v>
      </c>
      <c r="J95">
        <v>3.5</v>
      </c>
      <c r="K95">
        <v>44.73</v>
      </c>
      <c r="L95">
        <v>97.35</v>
      </c>
      <c r="O95" t="s">
        <v>174</v>
      </c>
      <c r="P95" s="73">
        <v>-0.09</v>
      </c>
      <c r="Q95" s="74">
        <v>0.54</v>
      </c>
      <c r="R95" s="85">
        <v>7.4</v>
      </c>
      <c r="S95" s="85">
        <v>-3.4</v>
      </c>
      <c r="T95" s="85" t="s">
        <v>312</v>
      </c>
      <c r="U95" s="86">
        <v>41852</v>
      </c>
      <c r="V95" s="85" t="s">
        <v>313</v>
      </c>
      <c r="W95" t="s">
        <v>148</v>
      </c>
    </row>
    <row r="96" spans="1:23" ht="15" thickBot="1" x14ac:dyDescent="0.4">
      <c r="A96" t="s">
        <v>177</v>
      </c>
      <c r="B96">
        <v>257</v>
      </c>
      <c r="C96">
        <v>0</v>
      </c>
      <c r="D96">
        <v>2E-3</v>
      </c>
      <c r="E96">
        <v>5.0000000000000001E-4</v>
      </c>
      <c r="F96">
        <v>0.01</v>
      </c>
      <c r="G96">
        <v>8.3000000000000004E-2</v>
      </c>
      <c r="H96">
        <v>-0.02</v>
      </c>
      <c r="I96">
        <v>0.56999999999999995</v>
      </c>
      <c r="J96">
        <v>-1.1000000000000001</v>
      </c>
      <c r="K96">
        <v>1.24</v>
      </c>
      <c r="L96">
        <v>5.45</v>
      </c>
      <c r="O96" t="s">
        <v>84</v>
      </c>
      <c r="P96" s="73">
        <v>-0.1</v>
      </c>
      <c r="Q96" s="74">
        <v>-0.2</v>
      </c>
      <c r="R96" s="85">
        <v>6</v>
      </c>
      <c r="S96" s="85">
        <v>-3.5</v>
      </c>
      <c r="T96" s="85" t="s">
        <v>312</v>
      </c>
      <c r="U96" s="86">
        <v>41852</v>
      </c>
      <c r="V96" s="85" t="s">
        <v>313</v>
      </c>
      <c r="W96" t="s">
        <v>148</v>
      </c>
    </row>
    <row r="97" spans="1:23" ht="15" thickBot="1" x14ac:dyDescent="0.4">
      <c r="A97" t="s">
        <v>30</v>
      </c>
      <c r="B97">
        <v>242</v>
      </c>
      <c r="C97">
        <v>2.1700000000000001E-2</v>
      </c>
      <c r="E97">
        <v>2.3799999999999998E-2</v>
      </c>
      <c r="F97">
        <v>2.7400000000000001E-2</v>
      </c>
      <c r="G97">
        <v>0.25900000000000001</v>
      </c>
      <c r="H97">
        <v>-0.122</v>
      </c>
      <c r="I97">
        <v>1.7490000000000001</v>
      </c>
      <c r="J97">
        <v>0.7</v>
      </c>
      <c r="K97">
        <v>1.24</v>
      </c>
      <c r="L97">
        <v>11.06</v>
      </c>
      <c r="O97" t="s">
        <v>254</v>
      </c>
      <c r="P97" s="73">
        <v>-0.5</v>
      </c>
      <c r="Q97" s="74">
        <v>-0.3</v>
      </c>
      <c r="R97" s="85">
        <v>2.2000000000000002</v>
      </c>
      <c r="S97" s="85">
        <v>-1.9</v>
      </c>
      <c r="T97" s="85" t="s">
        <v>312</v>
      </c>
      <c r="U97" s="86">
        <v>41671</v>
      </c>
      <c r="V97" s="85" t="s">
        <v>313</v>
      </c>
      <c r="W97" t="s">
        <v>148</v>
      </c>
    </row>
    <row r="98" spans="1:23" ht="15" thickBot="1" x14ac:dyDescent="0.4">
      <c r="A98" t="s">
        <v>178</v>
      </c>
      <c r="B98">
        <v>237</v>
      </c>
      <c r="C98">
        <v>3.5999999999999997E-2</v>
      </c>
      <c r="D98">
        <v>0.05</v>
      </c>
      <c r="E98">
        <v>9.5000000000000001E-2</v>
      </c>
      <c r="F98">
        <v>3.9600000000000003E-2</v>
      </c>
      <c r="G98">
        <v>0.06</v>
      </c>
      <c r="H98">
        <v>-0.08</v>
      </c>
      <c r="I98">
        <v>0.63300000000000001</v>
      </c>
      <c r="J98">
        <v>-1.1000000000000001</v>
      </c>
      <c r="K98">
        <v>101.75</v>
      </c>
      <c r="L98">
        <v>188.2</v>
      </c>
      <c r="O98" t="s">
        <v>86</v>
      </c>
      <c r="P98" s="73">
        <v>-0.4</v>
      </c>
      <c r="Q98" s="74">
        <v>-1.9</v>
      </c>
      <c r="R98" s="85">
        <v>3.2</v>
      </c>
      <c r="S98" s="85">
        <v>-4</v>
      </c>
      <c r="T98" s="85" t="s">
        <v>312</v>
      </c>
      <c r="U98" s="86">
        <v>41852</v>
      </c>
      <c r="V98" s="85" t="s">
        <v>313</v>
      </c>
      <c r="W98" t="s">
        <v>148</v>
      </c>
    </row>
    <row r="99" spans="1:23" ht="15" thickBot="1" x14ac:dyDescent="0.4">
      <c r="A99" t="s">
        <v>179</v>
      </c>
      <c r="B99">
        <v>224</v>
      </c>
      <c r="C99">
        <v>0.04</v>
      </c>
      <c r="D99">
        <v>8.5999999999999993E-2</v>
      </c>
      <c r="E99">
        <v>5.5E-2</v>
      </c>
      <c r="F99">
        <v>7.5999999999999998E-2</v>
      </c>
      <c r="G99">
        <v>0.05</v>
      </c>
      <c r="H99">
        <v>-2.1000000000000001E-2</v>
      </c>
      <c r="I99">
        <v>0.1353</v>
      </c>
      <c r="J99">
        <v>-0.05</v>
      </c>
      <c r="K99">
        <v>179.15</v>
      </c>
      <c r="L99">
        <v>16.91</v>
      </c>
      <c r="O99" t="s">
        <v>179</v>
      </c>
      <c r="P99" s="73">
        <v>8.6</v>
      </c>
      <c r="Q99" s="74">
        <v>2.1</v>
      </c>
      <c r="R99" s="85">
        <v>8.6</v>
      </c>
      <c r="S99" s="85">
        <v>-8.9</v>
      </c>
      <c r="T99" s="85" t="s">
        <v>312</v>
      </c>
      <c r="U99" s="86">
        <v>40118</v>
      </c>
      <c r="V99" s="85" t="s">
        <v>313</v>
      </c>
      <c r="W99" t="s">
        <v>148</v>
      </c>
    </row>
    <row r="100" spans="1:23" ht="15" thickBot="1" x14ac:dyDescent="0.4">
      <c r="A100" t="s">
        <v>180</v>
      </c>
      <c r="B100">
        <v>223</v>
      </c>
      <c r="C100">
        <v>4.2099999999999999E-2</v>
      </c>
      <c r="E100">
        <v>0.06</v>
      </c>
      <c r="F100">
        <v>8.9999999999999993E-3</v>
      </c>
      <c r="G100">
        <v>0.151</v>
      </c>
      <c r="H100">
        <v>-5.5500000000000001E-2</v>
      </c>
      <c r="I100">
        <v>0.31340000000000001</v>
      </c>
      <c r="J100">
        <v>6.71</v>
      </c>
      <c r="K100">
        <v>1162</v>
      </c>
      <c r="L100">
        <v>33.42</v>
      </c>
      <c r="O100" t="s">
        <v>218</v>
      </c>
      <c r="P100" s="73">
        <v>4</v>
      </c>
      <c r="Q100" s="74">
        <v>2.7</v>
      </c>
      <c r="R100" s="85">
        <v>4</v>
      </c>
      <c r="S100" s="85">
        <v>-2.4</v>
      </c>
      <c r="T100" s="85" t="s">
        <v>312</v>
      </c>
      <c r="U100" s="86">
        <v>41760</v>
      </c>
      <c r="V100" s="85" t="s">
        <v>313</v>
      </c>
      <c r="W100" t="s">
        <v>148</v>
      </c>
    </row>
    <row r="101" spans="1:23" ht="15" thickBot="1" x14ac:dyDescent="0.4">
      <c r="A101" t="s">
        <v>181</v>
      </c>
      <c r="B101">
        <v>220</v>
      </c>
      <c r="C101">
        <v>1.0999999999999999E-2</v>
      </c>
      <c r="D101">
        <v>3.0000000000000001E-3</v>
      </c>
      <c r="E101">
        <v>5.0000000000000001E-4</v>
      </c>
      <c r="F101">
        <v>0</v>
      </c>
      <c r="G101">
        <v>0.13100000000000001</v>
      </c>
      <c r="H101">
        <v>-4.9000000000000002E-2</v>
      </c>
      <c r="I101">
        <v>1.29</v>
      </c>
      <c r="J101">
        <v>0.5</v>
      </c>
      <c r="K101">
        <v>1.24</v>
      </c>
      <c r="L101">
        <v>10.49</v>
      </c>
      <c r="O101" t="s">
        <v>232</v>
      </c>
      <c r="P101" s="73">
        <v>0.5</v>
      </c>
      <c r="Q101" s="74">
        <v>0.8</v>
      </c>
      <c r="R101" s="85">
        <v>4.5999999999999996</v>
      </c>
      <c r="S101" s="85">
        <v>-12</v>
      </c>
      <c r="T101" s="85" t="s">
        <v>312</v>
      </c>
      <c r="U101" s="86">
        <v>41852</v>
      </c>
      <c r="V101" s="85" t="s">
        <v>313</v>
      </c>
      <c r="W101" t="s">
        <v>148</v>
      </c>
    </row>
    <row r="102" spans="1:23" ht="15" thickBot="1" x14ac:dyDescent="0.4">
      <c r="A102" t="s">
        <v>31</v>
      </c>
      <c r="B102">
        <v>218</v>
      </c>
      <c r="C102">
        <v>3.6600000000000001E-2</v>
      </c>
      <c r="E102">
        <v>2.3799999999999998E-2</v>
      </c>
      <c r="F102">
        <v>1.8600000000000002E-2</v>
      </c>
      <c r="G102">
        <v>0.11</v>
      </c>
      <c r="H102">
        <v>-5.7000000000000002E-2</v>
      </c>
      <c r="I102">
        <v>1.2330000000000001</v>
      </c>
      <c r="J102">
        <v>6.6</v>
      </c>
      <c r="K102">
        <v>1.24</v>
      </c>
      <c r="L102">
        <v>4.59</v>
      </c>
      <c r="O102" t="s">
        <v>221</v>
      </c>
      <c r="P102" s="73">
        <v>0.5</v>
      </c>
      <c r="Q102" s="74">
        <v>0.9</v>
      </c>
      <c r="R102" s="85">
        <v>4.2</v>
      </c>
      <c r="S102" s="85">
        <v>-13.1</v>
      </c>
      <c r="T102" s="85" t="s">
        <v>312</v>
      </c>
      <c r="U102" s="86">
        <v>41852</v>
      </c>
      <c r="V102" s="85" t="s">
        <v>313</v>
      </c>
      <c r="W102" t="s">
        <v>148</v>
      </c>
    </row>
    <row r="103" spans="1:23" ht="15" thickBot="1" x14ac:dyDescent="0.4">
      <c r="A103" t="s">
        <v>182</v>
      </c>
      <c r="B103">
        <v>210</v>
      </c>
      <c r="C103">
        <v>2.7E-2</v>
      </c>
      <c r="D103">
        <v>3.1E-2</v>
      </c>
      <c r="E103">
        <v>0.04</v>
      </c>
      <c r="F103">
        <v>6.8000000000000005E-2</v>
      </c>
      <c r="G103">
        <v>9.8000000000000004E-2</v>
      </c>
      <c r="H103">
        <v>-2E-3</v>
      </c>
      <c r="I103">
        <v>9.2100000000000001E-2</v>
      </c>
      <c r="J103">
        <v>8</v>
      </c>
      <c r="K103">
        <v>85.61</v>
      </c>
      <c r="L103">
        <v>38.29</v>
      </c>
      <c r="O103" t="s">
        <v>204</v>
      </c>
      <c r="P103" s="73">
        <v>0.7</v>
      </c>
      <c r="Q103" s="74">
        <v>0.8</v>
      </c>
      <c r="R103" s="85">
        <v>7.9</v>
      </c>
      <c r="S103" s="85">
        <v>-5.5</v>
      </c>
      <c r="T103" s="85" t="s">
        <v>312</v>
      </c>
      <c r="U103" s="86">
        <v>41760</v>
      </c>
      <c r="V103" s="85" t="s">
        <v>313</v>
      </c>
      <c r="W103" t="s">
        <v>148</v>
      </c>
    </row>
    <row r="104" spans="1:23" ht="15" thickBot="1" x14ac:dyDescent="0.4">
      <c r="A104" t="s">
        <v>183</v>
      </c>
      <c r="B104">
        <v>202</v>
      </c>
      <c r="C104">
        <v>5.7000000000000002E-2</v>
      </c>
      <c r="D104">
        <v>-2E-3</v>
      </c>
      <c r="E104">
        <v>4.4999999999999998E-2</v>
      </c>
      <c r="F104">
        <v>0.03</v>
      </c>
      <c r="G104">
        <v>3.0000000000000001E-3</v>
      </c>
      <c r="H104">
        <v>0.189</v>
      </c>
      <c r="I104">
        <v>0.34250000000000003</v>
      </c>
      <c r="J104">
        <v>30.9</v>
      </c>
      <c r="K104">
        <v>3.64</v>
      </c>
      <c r="L104">
        <v>2.17</v>
      </c>
      <c r="O104" t="s">
        <v>268</v>
      </c>
      <c r="P104" s="73">
        <v>3.2</v>
      </c>
      <c r="Q104" s="74">
        <v>3</v>
      </c>
      <c r="R104" s="85">
        <v>8.1999999999999993</v>
      </c>
      <c r="S104" s="85">
        <v>-2.4</v>
      </c>
      <c r="T104" s="85" t="s">
        <v>312</v>
      </c>
      <c r="U104" s="86">
        <v>41579</v>
      </c>
      <c r="V104" s="85" t="s">
        <v>313</v>
      </c>
      <c r="W104" t="s">
        <v>148</v>
      </c>
    </row>
    <row r="105" spans="1:23" ht="15" thickBot="1" x14ac:dyDescent="0.4">
      <c r="A105" t="s">
        <v>184</v>
      </c>
      <c r="B105">
        <v>202</v>
      </c>
      <c r="C105">
        <v>1.7600000000000001E-2</v>
      </c>
      <c r="D105">
        <v>3.0000000000000001E-3</v>
      </c>
      <c r="E105">
        <v>3.5000000000000003E-2</v>
      </c>
      <c r="F105">
        <v>3.1600000000000003E-2</v>
      </c>
      <c r="G105">
        <v>5.7000000000000002E-2</v>
      </c>
      <c r="H105">
        <v>8.9999999999999993E-3</v>
      </c>
      <c r="I105">
        <v>0.19600000000000001</v>
      </c>
      <c r="J105">
        <v>-4.5999999999999996</v>
      </c>
      <c r="K105">
        <v>2.92</v>
      </c>
      <c r="L105">
        <v>30.38</v>
      </c>
      <c r="O105" t="s">
        <v>173</v>
      </c>
      <c r="P105" s="73">
        <v>0.9</v>
      </c>
      <c r="Q105" s="74">
        <v>1.9</v>
      </c>
      <c r="R105" s="85">
        <v>5.9</v>
      </c>
      <c r="S105" s="85">
        <v>-7.6</v>
      </c>
      <c r="T105" s="85" t="s">
        <v>312</v>
      </c>
      <c r="U105" s="86">
        <v>41852</v>
      </c>
      <c r="V105" s="85" t="s">
        <v>313</v>
      </c>
      <c r="W105" t="s">
        <v>148</v>
      </c>
    </row>
    <row r="106" spans="1:23" ht="15" thickBot="1" x14ac:dyDescent="0.4">
      <c r="A106" t="s">
        <v>128</v>
      </c>
      <c r="B106">
        <v>198</v>
      </c>
      <c r="C106">
        <v>2.3599999999999999E-2</v>
      </c>
      <c r="E106">
        <v>3.5000000000000003E-2</v>
      </c>
      <c r="F106">
        <v>2.3300000000000001E-2</v>
      </c>
      <c r="G106">
        <v>7.0999999999999994E-2</v>
      </c>
      <c r="H106">
        <v>-1.4999999999999999E-2</v>
      </c>
      <c r="I106">
        <v>0.46039999999999998</v>
      </c>
      <c r="J106">
        <v>-1.4</v>
      </c>
      <c r="K106">
        <v>22.11</v>
      </c>
      <c r="L106">
        <v>10.51</v>
      </c>
      <c r="O106" t="s">
        <v>270</v>
      </c>
      <c r="P106" s="73">
        <v>1.3</v>
      </c>
      <c r="Q106" s="74">
        <v>1.1000000000000001</v>
      </c>
      <c r="R106" s="85">
        <v>4.0999999999999996</v>
      </c>
      <c r="S106" s="85">
        <v>-3.4</v>
      </c>
      <c r="T106" s="85" t="s">
        <v>312</v>
      </c>
      <c r="U106" s="86">
        <v>41760</v>
      </c>
      <c r="V106" s="85" t="s">
        <v>313</v>
      </c>
      <c r="W106" t="s">
        <v>148</v>
      </c>
    </row>
    <row r="107" spans="1:23" ht="15" thickBot="1" x14ac:dyDescent="0.4">
      <c r="A107" t="s">
        <v>185</v>
      </c>
      <c r="B107">
        <v>190</v>
      </c>
      <c r="C107">
        <v>3.2000000000000001E-2</v>
      </c>
      <c r="D107">
        <v>1.9E-2</v>
      </c>
      <c r="E107">
        <v>2.75E-2</v>
      </c>
      <c r="F107">
        <v>1.4E-2</v>
      </c>
      <c r="G107">
        <v>6.7000000000000004E-2</v>
      </c>
      <c r="H107">
        <v>-8.9999999999999993E-3</v>
      </c>
      <c r="I107">
        <v>0.38400000000000001</v>
      </c>
      <c r="J107">
        <v>-1.1000000000000001</v>
      </c>
      <c r="K107">
        <v>3.55</v>
      </c>
      <c r="L107">
        <v>20.02</v>
      </c>
      <c r="O107" t="s">
        <v>262</v>
      </c>
      <c r="P107" s="73">
        <v>2.4</v>
      </c>
      <c r="Q107" s="74">
        <v>0.8</v>
      </c>
      <c r="R107" s="85">
        <v>6.1</v>
      </c>
      <c r="S107" s="85">
        <v>-1.7</v>
      </c>
      <c r="T107" s="85" t="s">
        <v>312</v>
      </c>
      <c r="U107" s="86">
        <v>41760</v>
      </c>
      <c r="V107" s="85" t="s">
        <v>313</v>
      </c>
      <c r="W107" t="s">
        <v>148</v>
      </c>
    </row>
    <row r="108" spans="1:23" ht="15" thickBot="1" x14ac:dyDescent="0.4">
      <c r="A108" t="s">
        <v>150</v>
      </c>
      <c r="B108">
        <v>183</v>
      </c>
      <c r="C108">
        <v>3.9E-2</v>
      </c>
      <c r="D108">
        <v>7.0000000000000001E-3</v>
      </c>
      <c r="E108">
        <v>3.5000000000000003E-2</v>
      </c>
      <c r="F108">
        <v>0.01</v>
      </c>
      <c r="G108">
        <v>5.3999999999999999E-2</v>
      </c>
      <c r="H108">
        <v>-2.1000000000000001E-2</v>
      </c>
      <c r="I108">
        <v>0.35899999999999999</v>
      </c>
      <c r="J108">
        <v>-3.4</v>
      </c>
      <c r="K108">
        <v>0.78</v>
      </c>
      <c r="L108">
        <v>4.5</v>
      </c>
      <c r="O108" t="s">
        <v>29</v>
      </c>
      <c r="P108" s="73">
        <v>0.5</v>
      </c>
      <c r="Q108" s="74">
        <v>0.9</v>
      </c>
      <c r="R108" s="85">
        <v>2.9</v>
      </c>
      <c r="S108" s="85">
        <v>-6.6</v>
      </c>
      <c r="T108" s="85" t="s">
        <v>312</v>
      </c>
      <c r="U108" s="86">
        <v>41852</v>
      </c>
      <c r="V108" s="85" t="s">
        <v>313</v>
      </c>
      <c r="W108" t="s">
        <v>148</v>
      </c>
    </row>
    <row r="109" spans="1:23" ht="15" thickBot="1" x14ac:dyDescent="0.4">
      <c r="A109" t="s">
        <v>186</v>
      </c>
      <c r="B109">
        <v>183</v>
      </c>
      <c r="C109">
        <v>8.2000000000000007E-3</v>
      </c>
      <c r="D109" s="95"/>
      <c r="E109">
        <v>0.02</v>
      </c>
      <c r="F109">
        <v>0.03</v>
      </c>
      <c r="G109">
        <v>2.7199999999999998E-2</v>
      </c>
      <c r="H109">
        <v>0.2893</v>
      </c>
      <c r="I109">
        <v>5.28E-2</v>
      </c>
      <c r="J109">
        <v>38.799999999999997</v>
      </c>
      <c r="K109">
        <v>5.05</v>
      </c>
      <c r="L109">
        <v>3.82</v>
      </c>
      <c r="O109" t="s">
        <v>272</v>
      </c>
      <c r="P109" s="73">
        <v>0.91</v>
      </c>
      <c r="Q109" s="74">
        <v>0.51</v>
      </c>
      <c r="R109" s="85">
        <v>5.2</v>
      </c>
      <c r="S109" s="85">
        <v>-7.84</v>
      </c>
      <c r="T109" s="85" t="s">
        <v>312</v>
      </c>
      <c r="U109" s="86">
        <v>40483</v>
      </c>
      <c r="V109" s="85" t="s">
        <v>313</v>
      </c>
      <c r="W109" t="s">
        <v>148</v>
      </c>
    </row>
    <row r="110" spans="1:23" ht="15" thickBot="1" x14ac:dyDescent="0.4">
      <c r="A110" t="s">
        <v>187</v>
      </c>
      <c r="B110">
        <v>177</v>
      </c>
      <c r="C110">
        <v>-5.0999999999999997E-2</v>
      </c>
      <c r="D110">
        <v>-2.1000000000000001E-2</v>
      </c>
      <c r="E110">
        <v>0.14000000000000001</v>
      </c>
      <c r="F110">
        <v>0.19800000000000001</v>
      </c>
      <c r="G110">
        <v>8.5999999999999993E-2</v>
      </c>
      <c r="H110">
        <v>-4.48E-2</v>
      </c>
      <c r="I110">
        <v>0.4103</v>
      </c>
      <c r="J110">
        <v>-9.1999999999999993</v>
      </c>
      <c r="K110">
        <v>14.81</v>
      </c>
      <c r="L110">
        <v>45.43</v>
      </c>
      <c r="O110" t="s">
        <v>261</v>
      </c>
      <c r="P110" s="73">
        <v>7.4</v>
      </c>
      <c r="Q110" s="74">
        <v>11.7</v>
      </c>
      <c r="R110" s="85">
        <v>17.5</v>
      </c>
      <c r="S110" s="85">
        <v>-9.3000000000000007</v>
      </c>
      <c r="T110" s="85" t="s">
        <v>312</v>
      </c>
      <c r="U110" s="86">
        <v>41671</v>
      </c>
      <c r="V110" s="85" t="s">
        <v>313</v>
      </c>
      <c r="W110" t="s">
        <v>148</v>
      </c>
    </row>
    <row r="111" spans="1:23" ht="15" thickBot="1" x14ac:dyDescent="0.4">
      <c r="A111" t="s">
        <v>151</v>
      </c>
      <c r="B111">
        <v>171</v>
      </c>
      <c r="C111">
        <v>6.1899999999999997E-2</v>
      </c>
      <c r="D111">
        <v>6.1899999999999997E-2</v>
      </c>
      <c r="E111">
        <v>6.5000000000000002E-2</v>
      </c>
      <c r="F111">
        <v>2.5999999999999999E-2</v>
      </c>
      <c r="G111">
        <v>2.1399999999999999E-2</v>
      </c>
      <c r="H111">
        <v>-7.0999999999999994E-2</v>
      </c>
      <c r="I111">
        <v>0.54979999999999996</v>
      </c>
      <c r="J111">
        <v>6.5</v>
      </c>
      <c r="K111">
        <v>21075</v>
      </c>
      <c r="L111">
        <v>89.71</v>
      </c>
      <c r="O111" t="s">
        <v>191</v>
      </c>
      <c r="P111" s="73">
        <v>2.2999999999999998</v>
      </c>
      <c r="Q111" s="74">
        <v>1.7</v>
      </c>
      <c r="R111" s="85">
        <v>9.3000000000000007</v>
      </c>
      <c r="S111" s="85">
        <v>0.5</v>
      </c>
      <c r="T111" s="85" t="s">
        <v>312</v>
      </c>
      <c r="U111" s="86">
        <v>41760</v>
      </c>
      <c r="V111" s="85" t="s">
        <v>313</v>
      </c>
      <c r="W111" t="s">
        <v>148</v>
      </c>
    </row>
    <row r="112" spans="1:23" ht="15" thickBot="1" x14ac:dyDescent="0.4">
      <c r="A112" t="s">
        <v>188</v>
      </c>
      <c r="B112">
        <v>130</v>
      </c>
      <c r="C112">
        <v>6.0100000000000001E-2</v>
      </c>
      <c r="D112">
        <v>6.0100000000000001E-2</v>
      </c>
      <c r="E112">
        <v>7.2499999999999995E-2</v>
      </c>
      <c r="F112">
        <v>6.6000000000000003E-2</v>
      </c>
      <c r="G112">
        <v>4.4999999999999998E-2</v>
      </c>
      <c r="H112">
        <v>-0.04</v>
      </c>
      <c r="I112">
        <v>0.18</v>
      </c>
      <c r="J112">
        <v>0.4</v>
      </c>
      <c r="K112">
        <v>75.86</v>
      </c>
      <c r="L112">
        <v>154.69999999999999</v>
      </c>
      <c r="O112" t="s">
        <v>252</v>
      </c>
      <c r="P112" s="73">
        <v>1</v>
      </c>
      <c r="Q112" s="74">
        <v>4.7</v>
      </c>
      <c r="R112" s="85">
        <v>7.7</v>
      </c>
      <c r="S112" s="85">
        <v>-4.3</v>
      </c>
      <c r="T112" s="85" t="s">
        <v>312</v>
      </c>
      <c r="U112" s="86">
        <v>41760</v>
      </c>
      <c r="V112" s="85" t="s">
        <v>313</v>
      </c>
      <c r="W112" t="s">
        <v>148</v>
      </c>
    </row>
    <row r="113" spans="1:23" ht="15" thickBot="1" x14ac:dyDescent="0.4">
      <c r="A113" t="s">
        <v>189</v>
      </c>
      <c r="B113">
        <v>126</v>
      </c>
      <c r="C113">
        <v>3.2000000000000001E-2</v>
      </c>
      <c r="D113">
        <v>5.0000000000000001E-3</v>
      </c>
      <c r="E113">
        <v>2.1000000000000001E-2</v>
      </c>
      <c r="F113">
        <v>-4.0000000000000001E-3</v>
      </c>
      <c r="G113">
        <v>7.0999999999999994E-2</v>
      </c>
      <c r="H113">
        <v>-2.1999999999999999E-2</v>
      </c>
      <c r="I113">
        <v>0.79200000000000004</v>
      </c>
      <c r="J113">
        <v>3</v>
      </c>
      <c r="K113">
        <v>245.44</v>
      </c>
      <c r="L113">
        <v>9.91</v>
      </c>
      <c r="O113" t="s">
        <v>257</v>
      </c>
      <c r="P113" s="73">
        <v>4.3</v>
      </c>
      <c r="Q113" s="74">
        <v>-3.7</v>
      </c>
      <c r="R113" s="85">
        <v>13.3</v>
      </c>
      <c r="S113" s="85">
        <v>-8.8000000000000007</v>
      </c>
      <c r="T113" s="85" t="s">
        <v>312</v>
      </c>
      <c r="U113" s="86">
        <v>41214</v>
      </c>
      <c r="V113" s="85" t="s">
        <v>313</v>
      </c>
      <c r="W113" t="s">
        <v>148</v>
      </c>
    </row>
    <row r="114" spans="1:23" ht="15" thickBot="1" x14ac:dyDescent="0.4">
      <c r="A114" t="s">
        <v>190</v>
      </c>
      <c r="B114">
        <v>122</v>
      </c>
      <c r="C114">
        <v>5.0999999999999997E-2</v>
      </c>
      <c r="D114">
        <v>7.3999999999999996E-2</v>
      </c>
      <c r="E114">
        <v>0.09</v>
      </c>
      <c r="F114">
        <v>7.4800000000000005E-2</v>
      </c>
      <c r="G114">
        <v>0.26</v>
      </c>
      <c r="H114">
        <v>2.4E-2</v>
      </c>
      <c r="I114">
        <v>0.29289999999999999</v>
      </c>
      <c r="J114">
        <v>7.3</v>
      </c>
      <c r="K114">
        <v>100.95</v>
      </c>
      <c r="L114">
        <v>19.18</v>
      </c>
      <c r="O114" t="s">
        <v>149</v>
      </c>
      <c r="P114" s="73">
        <v>0.2</v>
      </c>
      <c r="Q114" s="74">
        <v>0.6</v>
      </c>
      <c r="R114" s="85">
        <v>2</v>
      </c>
      <c r="S114" s="85">
        <v>-2.2000000000000002</v>
      </c>
      <c r="T114" s="85" t="s">
        <v>312</v>
      </c>
      <c r="U114" s="86">
        <v>41852</v>
      </c>
      <c r="V114" s="85" t="s">
        <v>313</v>
      </c>
      <c r="W114" t="s">
        <v>148</v>
      </c>
    </row>
    <row r="115" spans="1:23" ht="15" thickBot="1" x14ac:dyDescent="0.4">
      <c r="A115" t="s">
        <v>191</v>
      </c>
      <c r="B115">
        <v>104</v>
      </c>
      <c r="C115">
        <v>2.5999999999999999E-2</v>
      </c>
      <c r="D115">
        <v>2.3E-2</v>
      </c>
      <c r="E115">
        <v>2.75E-2</v>
      </c>
      <c r="F115">
        <v>6.0000000000000001E-3</v>
      </c>
      <c r="G115">
        <v>9.6000000000000002E-2</v>
      </c>
      <c r="H115">
        <v>-5.3999999999999999E-2</v>
      </c>
      <c r="I115">
        <v>0.61699999999999999</v>
      </c>
      <c r="J115">
        <v>-7.2</v>
      </c>
      <c r="K115">
        <v>8.82</v>
      </c>
      <c r="L115">
        <v>32.950000000000003</v>
      </c>
      <c r="O115" t="s">
        <v>150</v>
      </c>
      <c r="P115" s="73">
        <v>0.7</v>
      </c>
      <c r="Q115" s="74">
        <v>1</v>
      </c>
      <c r="R115" s="85">
        <v>2.9</v>
      </c>
      <c r="S115" s="85">
        <v>-2.6</v>
      </c>
      <c r="T115" s="85" t="s">
        <v>312</v>
      </c>
      <c r="U115" s="86">
        <v>41760</v>
      </c>
      <c r="V115" s="85" t="s">
        <v>313</v>
      </c>
      <c r="W115" t="s">
        <v>148</v>
      </c>
    </row>
    <row r="116" spans="1:23" ht="15" thickBot="1" x14ac:dyDescent="0.4">
      <c r="A116" t="s">
        <v>192</v>
      </c>
      <c r="B116">
        <v>101</v>
      </c>
      <c r="C116">
        <v>3.0000000000000001E-3</v>
      </c>
      <c r="D116" s="95"/>
      <c r="E116" s="95"/>
      <c r="F116">
        <v>4.0000000000000001E-3</v>
      </c>
      <c r="G116">
        <v>0.14000000000000001</v>
      </c>
      <c r="H116" s="95"/>
      <c r="I116" s="95"/>
      <c r="J116" s="95"/>
      <c r="K116">
        <v>88.65</v>
      </c>
      <c r="L116">
        <v>3.67</v>
      </c>
      <c r="O116" t="s">
        <v>166</v>
      </c>
      <c r="P116" s="73">
        <v>8.67</v>
      </c>
      <c r="Q116" s="74">
        <v>4.18</v>
      </c>
      <c r="R116" s="85">
        <v>8.99</v>
      </c>
      <c r="S116" s="85">
        <v>-9.8800000000000008</v>
      </c>
      <c r="T116" s="85" t="s">
        <v>312</v>
      </c>
      <c r="U116" s="86">
        <v>41852</v>
      </c>
      <c r="V116" s="85" t="s">
        <v>313</v>
      </c>
      <c r="W116" t="s">
        <v>148</v>
      </c>
    </row>
    <row r="117" spans="1:23" ht="15" thickBot="1" x14ac:dyDescent="0.4">
      <c r="A117" t="s">
        <v>193</v>
      </c>
      <c r="B117">
        <v>92</v>
      </c>
      <c r="C117">
        <v>2.4E-2</v>
      </c>
      <c r="D117">
        <v>6.0000000000000001E-3</v>
      </c>
      <c r="E117">
        <v>5.0000000000000001E-4</v>
      </c>
      <c r="F117">
        <v>0</v>
      </c>
      <c r="G117">
        <v>0.1235</v>
      </c>
      <c r="H117">
        <v>-2.93E-2</v>
      </c>
      <c r="I117">
        <v>0.5494</v>
      </c>
      <c r="J117">
        <v>2.1</v>
      </c>
      <c r="K117">
        <v>1.24</v>
      </c>
      <c r="L117">
        <v>5.41</v>
      </c>
      <c r="O117" t="s">
        <v>40</v>
      </c>
      <c r="P117" s="73">
        <v>0.5</v>
      </c>
      <c r="Q117" s="74">
        <v>1.1000000000000001</v>
      </c>
      <c r="R117" s="85">
        <v>3.6</v>
      </c>
      <c r="S117" s="85">
        <v>-2.6</v>
      </c>
      <c r="T117" s="85" t="s">
        <v>312</v>
      </c>
      <c r="U117" s="86">
        <v>41852</v>
      </c>
      <c r="V117" s="85" t="s">
        <v>313</v>
      </c>
      <c r="W117" t="s">
        <v>148</v>
      </c>
    </row>
    <row r="118" spans="1:23" ht="15" thickBot="1" x14ac:dyDescent="0.4">
      <c r="A118" t="s">
        <v>194</v>
      </c>
      <c r="B118">
        <v>90</v>
      </c>
      <c r="C118">
        <v>3.5000000000000003E-2</v>
      </c>
      <c r="D118">
        <v>0.01</v>
      </c>
      <c r="E118">
        <v>8.3400000000000002E-2</v>
      </c>
      <c r="F118">
        <v>3.9800000000000002E-2</v>
      </c>
      <c r="G118">
        <v>5.7099999999999998E-2</v>
      </c>
      <c r="H118">
        <v>-0.04</v>
      </c>
      <c r="I118">
        <v>0.24399999999999999</v>
      </c>
      <c r="J118">
        <v>-1.3</v>
      </c>
      <c r="K118">
        <v>216.3</v>
      </c>
      <c r="L118">
        <v>15.74</v>
      </c>
      <c r="O118" t="s">
        <v>178</v>
      </c>
      <c r="P118" s="73">
        <v>5</v>
      </c>
      <c r="Q118" s="74">
        <v>4.0999999999999996</v>
      </c>
      <c r="R118" s="85">
        <v>10.220000000000001</v>
      </c>
      <c r="S118" s="85">
        <v>-1.8</v>
      </c>
      <c r="T118" s="85" t="s">
        <v>312</v>
      </c>
      <c r="U118" s="86">
        <v>41699</v>
      </c>
      <c r="V118" s="85" t="s">
        <v>314</v>
      </c>
      <c r="W118" t="s">
        <v>148</v>
      </c>
    </row>
    <row r="119" spans="1:23" ht="15" thickBot="1" x14ac:dyDescent="0.4">
      <c r="A119" t="s">
        <v>195</v>
      </c>
      <c r="B119">
        <v>81</v>
      </c>
      <c r="C119">
        <v>2.8000000000000001E-2</v>
      </c>
      <c r="D119" s="95"/>
      <c r="E119">
        <v>0.01</v>
      </c>
      <c r="F119">
        <v>1.0200000000000001E-2</v>
      </c>
      <c r="G119">
        <v>0.15</v>
      </c>
      <c r="H119">
        <v>-3.0000000000000001E-3</v>
      </c>
      <c r="I119">
        <v>4.9000000000000002E-2</v>
      </c>
      <c r="J119">
        <v>6.4</v>
      </c>
      <c r="K119">
        <v>0.38</v>
      </c>
      <c r="L119">
        <v>3.63</v>
      </c>
      <c r="O119" t="s">
        <v>230</v>
      </c>
      <c r="P119" s="73">
        <v>-0.6</v>
      </c>
      <c r="Q119" s="74">
        <v>2.2000000000000002</v>
      </c>
      <c r="R119" s="85">
        <v>10.9</v>
      </c>
      <c r="S119" s="85">
        <v>-5</v>
      </c>
      <c r="T119" s="85" t="s">
        <v>312</v>
      </c>
      <c r="U119" s="86">
        <v>41760</v>
      </c>
      <c r="V119" s="85" t="s">
        <v>313</v>
      </c>
      <c r="W119" t="s">
        <v>148</v>
      </c>
    </row>
    <row r="120" spans="1:23" ht="15" thickBot="1" x14ac:dyDescent="0.4">
      <c r="A120" t="s">
        <v>196</v>
      </c>
      <c r="B120">
        <v>75</v>
      </c>
      <c r="C120">
        <v>-0.1206</v>
      </c>
      <c r="D120" s="95"/>
      <c r="E120">
        <v>0.03</v>
      </c>
      <c r="F120">
        <v>1.0999999999999999E-2</v>
      </c>
      <c r="G120">
        <v>0.19500000000000001</v>
      </c>
      <c r="H120">
        <v>-9.2999999999999999E-2</v>
      </c>
      <c r="I120">
        <v>6.8000000000000005E-2</v>
      </c>
      <c r="J120">
        <v>50.3</v>
      </c>
      <c r="K120">
        <v>1.19</v>
      </c>
      <c r="L120">
        <v>6.2</v>
      </c>
      <c r="O120" t="s">
        <v>184</v>
      </c>
      <c r="P120" s="73">
        <v>0.3</v>
      </c>
      <c r="Q120" s="74">
        <v>1.7</v>
      </c>
      <c r="R120" s="85">
        <v>2.9</v>
      </c>
      <c r="S120" s="85">
        <v>-1.3</v>
      </c>
      <c r="T120" s="85" t="s">
        <v>312</v>
      </c>
      <c r="U120" s="86">
        <v>41671</v>
      </c>
      <c r="V120" s="85" t="s">
        <v>313</v>
      </c>
      <c r="W120" t="s">
        <v>148</v>
      </c>
    </row>
    <row r="121" spans="1:23" ht="15" thickBot="1" x14ac:dyDescent="0.4">
      <c r="A121" t="s">
        <v>197</v>
      </c>
      <c r="B121">
        <v>74</v>
      </c>
      <c r="C121">
        <v>2.5000000000000001E-2</v>
      </c>
      <c r="E121">
        <v>3.5000000000000003E-2</v>
      </c>
      <c r="F121">
        <v>1.4999999999999999E-2</v>
      </c>
      <c r="G121">
        <v>5.1999999999999998E-2</v>
      </c>
      <c r="H121">
        <v>6.0000000000000001E-3</v>
      </c>
      <c r="I121">
        <v>0.13750000000000001</v>
      </c>
      <c r="J121">
        <v>16.7</v>
      </c>
      <c r="K121">
        <v>0.78</v>
      </c>
      <c r="L121">
        <v>9.36</v>
      </c>
      <c r="O121" t="s">
        <v>176</v>
      </c>
      <c r="P121" s="73">
        <v>0.4</v>
      </c>
      <c r="Q121" s="74">
        <v>1.9</v>
      </c>
      <c r="R121" s="85">
        <v>3.2</v>
      </c>
      <c r="S121" s="85">
        <v>-2.4</v>
      </c>
      <c r="T121" s="85" t="s">
        <v>312</v>
      </c>
      <c r="U121" s="86">
        <v>41852</v>
      </c>
      <c r="V121" s="85" t="s">
        <v>313</v>
      </c>
      <c r="W121" t="s">
        <v>148</v>
      </c>
    </row>
    <row r="122" spans="1:23" ht="15" thickBot="1" x14ac:dyDescent="0.4">
      <c r="A122" t="s">
        <v>198</v>
      </c>
      <c r="B122">
        <v>74</v>
      </c>
      <c r="C122">
        <v>-2.3E-2</v>
      </c>
      <c r="D122" s="95"/>
      <c r="E122" s="95"/>
      <c r="F122">
        <v>4.3999999999999997E-2</v>
      </c>
      <c r="G122">
        <v>0.14899999999999999</v>
      </c>
      <c r="H122">
        <v>-0.114</v>
      </c>
      <c r="I122">
        <v>0.30009999999999998</v>
      </c>
      <c r="J122">
        <v>-0.62</v>
      </c>
      <c r="K122">
        <v>174.25</v>
      </c>
      <c r="L122">
        <v>22.85</v>
      </c>
      <c r="O122" t="s">
        <v>42</v>
      </c>
      <c r="P122" s="73">
        <v>0.9</v>
      </c>
      <c r="Q122" s="74">
        <v>0.7</v>
      </c>
      <c r="R122" s="85">
        <v>6.1</v>
      </c>
      <c r="S122" s="85">
        <v>-3.1</v>
      </c>
      <c r="T122" s="85" t="s">
        <v>312</v>
      </c>
      <c r="U122" s="86">
        <v>41852</v>
      </c>
      <c r="V122" s="85" t="s">
        <v>313</v>
      </c>
      <c r="W122" t="s">
        <v>148</v>
      </c>
    </row>
    <row r="123" spans="1:23" ht="15" thickBot="1" x14ac:dyDescent="0.4">
      <c r="A123" t="s">
        <v>199</v>
      </c>
      <c r="B123">
        <v>72</v>
      </c>
      <c r="C123">
        <v>5.0000000000000001E-3</v>
      </c>
      <c r="D123" s="95"/>
      <c r="E123">
        <v>0.2</v>
      </c>
      <c r="F123">
        <v>0.1938</v>
      </c>
      <c r="G123">
        <v>5.0000000000000001E-3</v>
      </c>
      <c r="H123">
        <v>-4.0000000000000001E-3</v>
      </c>
      <c r="I123">
        <v>0.36709999999999998</v>
      </c>
      <c r="J123">
        <v>-9.8000000000000007</v>
      </c>
      <c r="K123">
        <v>10900</v>
      </c>
      <c r="L123">
        <v>9.4700000000000006</v>
      </c>
      <c r="O123" t="s">
        <v>181</v>
      </c>
      <c r="P123" s="73">
        <v>0.3</v>
      </c>
      <c r="Q123" s="74">
        <v>0.3</v>
      </c>
      <c r="R123" s="85">
        <v>3.3</v>
      </c>
      <c r="S123" s="85">
        <v>-2.6</v>
      </c>
      <c r="T123" s="85" t="s">
        <v>312</v>
      </c>
      <c r="U123" s="86">
        <v>41852</v>
      </c>
      <c r="V123" s="85" t="s">
        <v>313</v>
      </c>
      <c r="W123" t="s">
        <v>148</v>
      </c>
    </row>
    <row r="124" spans="1:23" ht="15" thickBot="1" x14ac:dyDescent="0.4">
      <c r="A124" t="s">
        <v>200</v>
      </c>
      <c r="B124">
        <v>68</v>
      </c>
      <c r="C124">
        <v>2.7E-2</v>
      </c>
      <c r="D124" s="95"/>
      <c r="E124">
        <v>2.2499999999999999E-2</v>
      </c>
      <c r="F124">
        <v>5.5E-2</v>
      </c>
      <c r="G124">
        <v>3.3000000000000002E-2</v>
      </c>
      <c r="H124">
        <v>-1.2E-2</v>
      </c>
      <c r="I124">
        <v>0.21099999999999999</v>
      </c>
      <c r="J124">
        <v>0.9</v>
      </c>
      <c r="K124">
        <v>1</v>
      </c>
      <c r="L124">
        <v>11.21</v>
      </c>
      <c r="O124" t="s">
        <v>183</v>
      </c>
      <c r="P124" s="73">
        <v>-0.2</v>
      </c>
      <c r="Q124" s="74">
        <v>2.2999999999999998</v>
      </c>
      <c r="R124" s="85">
        <v>14.4</v>
      </c>
      <c r="S124" s="85">
        <v>-23.2</v>
      </c>
      <c r="T124" s="85" t="s">
        <v>312</v>
      </c>
      <c r="U124" s="86">
        <v>41760</v>
      </c>
      <c r="V124" s="85" t="s">
        <v>313</v>
      </c>
      <c r="W124" t="s">
        <v>148</v>
      </c>
    </row>
    <row r="125" spans="1:23" ht="15" thickBot="1" x14ac:dyDescent="0.4">
      <c r="A125" t="s">
        <v>201</v>
      </c>
      <c r="B125">
        <v>67</v>
      </c>
      <c r="C125">
        <v>7.8E-2</v>
      </c>
      <c r="D125">
        <v>7.8E-2</v>
      </c>
      <c r="E125">
        <v>6.5000000000000002E-2</v>
      </c>
      <c r="F125">
        <v>1.4999999999999999E-2</v>
      </c>
      <c r="G125">
        <v>4.4999999999999998E-2</v>
      </c>
      <c r="H125">
        <v>-5.8999999999999997E-2</v>
      </c>
      <c r="I125">
        <v>0.78300000000000003</v>
      </c>
      <c r="J125">
        <v>-3.9</v>
      </c>
      <c r="K125">
        <v>130.94999999999999</v>
      </c>
      <c r="L125">
        <v>20.48</v>
      </c>
      <c r="O125" t="s">
        <v>185</v>
      </c>
      <c r="P125" s="73">
        <v>1.9</v>
      </c>
      <c r="Q125" s="74">
        <v>-0.3</v>
      </c>
      <c r="R125" s="85">
        <v>3.6</v>
      </c>
      <c r="S125" s="85">
        <v>-4.8</v>
      </c>
      <c r="T125" s="85" t="s">
        <v>312</v>
      </c>
      <c r="U125" s="86">
        <v>41852</v>
      </c>
      <c r="V125" s="85" t="s">
        <v>313</v>
      </c>
      <c r="W125" t="s">
        <v>148</v>
      </c>
    </row>
    <row r="126" spans="1:23" ht="15" thickBot="1" x14ac:dyDescent="0.4">
      <c r="A126" t="s">
        <v>202</v>
      </c>
      <c r="B126">
        <v>67</v>
      </c>
      <c r="C126">
        <v>3.5999999999999997E-2</v>
      </c>
      <c r="E126">
        <v>0.121</v>
      </c>
      <c r="F126">
        <v>0.28199999999999997</v>
      </c>
      <c r="G126">
        <v>0.159</v>
      </c>
      <c r="H126">
        <v>-1.7000000000000001E-2</v>
      </c>
      <c r="I126">
        <v>0.62</v>
      </c>
      <c r="J126">
        <v>-9.6</v>
      </c>
      <c r="K126">
        <v>5.77</v>
      </c>
      <c r="L126">
        <v>37.96</v>
      </c>
      <c r="O126" t="s">
        <v>27</v>
      </c>
      <c r="P126" s="73">
        <v>0.25</v>
      </c>
      <c r="Q126" s="74">
        <v>7.0000000000000007E-2</v>
      </c>
      <c r="R126" s="85">
        <v>4.0999999999999996</v>
      </c>
      <c r="S126" s="85">
        <v>-5.4</v>
      </c>
      <c r="T126" s="85" t="s">
        <v>312</v>
      </c>
      <c r="U126" s="86">
        <v>41760</v>
      </c>
      <c r="V126" s="85" t="s">
        <v>313</v>
      </c>
      <c r="W126" t="s">
        <v>148</v>
      </c>
    </row>
    <row r="127" spans="1:23" ht="15" thickBot="1" x14ac:dyDescent="0.4">
      <c r="A127" t="s">
        <v>203</v>
      </c>
      <c r="B127">
        <v>61</v>
      </c>
      <c r="C127">
        <v>5.5E-2</v>
      </c>
      <c r="D127" s="102">
        <v>-0.13439999999999999</v>
      </c>
      <c r="E127">
        <v>6.25E-2</v>
      </c>
      <c r="F127">
        <v>2.8799999999999999E-2</v>
      </c>
      <c r="G127">
        <v>0.14899999999999999</v>
      </c>
      <c r="H127">
        <v>-2.87E-2</v>
      </c>
      <c r="I127">
        <v>0.51770000000000005</v>
      </c>
      <c r="J127">
        <v>-3.5</v>
      </c>
      <c r="K127">
        <v>44.09</v>
      </c>
      <c r="L127">
        <v>10.4</v>
      </c>
      <c r="O127" t="s">
        <v>280</v>
      </c>
      <c r="P127" s="73">
        <v>1.06</v>
      </c>
      <c r="Q127" s="74">
        <v>-2.1</v>
      </c>
      <c r="R127" s="85">
        <v>13.4</v>
      </c>
      <c r="S127" s="85">
        <v>2.2000000000000002</v>
      </c>
      <c r="T127" s="85" t="s">
        <v>312</v>
      </c>
      <c r="U127" s="86">
        <v>41760</v>
      </c>
      <c r="V127" s="85" t="s">
        <v>313</v>
      </c>
      <c r="W127" t="s">
        <v>148</v>
      </c>
    </row>
    <row r="128" spans="1:23" ht="15" thickBot="1" x14ac:dyDescent="0.4">
      <c r="A128" t="s">
        <v>204</v>
      </c>
      <c r="B128">
        <v>60</v>
      </c>
      <c r="C128">
        <v>3.2000000000000001E-2</v>
      </c>
      <c r="D128">
        <v>7.0000000000000001E-3</v>
      </c>
      <c r="E128">
        <v>5.0000000000000001E-4</v>
      </c>
      <c r="F128">
        <v>3.0999999999999999E-3</v>
      </c>
      <c r="G128">
        <v>7.0999999999999994E-2</v>
      </c>
      <c r="H128">
        <v>1E-3</v>
      </c>
      <c r="I128">
        <v>0.23100000000000001</v>
      </c>
      <c r="J128">
        <v>5.2</v>
      </c>
      <c r="K128">
        <v>1.24</v>
      </c>
      <c r="L128">
        <v>0.53</v>
      </c>
      <c r="O128" t="s">
        <v>132</v>
      </c>
      <c r="P128" s="73">
        <v>3.8</v>
      </c>
      <c r="Q128" s="74">
        <v>5.0999999999999996</v>
      </c>
      <c r="R128" s="85">
        <v>27.49</v>
      </c>
      <c r="S128" s="85">
        <v>-11.1</v>
      </c>
      <c r="T128" s="85" t="s">
        <v>312</v>
      </c>
      <c r="U128" s="86">
        <v>41760</v>
      </c>
      <c r="V128" s="85" t="s">
        <v>313</v>
      </c>
      <c r="W128" t="s">
        <v>148</v>
      </c>
    </row>
    <row r="129" spans="1:23" ht="15" thickBot="1" x14ac:dyDescent="0.4">
      <c r="A129" t="s">
        <v>205</v>
      </c>
      <c r="B129">
        <v>58</v>
      </c>
      <c r="C129">
        <v>-5.0000000000000001E-3</v>
      </c>
      <c r="D129">
        <v>-3.0000000000000001E-3</v>
      </c>
      <c r="E129">
        <v>0.05</v>
      </c>
      <c r="F129">
        <v>3.7000000000000002E-3</v>
      </c>
      <c r="G129">
        <v>0.187</v>
      </c>
      <c r="H129">
        <v>-4.9000000000000002E-2</v>
      </c>
      <c r="I129">
        <v>0.67100000000000004</v>
      </c>
      <c r="J129">
        <v>1.2</v>
      </c>
      <c r="K129">
        <v>6.16</v>
      </c>
      <c r="L129">
        <v>4.26</v>
      </c>
      <c r="O129" t="s">
        <v>250</v>
      </c>
      <c r="P129" s="73">
        <v>2.1</v>
      </c>
      <c r="Q129" s="74">
        <v>-14.8</v>
      </c>
      <c r="R129" s="85">
        <v>25</v>
      </c>
      <c r="S129" s="85">
        <v>-14.8</v>
      </c>
      <c r="T129" s="85" t="s">
        <v>312</v>
      </c>
      <c r="U129" s="86">
        <v>41760</v>
      </c>
      <c r="V129" s="85" t="s">
        <v>313</v>
      </c>
      <c r="W129" t="s">
        <v>148</v>
      </c>
    </row>
    <row r="130" spans="1:23" ht="15" thickBot="1" x14ac:dyDescent="0.4">
      <c r="A130" t="s">
        <v>206</v>
      </c>
      <c r="B130">
        <v>57</v>
      </c>
      <c r="C130">
        <v>8.1000000000000003E-2</v>
      </c>
      <c r="E130">
        <v>0.1</v>
      </c>
      <c r="F130">
        <v>6.8000000000000005E-2</v>
      </c>
      <c r="G130">
        <v>4.8000000000000001E-2</v>
      </c>
      <c r="H130">
        <v>-8.9999999999999993E-3</v>
      </c>
      <c r="I130">
        <v>8.5800000000000001E-2</v>
      </c>
      <c r="J130">
        <v>3.7</v>
      </c>
      <c r="K130">
        <v>2401.09</v>
      </c>
      <c r="L130">
        <v>30.49</v>
      </c>
      <c r="O130" t="s">
        <v>220</v>
      </c>
      <c r="P130" s="73">
        <v>-0.3</v>
      </c>
      <c r="Q130" s="74">
        <v>-0.5</v>
      </c>
      <c r="R130" s="85">
        <v>5.2</v>
      </c>
      <c r="S130" s="85">
        <v>-2.7</v>
      </c>
      <c r="T130" s="85" t="s">
        <v>312</v>
      </c>
      <c r="U130" s="86">
        <v>41671</v>
      </c>
      <c r="V130" s="85" t="s">
        <v>313</v>
      </c>
      <c r="W130" t="s">
        <v>148</v>
      </c>
    </row>
    <row r="131" spans="1:23" ht="15" thickBot="1" x14ac:dyDescent="0.4">
      <c r="A131" t="s">
        <v>207</v>
      </c>
      <c r="B131">
        <v>56</v>
      </c>
      <c r="C131">
        <v>3.6999999999999998E-2</v>
      </c>
      <c r="D131">
        <v>0.02</v>
      </c>
      <c r="E131">
        <v>9.2499999999999999E-2</v>
      </c>
      <c r="F131">
        <v>8.1100000000000005E-2</v>
      </c>
      <c r="G131">
        <v>6.2E-2</v>
      </c>
      <c r="H131">
        <v>3.2000000000000002E-3</v>
      </c>
      <c r="I131">
        <v>0.59399999999999997</v>
      </c>
      <c r="J131">
        <v>-5.9</v>
      </c>
      <c r="K131">
        <v>23.09</v>
      </c>
      <c r="L131">
        <v>3.39</v>
      </c>
      <c r="O131" t="s">
        <v>133</v>
      </c>
      <c r="P131" s="73">
        <v>3.1</v>
      </c>
      <c r="Q131" s="74">
        <v>-0.3</v>
      </c>
      <c r="R131" s="85">
        <v>36.4</v>
      </c>
      <c r="S131" s="85">
        <v>-13</v>
      </c>
      <c r="T131" s="85" t="s">
        <v>312</v>
      </c>
      <c r="U131" s="86">
        <v>41852</v>
      </c>
      <c r="V131" s="85" t="s">
        <v>313</v>
      </c>
      <c r="W131" t="s">
        <v>148</v>
      </c>
    </row>
    <row r="132" spans="1:23" ht="15" thickBot="1" x14ac:dyDescent="0.4">
      <c r="A132" t="s">
        <v>208</v>
      </c>
      <c r="B132">
        <v>54</v>
      </c>
      <c r="C132">
        <v>4.2999999999999997E-2</v>
      </c>
      <c r="E132">
        <v>4.4999999999999998E-2</v>
      </c>
      <c r="F132">
        <v>3.6400000000000002E-2</v>
      </c>
      <c r="G132">
        <v>2.9000000000000001E-2</v>
      </c>
      <c r="H132">
        <v>-2.1999999999999999E-2</v>
      </c>
      <c r="I132">
        <v>0.30640000000000001</v>
      </c>
      <c r="J132">
        <v>-2.7</v>
      </c>
      <c r="K132">
        <v>7.62</v>
      </c>
      <c r="L132">
        <v>15.44</v>
      </c>
      <c r="O132" t="s">
        <v>193</v>
      </c>
      <c r="P132" s="73">
        <v>0.6</v>
      </c>
      <c r="Q132" s="74">
        <v>0.6</v>
      </c>
      <c r="R132" s="85">
        <v>9</v>
      </c>
      <c r="S132" s="85">
        <v>-7.6</v>
      </c>
      <c r="T132" s="85" t="s">
        <v>312</v>
      </c>
      <c r="U132" s="86">
        <v>41852</v>
      </c>
      <c r="V132" s="85" t="s">
        <v>313</v>
      </c>
      <c r="W132" t="s">
        <v>148</v>
      </c>
    </row>
    <row r="133" spans="1:23" ht="15" thickBot="1" x14ac:dyDescent="0.4">
      <c r="A133" t="s">
        <v>209</v>
      </c>
      <c r="B133">
        <v>53</v>
      </c>
      <c r="C133">
        <v>1.6E-2</v>
      </c>
      <c r="D133">
        <v>5.0000000000000001E-3</v>
      </c>
      <c r="E133">
        <v>2.0000000000000001E-4</v>
      </c>
      <c r="F133">
        <v>-4.0000000000000001E-3</v>
      </c>
      <c r="G133">
        <v>0.108</v>
      </c>
      <c r="H133">
        <v>-1.4999999999999999E-2</v>
      </c>
      <c r="I133">
        <v>0.189</v>
      </c>
      <c r="J133">
        <v>1.9</v>
      </c>
      <c r="K133">
        <v>1.57</v>
      </c>
      <c r="L133">
        <v>7.25</v>
      </c>
      <c r="O133" t="s">
        <v>216</v>
      </c>
      <c r="P133" s="73">
        <v>0.7</v>
      </c>
      <c r="Q133" s="74">
        <v>1</v>
      </c>
      <c r="R133" s="85">
        <v>4.1900000000000004</v>
      </c>
      <c r="S133" s="85">
        <v>-6.04</v>
      </c>
      <c r="T133" s="85" t="s">
        <v>312</v>
      </c>
      <c r="U133" s="86">
        <v>41852</v>
      </c>
      <c r="V133" s="85" t="s">
        <v>313</v>
      </c>
      <c r="W133" t="s">
        <v>148</v>
      </c>
    </row>
    <row r="134" spans="1:23" ht="15" thickBot="1" x14ac:dyDescent="0.4">
      <c r="A134" t="s">
        <v>210</v>
      </c>
      <c r="B134">
        <v>53</v>
      </c>
      <c r="C134">
        <v>6.5000000000000002E-2</v>
      </c>
      <c r="D134" s="95"/>
      <c r="E134">
        <v>0.1</v>
      </c>
      <c r="F134">
        <v>5.2200000000000003E-2</v>
      </c>
      <c r="G134">
        <v>4.02E-2</v>
      </c>
      <c r="H134">
        <v>-4.9000000000000002E-2</v>
      </c>
      <c r="I134">
        <v>0.42659999999999998</v>
      </c>
      <c r="J134">
        <v>-4.8</v>
      </c>
      <c r="K134">
        <v>1038</v>
      </c>
      <c r="L134">
        <v>53.26</v>
      </c>
      <c r="O134" t="s">
        <v>134</v>
      </c>
      <c r="P134" s="73">
        <v>1.4</v>
      </c>
      <c r="Q134" s="74">
        <v>0.5</v>
      </c>
      <c r="R134" s="85">
        <v>7.6</v>
      </c>
      <c r="S134" s="85">
        <v>-6.1</v>
      </c>
      <c r="T134" s="85" t="s">
        <v>312</v>
      </c>
      <c r="U134" s="86">
        <v>41852</v>
      </c>
      <c r="V134" s="85" t="s">
        <v>313</v>
      </c>
      <c r="W134" t="s">
        <v>148</v>
      </c>
    </row>
    <row r="135" spans="1:23" ht="15" thickBot="1" x14ac:dyDescent="0.4">
      <c r="A135" t="s">
        <v>211</v>
      </c>
      <c r="B135">
        <v>52</v>
      </c>
      <c r="C135">
        <v>-2.1000000000000001E-2</v>
      </c>
      <c r="E135">
        <v>5.0000000000000001E-3</v>
      </c>
      <c r="F135">
        <v>5.8200000000000002E-2</v>
      </c>
      <c r="G135">
        <v>1.7000000000000001E-2</v>
      </c>
      <c r="J135">
        <v>42.93</v>
      </c>
      <c r="K135">
        <v>7.99</v>
      </c>
      <c r="L135">
        <v>0.6</v>
      </c>
      <c r="O135" t="s">
        <v>135</v>
      </c>
      <c r="P135" s="73">
        <v>0.9</v>
      </c>
      <c r="Q135" s="74">
        <v>0.5</v>
      </c>
      <c r="R135" s="85">
        <v>6.8</v>
      </c>
      <c r="S135" s="85">
        <v>-7</v>
      </c>
      <c r="T135" s="85" t="s">
        <v>312</v>
      </c>
      <c r="U135" s="86">
        <v>41852</v>
      </c>
      <c r="V135" s="85" t="s">
        <v>313</v>
      </c>
      <c r="W135" t="s">
        <v>148</v>
      </c>
    </row>
    <row r="136" spans="1:23" ht="15" thickBot="1" x14ac:dyDescent="0.4">
      <c r="A136" t="s">
        <v>212</v>
      </c>
      <c r="B136">
        <v>50</v>
      </c>
      <c r="C136">
        <v>3.8199999999999998E-2</v>
      </c>
      <c r="D136" s="98">
        <v>8.8000000000000005E-3</v>
      </c>
      <c r="E136">
        <v>5.2499999999999998E-2</v>
      </c>
      <c r="F136">
        <v>5.7000000000000002E-2</v>
      </c>
      <c r="G136">
        <v>0.09</v>
      </c>
      <c r="H136">
        <v>-5.3999999999999999E-2</v>
      </c>
      <c r="I136">
        <v>0.55449999999999999</v>
      </c>
      <c r="J136">
        <v>-5.0999999999999996</v>
      </c>
      <c r="K136">
        <v>536.14</v>
      </c>
      <c r="L136">
        <v>4.71</v>
      </c>
      <c r="O136" t="s">
        <v>26</v>
      </c>
      <c r="P136" s="73">
        <v>0.5</v>
      </c>
      <c r="Q136" s="74">
        <v>0.5</v>
      </c>
      <c r="R136" s="85">
        <v>1.53</v>
      </c>
      <c r="S136" s="85">
        <v>-1.6</v>
      </c>
      <c r="T136" s="85" t="s">
        <v>312</v>
      </c>
      <c r="U136" s="86">
        <v>41852</v>
      </c>
      <c r="V136" s="85" t="s">
        <v>313</v>
      </c>
      <c r="W136" t="s">
        <v>148</v>
      </c>
    </row>
    <row r="137" spans="1:23" ht="15" thickBot="1" x14ac:dyDescent="0.4">
      <c r="A137" t="s">
        <v>213</v>
      </c>
      <c r="B137">
        <v>48</v>
      </c>
      <c r="C137">
        <v>5.2999999999999999E-2</v>
      </c>
      <c r="D137">
        <v>3.3000000000000002E-2</v>
      </c>
      <c r="E137">
        <v>0.21</v>
      </c>
      <c r="F137">
        <v>0.16900000000000001</v>
      </c>
      <c r="G137">
        <v>0.129</v>
      </c>
      <c r="H137">
        <v>-0.10100000000000001</v>
      </c>
      <c r="I137">
        <v>0.44900000000000001</v>
      </c>
      <c r="J137">
        <v>-12.3</v>
      </c>
      <c r="K137">
        <v>3.17</v>
      </c>
      <c r="L137">
        <v>25.91</v>
      </c>
      <c r="O137" t="s">
        <v>201</v>
      </c>
      <c r="P137" s="73">
        <v>7.8</v>
      </c>
      <c r="Q137" s="74">
        <v>7.6</v>
      </c>
      <c r="R137" s="85">
        <v>8.6</v>
      </c>
      <c r="S137" s="85">
        <v>1.5</v>
      </c>
      <c r="T137" s="85" t="s">
        <v>312</v>
      </c>
      <c r="U137" s="86">
        <v>41760</v>
      </c>
      <c r="V137" s="85" t="s">
        <v>313</v>
      </c>
      <c r="W137" t="s">
        <v>148</v>
      </c>
    </row>
    <row r="138" spans="1:23" ht="15" thickBot="1" x14ac:dyDescent="0.4">
      <c r="A138" t="s">
        <v>214</v>
      </c>
      <c r="B138">
        <v>47</v>
      </c>
      <c r="C138">
        <v>0.104</v>
      </c>
      <c r="D138" s="95"/>
      <c r="E138">
        <v>0.05</v>
      </c>
      <c r="F138">
        <v>5.3999999999999999E-2</v>
      </c>
      <c r="G138">
        <v>0.17499999999999999</v>
      </c>
      <c r="H138">
        <v>-0.02</v>
      </c>
      <c r="I138">
        <v>0.25700000000000001</v>
      </c>
      <c r="J138">
        <v>-3</v>
      </c>
      <c r="K138">
        <v>20.34</v>
      </c>
      <c r="L138">
        <v>94.1</v>
      </c>
      <c r="O138" t="s">
        <v>38</v>
      </c>
      <c r="P138" s="73">
        <v>0.3</v>
      </c>
      <c r="Q138" s="74">
        <v>0.5</v>
      </c>
      <c r="R138" s="85">
        <v>2.8</v>
      </c>
      <c r="S138" s="85">
        <v>-3.8</v>
      </c>
      <c r="T138" s="85" t="s">
        <v>312</v>
      </c>
      <c r="U138" s="86">
        <v>41852</v>
      </c>
      <c r="V138" s="85" t="s">
        <v>313</v>
      </c>
      <c r="W138" t="s">
        <v>148</v>
      </c>
    </row>
    <row r="139" spans="1:23" ht="15" thickBot="1" x14ac:dyDescent="0.4">
      <c r="A139" t="s">
        <v>215</v>
      </c>
      <c r="B139">
        <v>47</v>
      </c>
      <c r="C139">
        <v>0.02</v>
      </c>
      <c r="D139">
        <v>2E-3</v>
      </c>
      <c r="E139">
        <v>4.7500000000000001E-2</v>
      </c>
      <c r="F139">
        <v>5.3999999999999999E-2</v>
      </c>
      <c r="G139">
        <v>0.152</v>
      </c>
      <c r="H139">
        <v>-6.2E-2</v>
      </c>
      <c r="I139">
        <v>0.44379999999999997</v>
      </c>
      <c r="J139">
        <v>-8.1999999999999993</v>
      </c>
      <c r="K139">
        <v>1.84</v>
      </c>
      <c r="L139">
        <v>10.89</v>
      </c>
      <c r="O139" t="s">
        <v>136</v>
      </c>
      <c r="P139" s="73">
        <v>0</v>
      </c>
      <c r="Q139" s="74">
        <v>0.5</v>
      </c>
      <c r="R139" s="85">
        <v>1.9</v>
      </c>
      <c r="S139" s="85">
        <v>-2.2000000000000002</v>
      </c>
      <c r="T139" s="85" t="s">
        <v>312</v>
      </c>
      <c r="U139" s="86">
        <v>41760</v>
      </c>
      <c r="V139" s="85" t="s">
        <v>313</v>
      </c>
      <c r="W139" t="s">
        <v>148</v>
      </c>
    </row>
    <row r="140" spans="1:23" ht="15" thickBot="1" x14ac:dyDescent="0.4">
      <c r="A140" t="s">
        <v>216</v>
      </c>
      <c r="B140">
        <v>45</v>
      </c>
      <c r="C140">
        <v>3.2000000000000001E-2</v>
      </c>
      <c r="D140">
        <v>7.0000000000000001E-3</v>
      </c>
      <c r="E140">
        <v>5.0000000000000001E-4</v>
      </c>
      <c r="F140">
        <v>-2E-3</v>
      </c>
      <c r="G140">
        <v>0.123</v>
      </c>
      <c r="H140">
        <v>-0.14699999999999999</v>
      </c>
      <c r="I140">
        <v>0.71699999999999997</v>
      </c>
      <c r="J140">
        <v>6.3</v>
      </c>
      <c r="K140">
        <v>1.24</v>
      </c>
      <c r="L140">
        <v>2.06</v>
      </c>
      <c r="O140" t="s">
        <v>34</v>
      </c>
      <c r="P140" s="73">
        <v>0.66</v>
      </c>
      <c r="Q140" s="74">
        <v>0.86</v>
      </c>
      <c r="R140" s="85">
        <v>5.64</v>
      </c>
      <c r="S140" s="85">
        <v>-5.07</v>
      </c>
      <c r="T140" s="85" t="s">
        <v>312</v>
      </c>
      <c r="U140" s="86">
        <v>41852</v>
      </c>
      <c r="V140" s="85" t="s">
        <v>313</v>
      </c>
      <c r="W140" t="s">
        <v>148</v>
      </c>
    </row>
    <row r="141" spans="1:23" ht="15" thickBot="1" x14ac:dyDescent="0.4">
      <c r="A141" t="s">
        <v>217</v>
      </c>
      <c r="B141">
        <v>44</v>
      </c>
      <c r="C141">
        <v>0.01</v>
      </c>
      <c r="D141" s="95"/>
      <c r="E141">
        <v>0.1</v>
      </c>
      <c r="F141">
        <v>1.47E-2</v>
      </c>
      <c r="G141">
        <v>8.8900000000000007E-2</v>
      </c>
      <c r="H141">
        <v>6.2100000000000002E-2</v>
      </c>
      <c r="I141">
        <v>1.4590000000000001</v>
      </c>
      <c r="J141">
        <v>-16.18</v>
      </c>
      <c r="K141">
        <v>1512.5</v>
      </c>
      <c r="L141">
        <v>4.47</v>
      </c>
      <c r="O141" t="s">
        <v>226</v>
      </c>
      <c r="P141" s="73">
        <v>1.5</v>
      </c>
      <c r="Q141" s="74">
        <v>1.6</v>
      </c>
      <c r="R141" s="85">
        <v>12.4</v>
      </c>
      <c r="S141" s="85">
        <v>-14</v>
      </c>
      <c r="T141" s="85" t="s">
        <v>312</v>
      </c>
      <c r="U141" s="86">
        <v>40391</v>
      </c>
      <c r="V141" s="85" t="s">
        <v>313</v>
      </c>
      <c r="W141" t="s">
        <v>148</v>
      </c>
    </row>
    <row r="142" spans="1:23" ht="15" thickBot="1" x14ac:dyDescent="0.4">
      <c r="A142" t="s">
        <v>218</v>
      </c>
      <c r="B142">
        <v>44</v>
      </c>
      <c r="C142">
        <v>5.8000000000000003E-2</v>
      </c>
      <c r="D142">
        <v>0.04</v>
      </c>
      <c r="E142">
        <v>8.5000000000000006E-2</v>
      </c>
      <c r="F142">
        <v>6.0900000000000003E-2</v>
      </c>
      <c r="G142">
        <v>0.4</v>
      </c>
      <c r="H142">
        <v>-4.8000000000000001E-2</v>
      </c>
      <c r="I142">
        <v>0.51700000000000002</v>
      </c>
      <c r="J142">
        <v>-8.1999999999999993</v>
      </c>
      <c r="K142">
        <v>88.6</v>
      </c>
      <c r="L142">
        <v>44.35</v>
      </c>
      <c r="O142" t="s">
        <v>169</v>
      </c>
      <c r="P142" s="73">
        <v>1.1000000000000001</v>
      </c>
      <c r="Q142" s="74">
        <v>1.1000000000000001</v>
      </c>
      <c r="R142" s="85">
        <v>11.4</v>
      </c>
      <c r="S142" s="85">
        <v>-11.1</v>
      </c>
      <c r="T142" s="85" t="s">
        <v>312</v>
      </c>
      <c r="U142" s="86">
        <v>41852</v>
      </c>
      <c r="V142" s="85" t="s">
        <v>313</v>
      </c>
      <c r="W142" t="s">
        <v>148</v>
      </c>
    </row>
    <row r="143" spans="1:23" ht="15" thickBot="1" x14ac:dyDescent="0.4">
      <c r="A143" t="s">
        <v>219</v>
      </c>
      <c r="B143">
        <v>43</v>
      </c>
      <c r="C143">
        <v>6.3E-2</v>
      </c>
      <c r="D143" s="95"/>
      <c r="E143">
        <v>9.4000000000000004E-3</v>
      </c>
      <c r="F143">
        <v>2.1000000000000001E-2</v>
      </c>
      <c r="G143">
        <v>4.1000000000000002E-2</v>
      </c>
      <c r="H143">
        <v>-4.3999999999999997E-2</v>
      </c>
      <c r="I143">
        <v>0.41299999999999998</v>
      </c>
      <c r="J143">
        <v>-11.9</v>
      </c>
      <c r="K143">
        <v>0.98</v>
      </c>
      <c r="L143">
        <v>3.86</v>
      </c>
      <c r="O143" t="s">
        <v>215</v>
      </c>
      <c r="P143" s="73">
        <v>0.2</v>
      </c>
      <c r="Q143" s="74">
        <v>0.6</v>
      </c>
      <c r="R143" s="85">
        <v>4.5999999999999996</v>
      </c>
      <c r="S143" s="85">
        <v>-7.8</v>
      </c>
      <c r="T143" s="85" t="s">
        <v>312</v>
      </c>
      <c r="U143" s="86">
        <v>41760</v>
      </c>
      <c r="V143" s="85" t="s">
        <v>313</v>
      </c>
      <c r="W143" t="s">
        <v>148</v>
      </c>
    </row>
    <row r="144" spans="1:23" ht="15" thickBot="1" x14ac:dyDescent="0.4">
      <c r="A144" t="s">
        <v>220</v>
      </c>
      <c r="B144">
        <v>43</v>
      </c>
      <c r="C144">
        <v>-3.5999999999999997E-2</v>
      </c>
      <c r="D144">
        <v>-3.0000000000000001E-3</v>
      </c>
      <c r="E144">
        <v>0.08</v>
      </c>
      <c r="F144">
        <v>1.7999999999999999E-2</v>
      </c>
      <c r="G144">
        <v>0.17599999999999999</v>
      </c>
      <c r="H144">
        <v>-4.8000000000000001E-2</v>
      </c>
      <c r="I144">
        <v>0.63800000000000001</v>
      </c>
      <c r="J144">
        <v>-5</v>
      </c>
      <c r="K144">
        <v>96.29</v>
      </c>
      <c r="L144">
        <v>7.18</v>
      </c>
      <c r="O144" t="s">
        <v>41</v>
      </c>
      <c r="P144" s="73">
        <v>-0.5</v>
      </c>
      <c r="Q144" s="74">
        <v>1.8</v>
      </c>
      <c r="R144" s="85">
        <v>6.69</v>
      </c>
      <c r="S144" s="85">
        <v>-7.57</v>
      </c>
      <c r="T144" s="85" t="s">
        <v>312</v>
      </c>
      <c r="U144" s="86">
        <v>41760</v>
      </c>
      <c r="V144" s="85" t="s">
        <v>313</v>
      </c>
      <c r="W144" t="s">
        <v>148</v>
      </c>
    </row>
    <row r="145" spans="1:23" ht="15" thickBot="1" x14ac:dyDescent="0.4">
      <c r="A145" t="s">
        <v>221</v>
      </c>
      <c r="B145">
        <v>42</v>
      </c>
      <c r="C145">
        <v>2.5999999999999999E-2</v>
      </c>
      <c r="D145">
        <v>5.0000000000000001E-3</v>
      </c>
      <c r="E145">
        <v>3.0000000000000001E-3</v>
      </c>
      <c r="F145">
        <v>1E-3</v>
      </c>
      <c r="G145">
        <v>0.124</v>
      </c>
      <c r="H145">
        <v>-2.1999999999999999E-2</v>
      </c>
      <c r="I145">
        <v>0.39400000000000002</v>
      </c>
      <c r="J145">
        <v>1.5</v>
      </c>
      <c r="K145">
        <v>2.77</v>
      </c>
      <c r="L145">
        <v>2.94</v>
      </c>
      <c r="O145" t="s">
        <v>238</v>
      </c>
      <c r="P145" s="73">
        <v>2.37</v>
      </c>
      <c r="Q145" s="74">
        <v>0.47</v>
      </c>
      <c r="R145" s="85">
        <v>6.22</v>
      </c>
      <c r="S145" s="85">
        <v>-2.79</v>
      </c>
      <c r="T145" s="85" t="s">
        <v>312</v>
      </c>
      <c r="U145" s="86">
        <v>41671</v>
      </c>
      <c r="V145" s="85" t="s">
        <v>313</v>
      </c>
      <c r="W145" t="s">
        <v>148</v>
      </c>
    </row>
    <row r="146" spans="1:23" ht="15" thickBot="1" x14ac:dyDescent="0.4">
      <c r="A146" t="s">
        <v>222</v>
      </c>
      <c r="B146">
        <v>42</v>
      </c>
      <c r="C146">
        <v>0.10299999999999999</v>
      </c>
      <c r="D146" s="95"/>
      <c r="E146" s="95"/>
      <c r="F146">
        <v>0.06</v>
      </c>
      <c r="G146">
        <v>2.5999999999999999E-2</v>
      </c>
      <c r="H146">
        <v>1.4999999999999999E-2</v>
      </c>
      <c r="I146">
        <v>0.20649999999999999</v>
      </c>
      <c r="J146">
        <v>0.5</v>
      </c>
      <c r="K146">
        <v>2.85</v>
      </c>
      <c r="L146">
        <v>5.24</v>
      </c>
      <c r="O146" t="s">
        <v>187</v>
      </c>
      <c r="P146" s="73">
        <v>-2.1</v>
      </c>
      <c r="Q146" s="74">
        <v>-2.2999999999999998</v>
      </c>
      <c r="R146" s="85">
        <v>3.9</v>
      </c>
      <c r="S146" s="85">
        <v>-2.2999999999999998</v>
      </c>
      <c r="T146" s="85" t="s">
        <v>312</v>
      </c>
      <c r="U146" s="86">
        <v>41852</v>
      </c>
      <c r="V146" s="85" t="s">
        <v>313</v>
      </c>
      <c r="W146" t="s">
        <v>148</v>
      </c>
    </row>
    <row r="147" spans="1:23" ht="15" thickBot="1" x14ac:dyDescent="0.4">
      <c r="A147" t="s">
        <v>223</v>
      </c>
      <c r="B147">
        <v>36</v>
      </c>
      <c r="C147">
        <v>4.3999999999999997E-2</v>
      </c>
      <c r="D147" s="95"/>
      <c r="E147">
        <v>0.15</v>
      </c>
      <c r="F147">
        <v>0.1</v>
      </c>
      <c r="G147">
        <v>0.28999999999999998</v>
      </c>
      <c r="H147">
        <v>-5.8000000000000003E-2</v>
      </c>
      <c r="I147">
        <v>0.4995</v>
      </c>
      <c r="J147">
        <v>-4.5</v>
      </c>
      <c r="K147">
        <v>214.75</v>
      </c>
      <c r="L147">
        <v>24.41</v>
      </c>
      <c r="O147" t="s">
        <v>137</v>
      </c>
      <c r="P147" s="73">
        <v>5.2</v>
      </c>
      <c r="Q147" s="74">
        <v>4.4000000000000004</v>
      </c>
      <c r="R147" s="85">
        <v>9.8000000000000007</v>
      </c>
      <c r="S147" s="85">
        <v>-4.8</v>
      </c>
      <c r="T147" s="85" t="s">
        <v>312</v>
      </c>
      <c r="U147" s="86">
        <v>41609</v>
      </c>
      <c r="V147" s="85" t="s">
        <v>314</v>
      </c>
      <c r="W147" t="s">
        <v>148</v>
      </c>
    </row>
    <row r="148" spans="1:23" ht="15" thickBot="1" x14ac:dyDescent="0.4">
      <c r="A148" t="s">
        <v>224</v>
      </c>
      <c r="B148">
        <v>34</v>
      </c>
      <c r="C148">
        <v>2.8000000000000001E-2</v>
      </c>
      <c r="D148" s="95"/>
      <c r="E148">
        <v>4.2500000000000003E-2</v>
      </c>
      <c r="F148">
        <v>2.7E-2</v>
      </c>
      <c r="G148">
        <v>0.12</v>
      </c>
      <c r="H148">
        <v>-5.5E-2</v>
      </c>
      <c r="I148">
        <v>0.87749999999999995</v>
      </c>
      <c r="J148">
        <v>-12.1</v>
      </c>
      <c r="K148">
        <v>0.7</v>
      </c>
      <c r="L148">
        <v>6.53</v>
      </c>
      <c r="O148" t="s">
        <v>83</v>
      </c>
      <c r="P148" s="73">
        <v>0.7</v>
      </c>
      <c r="Q148" s="74">
        <v>0.9</v>
      </c>
      <c r="R148" s="85">
        <v>5</v>
      </c>
      <c r="S148" s="85">
        <v>-2.7</v>
      </c>
      <c r="T148" s="85" t="s">
        <v>312</v>
      </c>
      <c r="U148" s="86">
        <v>41852</v>
      </c>
      <c r="V148" s="85" t="s">
        <v>313</v>
      </c>
      <c r="W148" t="s">
        <v>148</v>
      </c>
    </row>
    <row r="149" spans="1:23" ht="15" thickBot="1" x14ac:dyDescent="0.4">
      <c r="A149" t="s">
        <v>225</v>
      </c>
      <c r="B149">
        <v>33</v>
      </c>
      <c r="C149">
        <v>5.62E-2</v>
      </c>
      <c r="D149">
        <v>2.2800000000000001E-2</v>
      </c>
      <c r="E149">
        <v>2.2499999999999999E-2</v>
      </c>
      <c r="F149">
        <v>2.5999999999999999E-2</v>
      </c>
      <c r="G149">
        <v>3.6999999999999998E-2</v>
      </c>
      <c r="H149">
        <v>-5.5E-2</v>
      </c>
      <c r="I149">
        <v>0.43869999999999998</v>
      </c>
      <c r="J149">
        <v>7.8</v>
      </c>
      <c r="K149">
        <v>0.37</v>
      </c>
      <c r="L149">
        <v>1.33</v>
      </c>
      <c r="O149" t="s">
        <v>87</v>
      </c>
      <c r="P149" s="73">
        <v>3.9</v>
      </c>
      <c r="Q149" s="74">
        <v>4.5999999999999996</v>
      </c>
      <c r="R149" s="85">
        <v>16.899999999999999</v>
      </c>
      <c r="S149" s="85">
        <v>-10</v>
      </c>
      <c r="T149" s="85" t="s">
        <v>312</v>
      </c>
      <c r="U149" s="86">
        <v>41852</v>
      </c>
      <c r="V149" s="85" t="s">
        <v>313</v>
      </c>
      <c r="W149" t="s">
        <v>148</v>
      </c>
    </row>
    <row r="150" spans="1:23" ht="15" thickBot="1" x14ac:dyDescent="0.4">
      <c r="A150" t="s">
        <v>226</v>
      </c>
      <c r="B150">
        <v>33</v>
      </c>
      <c r="C150">
        <v>6.9000000000000006E-2</v>
      </c>
      <c r="D150">
        <v>1.4999999999999999E-2</v>
      </c>
      <c r="E150">
        <v>0.12</v>
      </c>
      <c r="F150">
        <v>5.8999999999999997E-2</v>
      </c>
      <c r="G150">
        <v>0.107</v>
      </c>
      <c r="H150">
        <v>-8.8999999999999996E-2</v>
      </c>
      <c r="I150">
        <v>0.39900000000000002</v>
      </c>
      <c r="J150">
        <v>-10.1</v>
      </c>
      <c r="K150">
        <v>1701.8</v>
      </c>
      <c r="L150">
        <v>49.25</v>
      </c>
      <c r="O150" t="s">
        <v>207</v>
      </c>
      <c r="P150" s="73">
        <v>2</v>
      </c>
      <c r="Q150" s="74">
        <v>-0.4</v>
      </c>
      <c r="R150" s="85">
        <v>3.3</v>
      </c>
      <c r="S150" s="85">
        <v>-2.1</v>
      </c>
      <c r="T150" s="85" t="s">
        <v>312</v>
      </c>
      <c r="U150" s="86">
        <v>41760</v>
      </c>
      <c r="V150" s="85" t="s">
        <v>313</v>
      </c>
      <c r="W150" t="s">
        <v>148</v>
      </c>
    </row>
    <row r="151" spans="1:23" ht="15" thickBot="1" x14ac:dyDescent="0.4">
      <c r="A151" t="s">
        <v>227</v>
      </c>
      <c r="B151">
        <v>31</v>
      </c>
      <c r="C151">
        <v>8.6999999999999994E-2</v>
      </c>
      <c r="E151">
        <v>0.02</v>
      </c>
      <c r="F151">
        <v>1.4800000000000001E-2</v>
      </c>
      <c r="G151">
        <v>0.46100000000000002</v>
      </c>
      <c r="H151">
        <v>-3.6999999999999998E-2</v>
      </c>
      <c r="I151">
        <v>0.47</v>
      </c>
      <c r="J151">
        <v>-9.1</v>
      </c>
      <c r="K151">
        <v>925</v>
      </c>
      <c r="L151">
        <v>67.510000000000005</v>
      </c>
      <c r="O151" t="s">
        <v>168</v>
      </c>
      <c r="P151" s="73">
        <v>6.8</v>
      </c>
      <c r="Q151" s="74">
        <v>0</v>
      </c>
      <c r="R151" s="85">
        <v>22.7</v>
      </c>
      <c r="S151" s="85">
        <v>-15.3</v>
      </c>
      <c r="T151" s="85" t="s">
        <v>312</v>
      </c>
      <c r="U151" s="86">
        <v>41579</v>
      </c>
      <c r="V151" s="85" t="s">
        <v>313</v>
      </c>
      <c r="W151" t="s">
        <v>148</v>
      </c>
    </row>
    <row r="152" spans="1:23" ht="15" thickBot="1" x14ac:dyDescent="0.4">
      <c r="A152" t="s">
        <v>228</v>
      </c>
      <c r="B152">
        <v>31</v>
      </c>
      <c r="C152">
        <v>4.65E-2</v>
      </c>
      <c r="D152">
        <v>-7.4300000000000005E-2</v>
      </c>
      <c r="E152">
        <v>3.0599999999999999E-2</v>
      </c>
      <c r="F152">
        <v>3.6400000000000002E-2</v>
      </c>
      <c r="G152">
        <v>7.4999999999999997E-2</v>
      </c>
      <c r="H152">
        <v>8.3000000000000001E-3</v>
      </c>
      <c r="I152">
        <v>0.33090000000000003</v>
      </c>
      <c r="J152">
        <v>3.3</v>
      </c>
      <c r="K152">
        <v>6.75</v>
      </c>
      <c r="L152">
        <v>10.67</v>
      </c>
      <c r="O152" t="s">
        <v>151</v>
      </c>
      <c r="P152" s="73">
        <v>6.19</v>
      </c>
      <c r="Q152" s="74">
        <v>5.42</v>
      </c>
      <c r="R152" s="85">
        <v>8.4600000000000009</v>
      </c>
      <c r="S152" s="85">
        <v>3.14</v>
      </c>
      <c r="T152" s="85" t="s">
        <v>312</v>
      </c>
      <c r="U152" s="86">
        <v>41852</v>
      </c>
      <c r="V152" s="85" t="s">
        <v>313</v>
      </c>
      <c r="W152" t="s">
        <v>148</v>
      </c>
    </row>
    <row r="153" spans="1:23" ht="15" thickBot="1" x14ac:dyDescent="0.4">
      <c r="A153" t="s">
        <v>229</v>
      </c>
      <c r="B153">
        <v>31</v>
      </c>
      <c r="C153">
        <v>9.9000000000000005E-2</v>
      </c>
      <c r="D153" s="95"/>
      <c r="E153">
        <v>3.5000000000000003E-2</v>
      </c>
      <c r="F153">
        <v>6.0000000000000001E-3</v>
      </c>
      <c r="G153">
        <v>0.157</v>
      </c>
      <c r="H153">
        <v>-0.02</v>
      </c>
      <c r="I153">
        <v>0.54100000000000004</v>
      </c>
      <c r="J153">
        <v>-1.7</v>
      </c>
      <c r="K153">
        <v>528.89</v>
      </c>
      <c r="L153">
        <v>20.32</v>
      </c>
    </row>
    <row r="154" spans="1:23" ht="15" thickBot="1" x14ac:dyDescent="0.4">
      <c r="A154" t="s">
        <v>230</v>
      </c>
      <c r="B154">
        <v>30</v>
      </c>
      <c r="C154">
        <v>0.03</v>
      </c>
      <c r="D154">
        <v>-6.0000000000000001E-3</v>
      </c>
      <c r="E154">
        <v>6.7500000000000004E-2</v>
      </c>
      <c r="F154">
        <v>3.5000000000000003E-2</v>
      </c>
      <c r="G154">
        <v>7.9000000000000001E-2</v>
      </c>
      <c r="H154">
        <v>-4.0000000000000001E-3</v>
      </c>
      <c r="I154">
        <v>0.15160000000000001</v>
      </c>
      <c r="J154">
        <v>0.8</v>
      </c>
      <c r="K154">
        <v>4525.6000000000004</v>
      </c>
      <c r="L154">
        <v>6.7</v>
      </c>
    </row>
    <row r="155" spans="1:23" ht="15" thickBot="1" x14ac:dyDescent="0.4">
      <c r="A155" t="s">
        <v>231</v>
      </c>
      <c r="B155">
        <v>29</v>
      </c>
      <c r="C155">
        <v>5.0999999999999997E-2</v>
      </c>
      <c r="D155" s="101">
        <v>1.7000000000000001E-2</v>
      </c>
      <c r="E155">
        <v>2.9499999999999998E-2</v>
      </c>
      <c r="F155">
        <v>1.7999999999999999E-2</v>
      </c>
      <c r="G155">
        <v>3.7999999999999999E-2</v>
      </c>
      <c r="H155">
        <v>-3.6999999999999998E-2</v>
      </c>
      <c r="I155">
        <v>6.5000000000000002E-2</v>
      </c>
      <c r="J155">
        <v>-3.3</v>
      </c>
      <c r="K155">
        <v>528.89</v>
      </c>
      <c r="L155">
        <v>22.25</v>
      </c>
    </row>
    <row r="156" spans="1:23" ht="15" thickBot="1" x14ac:dyDescent="0.4">
      <c r="A156" t="s">
        <v>232</v>
      </c>
      <c r="B156">
        <v>28</v>
      </c>
      <c r="C156">
        <v>2.4E-2</v>
      </c>
      <c r="D156">
        <v>5.0000000000000001E-3</v>
      </c>
      <c r="E156">
        <v>5.0000000000000001E-4</v>
      </c>
      <c r="F156">
        <v>7.0000000000000001E-3</v>
      </c>
      <c r="G156">
        <v>0.107</v>
      </c>
      <c r="H156">
        <v>-0.01</v>
      </c>
      <c r="I156">
        <v>0.38100000000000001</v>
      </c>
      <c r="J156">
        <v>-0.8</v>
      </c>
      <c r="K156">
        <v>0.56000000000000005</v>
      </c>
      <c r="L156">
        <v>2.02</v>
      </c>
    </row>
    <row r="157" spans="1:23" ht="15" thickBot="1" x14ac:dyDescent="0.4">
      <c r="A157" t="s">
        <v>233</v>
      </c>
      <c r="B157">
        <v>25</v>
      </c>
      <c r="C157">
        <v>-1.21E-2</v>
      </c>
      <c r="D157" s="95"/>
      <c r="E157">
        <v>3.2500000000000001E-2</v>
      </c>
      <c r="F157">
        <v>7.7899999999999997E-2</v>
      </c>
      <c r="G157">
        <v>3.7999999999999999E-2</v>
      </c>
      <c r="H157">
        <v>-2.5999999999999999E-2</v>
      </c>
      <c r="I157">
        <v>0.41199999999999998</v>
      </c>
      <c r="J157">
        <v>10</v>
      </c>
      <c r="K157">
        <v>6.35</v>
      </c>
      <c r="L157">
        <v>1.34</v>
      </c>
    </row>
    <row r="158" spans="1:23" x14ac:dyDescent="0.35">
      <c r="A158" t="s">
        <v>234</v>
      </c>
      <c r="B158">
        <v>24</v>
      </c>
      <c r="C158">
        <v>2.1000000000000001E-2</v>
      </c>
      <c r="D158">
        <v>2E-3</v>
      </c>
      <c r="E158">
        <v>5.0000000000000001E-4</v>
      </c>
      <c r="F158">
        <v>-2E-3</v>
      </c>
      <c r="G158">
        <v>7.4999999999999997E-2</v>
      </c>
      <c r="H158">
        <v>-2E-3</v>
      </c>
      <c r="I158">
        <v>0.1</v>
      </c>
      <c r="J158">
        <v>-1</v>
      </c>
      <c r="K158">
        <v>1.24</v>
      </c>
      <c r="L158">
        <v>1.32</v>
      </c>
    </row>
    <row r="159" spans="1:23" x14ac:dyDescent="0.35">
      <c r="A159" t="s">
        <v>235</v>
      </c>
      <c r="B159">
        <v>24</v>
      </c>
      <c r="C159">
        <v>0.02</v>
      </c>
      <c r="D159">
        <v>-5.9999999999999995E-4</v>
      </c>
      <c r="E159">
        <v>0.04</v>
      </c>
      <c r="F159">
        <v>1.89E-2</v>
      </c>
      <c r="G159">
        <v>5.8999999999999997E-2</v>
      </c>
      <c r="H159">
        <v>-4.0399999999999998E-2</v>
      </c>
      <c r="I159">
        <v>0.61370000000000002</v>
      </c>
      <c r="J159">
        <v>-6.5</v>
      </c>
      <c r="K159">
        <v>8.74</v>
      </c>
      <c r="L159">
        <v>6.34</v>
      </c>
    </row>
    <row r="160" spans="1:23" ht="15" thickBot="1" x14ac:dyDescent="0.4">
      <c r="A160" t="s">
        <v>236</v>
      </c>
      <c r="B160">
        <v>23</v>
      </c>
      <c r="C160">
        <v>-0.02</v>
      </c>
      <c r="D160">
        <v>-4.0000000000000001E-3</v>
      </c>
      <c r="E160">
        <v>5.0000000000000001E-4</v>
      </c>
      <c r="F160">
        <v>-4.8999999999999998E-3</v>
      </c>
      <c r="G160">
        <v>0.153</v>
      </c>
      <c r="H160">
        <v>-5.3999999999999999E-2</v>
      </c>
      <c r="I160">
        <v>1.117</v>
      </c>
      <c r="J160">
        <v>-1.9</v>
      </c>
      <c r="K160">
        <v>1.24</v>
      </c>
      <c r="L160">
        <v>0.87</v>
      </c>
    </row>
    <row r="161" spans="1:12" ht="15" thickBot="1" x14ac:dyDescent="0.4">
      <c r="A161" t="s">
        <v>237</v>
      </c>
      <c r="B161">
        <v>22</v>
      </c>
      <c r="C161">
        <v>7.0999999999999994E-2</v>
      </c>
      <c r="D161" s="95"/>
      <c r="E161">
        <v>0.125</v>
      </c>
      <c r="F161">
        <v>8.1000000000000003E-2</v>
      </c>
      <c r="G161">
        <v>0.15</v>
      </c>
      <c r="H161">
        <v>-7.2999999999999995E-2</v>
      </c>
      <c r="I161">
        <v>0.34100000000000003</v>
      </c>
      <c r="J161">
        <v>-2</v>
      </c>
      <c r="K161">
        <v>6.31</v>
      </c>
      <c r="L161">
        <v>14.58</v>
      </c>
    </row>
    <row r="162" spans="1:12" ht="15" thickBot="1" x14ac:dyDescent="0.4">
      <c r="A162" t="s">
        <v>238</v>
      </c>
      <c r="B162">
        <v>21</v>
      </c>
      <c r="C162">
        <v>4.7300000000000002E-2</v>
      </c>
      <c r="D162">
        <v>2.3699999999999999E-2</v>
      </c>
      <c r="E162">
        <v>0.11</v>
      </c>
      <c r="F162">
        <v>2.1000000000000001E-2</v>
      </c>
      <c r="G162">
        <v>4.2000000000000003E-2</v>
      </c>
      <c r="H162">
        <v>-2.5999999999999999E-2</v>
      </c>
      <c r="I162">
        <v>0.33300000000000002</v>
      </c>
      <c r="J162">
        <v>-12.4</v>
      </c>
      <c r="K162">
        <v>2750</v>
      </c>
      <c r="L162">
        <v>37.590000000000003</v>
      </c>
    </row>
    <row r="163" spans="1:12" ht="15" thickBot="1" x14ac:dyDescent="0.4">
      <c r="A163" t="s">
        <v>239</v>
      </c>
      <c r="B163">
        <v>21</v>
      </c>
      <c r="C163">
        <v>6.4000000000000001E-2</v>
      </c>
      <c r="D163" s="95"/>
      <c r="E163">
        <v>0.15</v>
      </c>
      <c r="F163">
        <v>4.2000000000000003E-2</v>
      </c>
      <c r="G163">
        <v>8.5999999999999993E-2</v>
      </c>
      <c r="H163">
        <v>-0.188</v>
      </c>
      <c r="I163">
        <v>6.8000000000000005E-2</v>
      </c>
      <c r="J163">
        <v>-44</v>
      </c>
      <c r="K163">
        <v>57.56</v>
      </c>
      <c r="L163">
        <v>30.55</v>
      </c>
    </row>
    <row r="164" spans="1:12" x14ac:dyDescent="0.35">
      <c r="A164" t="s">
        <v>240</v>
      </c>
      <c r="B164">
        <v>19</v>
      </c>
      <c r="C164">
        <v>5.5E-2</v>
      </c>
      <c r="E164">
        <v>2.9499999999999998E-2</v>
      </c>
      <c r="F164">
        <v>5.6500000000000002E-2</v>
      </c>
      <c r="G164">
        <v>0.16</v>
      </c>
      <c r="H164">
        <v>-1.7999999999999999E-2</v>
      </c>
      <c r="I164">
        <v>0.13800000000000001</v>
      </c>
      <c r="J164">
        <v>6.9</v>
      </c>
      <c r="K164">
        <v>528.89</v>
      </c>
      <c r="L164">
        <v>1.67</v>
      </c>
    </row>
    <row r="165" spans="1:12" ht="15" thickBot="1" x14ac:dyDescent="0.4">
      <c r="A165" t="s">
        <v>241</v>
      </c>
      <c r="B165">
        <v>19</v>
      </c>
      <c r="C165">
        <v>3.1E-2</v>
      </c>
      <c r="E165">
        <v>7.0000000000000007E-2</v>
      </c>
      <c r="F165">
        <v>6.3100000000000003E-2</v>
      </c>
      <c r="G165">
        <v>4.4999999999999998E-2</v>
      </c>
      <c r="H165">
        <v>-7.5600000000000001E-2</v>
      </c>
      <c r="I165">
        <v>0.53580000000000005</v>
      </c>
      <c r="J165">
        <v>-8.6999999999999993</v>
      </c>
      <c r="K165">
        <v>21.22</v>
      </c>
      <c r="L165">
        <v>8.5500000000000007</v>
      </c>
    </row>
    <row r="166" spans="1:12" ht="15" thickBot="1" x14ac:dyDescent="0.4">
      <c r="A166" t="s">
        <v>242</v>
      </c>
      <c r="B166">
        <v>19</v>
      </c>
      <c r="C166">
        <v>3.6499999999999998E-2</v>
      </c>
      <c r="D166" s="95"/>
      <c r="E166">
        <v>0.08</v>
      </c>
      <c r="F166">
        <v>9.4700000000000006E-2</v>
      </c>
      <c r="G166">
        <v>2.7E-2</v>
      </c>
      <c r="H166">
        <v>-1.9E-2</v>
      </c>
      <c r="I166">
        <v>0.316</v>
      </c>
      <c r="J166">
        <v>3.4</v>
      </c>
      <c r="K166">
        <v>99.01</v>
      </c>
      <c r="L166">
        <v>27.8</v>
      </c>
    </row>
    <row r="167" spans="1:12" ht="15" thickBot="1" x14ac:dyDescent="0.4">
      <c r="A167" t="s">
        <v>243</v>
      </c>
      <c r="B167">
        <v>18</v>
      </c>
      <c r="C167">
        <v>-1.2E-2</v>
      </c>
      <c r="D167" s="96">
        <v>-1.2E-2</v>
      </c>
      <c r="E167">
        <v>6.3899999999999998E-2</v>
      </c>
      <c r="F167">
        <v>3.0000000000000001E-3</v>
      </c>
      <c r="G167">
        <v>0.43740000000000001</v>
      </c>
      <c r="H167">
        <v>-2.1999999999999999E-2</v>
      </c>
      <c r="I167">
        <v>0.28299999999999997</v>
      </c>
      <c r="J167">
        <v>-5.5</v>
      </c>
      <c r="K167">
        <v>1.57</v>
      </c>
      <c r="L167">
        <v>3.83</v>
      </c>
    </row>
    <row r="168" spans="1:12" ht="15" thickBot="1" x14ac:dyDescent="0.4">
      <c r="A168" t="s">
        <v>244</v>
      </c>
      <c r="B168">
        <v>16</v>
      </c>
      <c r="C168">
        <v>8.0000000000000002E-3</v>
      </c>
      <c r="D168" s="95"/>
      <c r="E168">
        <v>5.5E-2</v>
      </c>
      <c r="F168">
        <v>-4.0000000000000001E-3</v>
      </c>
      <c r="G168">
        <v>1.0999999999999999E-2</v>
      </c>
      <c r="H168">
        <v>0.20200000000000001</v>
      </c>
      <c r="I168">
        <v>2.46E-2</v>
      </c>
      <c r="J168">
        <v>43</v>
      </c>
      <c r="K168">
        <v>1.3</v>
      </c>
      <c r="L168">
        <v>0.42</v>
      </c>
    </row>
    <row r="169" spans="1:12" ht="15" thickBot="1" x14ac:dyDescent="0.4">
      <c r="A169" t="s">
        <v>245</v>
      </c>
      <c r="B169">
        <v>16</v>
      </c>
      <c r="C169">
        <v>5.1999999999999998E-2</v>
      </c>
      <c r="D169" s="95"/>
      <c r="E169">
        <v>0.04</v>
      </c>
      <c r="F169">
        <v>3.4000000000000002E-2</v>
      </c>
      <c r="G169">
        <v>0.14599999999999999</v>
      </c>
      <c r="H169">
        <v>-2.9000000000000001E-2</v>
      </c>
      <c r="I169">
        <v>0.31790000000000002</v>
      </c>
      <c r="J169">
        <v>-5.9</v>
      </c>
      <c r="K169">
        <v>1.82</v>
      </c>
      <c r="L169">
        <v>4.49</v>
      </c>
    </row>
    <row r="170" spans="1:12" ht="15" thickBot="1" x14ac:dyDescent="0.4">
      <c r="A170" t="s">
        <v>246</v>
      </c>
      <c r="B170">
        <v>16</v>
      </c>
      <c r="C170">
        <v>-1.4E-2</v>
      </c>
      <c r="D170" s="95"/>
      <c r="E170">
        <v>2.9499999999999998E-2</v>
      </c>
      <c r="F170">
        <v>0.05</v>
      </c>
      <c r="G170">
        <v>0.223</v>
      </c>
      <c r="H170">
        <v>-7.4999999999999997E-2</v>
      </c>
      <c r="I170">
        <v>4.7E-2</v>
      </c>
      <c r="J170">
        <v>-3.7</v>
      </c>
      <c r="K170">
        <v>528.89</v>
      </c>
      <c r="L170">
        <v>0.76</v>
      </c>
    </row>
    <row r="171" spans="1:12" x14ac:dyDescent="0.35">
      <c r="A171" t="s">
        <v>247</v>
      </c>
      <c r="B171">
        <v>15</v>
      </c>
      <c r="C171">
        <v>2.4E-2</v>
      </c>
      <c r="D171">
        <v>-1.2E-2</v>
      </c>
      <c r="E171">
        <v>5.7500000000000002E-2</v>
      </c>
      <c r="F171">
        <v>0.01</v>
      </c>
      <c r="G171">
        <v>5.5E-2</v>
      </c>
      <c r="H171">
        <v>-1.7000000000000001E-2</v>
      </c>
      <c r="I171">
        <v>0.96199999999999997</v>
      </c>
      <c r="J171">
        <v>3.9</v>
      </c>
      <c r="K171">
        <v>123.25</v>
      </c>
      <c r="L171">
        <v>0.32</v>
      </c>
    </row>
    <row r="172" spans="1:12" x14ac:dyDescent="0.35">
      <c r="A172" t="s">
        <v>248</v>
      </c>
      <c r="B172">
        <v>15</v>
      </c>
      <c r="C172">
        <v>7.1999999999999995E-2</v>
      </c>
      <c r="E172">
        <v>1.4200000000000001E-2</v>
      </c>
      <c r="F172">
        <v>3.5799999999999998E-2</v>
      </c>
      <c r="G172">
        <v>3.0000000000000001E-3</v>
      </c>
      <c r="H172">
        <v>-0.05</v>
      </c>
      <c r="I172">
        <v>0.28120000000000001</v>
      </c>
      <c r="J172">
        <v>-8.6</v>
      </c>
      <c r="K172">
        <v>4017</v>
      </c>
      <c r="L172">
        <v>15.14</v>
      </c>
    </row>
    <row r="173" spans="1:12" x14ac:dyDescent="0.35">
      <c r="A173" t="s">
        <v>249</v>
      </c>
      <c r="B173">
        <v>15</v>
      </c>
      <c r="C173">
        <v>4.4999999999999998E-2</v>
      </c>
      <c r="D173">
        <v>1.6E-2</v>
      </c>
      <c r="E173">
        <v>7.4999999999999997E-2</v>
      </c>
      <c r="F173">
        <v>4.3400000000000001E-2</v>
      </c>
      <c r="G173">
        <v>0.17799999999999999</v>
      </c>
      <c r="H173">
        <v>7.0000000000000001E-3</v>
      </c>
      <c r="I173">
        <v>0.23499999999999999</v>
      </c>
      <c r="J173">
        <v>17.5</v>
      </c>
      <c r="K173">
        <v>9.1</v>
      </c>
      <c r="L173">
        <v>2.02</v>
      </c>
    </row>
    <row r="174" spans="1:12" ht="15" thickBot="1" x14ac:dyDescent="0.4">
      <c r="A174" t="s">
        <v>250</v>
      </c>
      <c r="B174">
        <v>15</v>
      </c>
      <c r="C174">
        <v>3.5999999999999997E-2</v>
      </c>
      <c r="D174">
        <v>2.1000000000000001E-2</v>
      </c>
      <c r="E174">
        <v>3.5000000000000003E-2</v>
      </c>
      <c r="F174">
        <v>-0.02</v>
      </c>
      <c r="G174">
        <v>0.10199999999999999</v>
      </c>
      <c r="H174">
        <v>-5.3999999999999999E-2</v>
      </c>
      <c r="I174">
        <v>0.29599999999999999</v>
      </c>
      <c r="J174">
        <v>-9.1</v>
      </c>
      <c r="K174">
        <v>528.89</v>
      </c>
      <c r="L174">
        <v>14.13</v>
      </c>
    </row>
    <row r="175" spans="1:12" ht="15" thickBot="1" x14ac:dyDescent="0.4">
      <c r="A175" t="s">
        <v>251</v>
      </c>
      <c r="B175">
        <v>15</v>
      </c>
      <c r="C175">
        <v>5.0999999999999997E-2</v>
      </c>
      <c r="D175" s="95"/>
      <c r="E175">
        <v>6.25E-2</v>
      </c>
      <c r="F175">
        <v>5.0999999999999997E-2</v>
      </c>
      <c r="G175">
        <v>2.3E-2</v>
      </c>
      <c r="H175">
        <v>-7.8E-2</v>
      </c>
      <c r="I175">
        <v>0.308</v>
      </c>
      <c r="J175">
        <v>-17.5</v>
      </c>
      <c r="K175">
        <v>2.5499999999999998</v>
      </c>
      <c r="L175">
        <v>7.32</v>
      </c>
    </row>
    <row r="176" spans="1:12" ht="15" thickBot="1" x14ac:dyDescent="0.4">
      <c r="A176" t="s">
        <v>252</v>
      </c>
      <c r="B176">
        <v>15</v>
      </c>
      <c r="C176">
        <v>6.9000000000000006E-2</v>
      </c>
      <c r="D176">
        <v>0.01</v>
      </c>
      <c r="E176">
        <v>7.4999999999999997E-2</v>
      </c>
      <c r="F176">
        <v>2.12E-2</v>
      </c>
      <c r="G176">
        <v>0.17</v>
      </c>
      <c r="H176">
        <v>-6.9000000000000006E-2</v>
      </c>
      <c r="I176">
        <v>0.42799999999999999</v>
      </c>
      <c r="J176">
        <v>-29.1</v>
      </c>
      <c r="K176">
        <v>31.59</v>
      </c>
      <c r="L176">
        <v>25.83</v>
      </c>
    </row>
    <row r="177" spans="1:12" ht="15" thickBot="1" x14ac:dyDescent="0.4">
      <c r="A177" t="s">
        <v>253</v>
      </c>
      <c r="B177">
        <v>14</v>
      </c>
      <c r="C177">
        <v>3.4000000000000002E-2</v>
      </c>
      <c r="D177" s="95"/>
      <c r="E177">
        <v>2.9499999999999998E-2</v>
      </c>
      <c r="F177">
        <v>3.4000000000000002E-2</v>
      </c>
      <c r="G177">
        <v>0.26600000000000001</v>
      </c>
      <c r="H177">
        <v>0.121</v>
      </c>
      <c r="I177">
        <v>0.19600000000000001</v>
      </c>
      <c r="J177">
        <v>0.2</v>
      </c>
      <c r="K177">
        <v>528.89</v>
      </c>
      <c r="L177">
        <v>4.45</v>
      </c>
    </row>
    <row r="178" spans="1:12" ht="15" thickBot="1" x14ac:dyDescent="0.4">
      <c r="A178" t="s">
        <v>254</v>
      </c>
      <c r="B178">
        <v>14</v>
      </c>
      <c r="C178">
        <v>1.6E-2</v>
      </c>
      <c r="D178">
        <v>-5.0000000000000001E-3</v>
      </c>
      <c r="E178">
        <v>5.7500000000000002E-2</v>
      </c>
      <c r="F178">
        <v>8.2000000000000003E-2</v>
      </c>
      <c r="G178">
        <v>0.13400000000000001</v>
      </c>
      <c r="H178">
        <v>-0.04</v>
      </c>
      <c r="I178">
        <v>1.389</v>
      </c>
      <c r="J178">
        <v>-10</v>
      </c>
      <c r="K178">
        <v>113.36</v>
      </c>
      <c r="L178">
        <v>2.72</v>
      </c>
    </row>
    <row r="179" spans="1:12" ht="15" thickBot="1" x14ac:dyDescent="0.4">
      <c r="A179" t="s">
        <v>255</v>
      </c>
      <c r="B179">
        <v>14</v>
      </c>
      <c r="C179">
        <v>0.13100000000000001</v>
      </c>
      <c r="D179" s="95"/>
      <c r="E179" s="95"/>
      <c r="F179">
        <v>5.0999999999999997E-2</v>
      </c>
      <c r="G179">
        <v>0.12</v>
      </c>
      <c r="H179" s="95"/>
      <c r="I179" s="95"/>
      <c r="J179" s="95"/>
      <c r="K179">
        <v>5.69</v>
      </c>
      <c r="L179">
        <v>11.3</v>
      </c>
    </row>
    <row r="180" spans="1:12" ht="15" thickBot="1" x14ac:dyDescent="0.4">
      <c r="A180" t="s">
        <v>256</v>
      </c>
      <c r="B180">
        <v>13</v>
      </c>
      <c r="C180">
        <v>3.6999999999999998E-2</v>
      </c>
      <c r="D180" s="95"/>
      <c r="E180">
        <v>0.14280000000000001</v>
      </c>
      <c r="F180">
        <v>0</v>
      </c>
      <c r="G180">
        <v>0.107</v>
      </c>
      <c r="H180">
        <v>-1.9E-2</v>
      </c>
      <c r="I180">
        <v>0.49</v>
      </c>
      <c r="J180">
        <v>-34.299999999999997</v>
      </c>
      <c r="L180">
        <v>12.97</v>
      </c>
    </row>
    <row r="181" spans="1:12" x14ac:dyDescent="0.35">
      <c r="A181" t="s">
        <v>257</v>
      </c>
      <c r="B181">
        <v>13</v>
      </c>
      <c r="C181">
        <v>0.03</v>
      </c>
      <c r="D181">
        <v>4.2999999999999997E-2</v>
      </c>
      <c r="E181">
        <v>0.06</v>
      </c>
      <c r="F181">
        <v>4.9799999999999997E-2</v>
      </c>
      <c r="G181">
        <v>0.27400000000000002</v>
      </c>
      <c r="H181">
        <v>-0.03</v>
      </c>
      <c r="I181">
        <v>0.23899999999999999</v>
      </c>
      <c r="J181">
        <v>-6.2</v>
      </c>
      <c r="K181">
        <v>10.99</v>
      </c>
      <c r="L181">
        <v>2.2999999999999998</v>
      </c>
    </row>
    <row r="182" spans="1:12" ht="15" thickBot="1" x14ac:dyDescent="0.4">
      <c r="A182" t="s">
        <v>258</v>
      </c>
      <c r="B182">
        <v>13</v>
      </c>
      <c r="C182">
        <v>1.7299999999999999E-2</v>
      </c>
      <c r="D182">
        <v>3.8E-3</v>
      </c>
      <c r="E182">
        <v>2.2499999999999999E-2</v>
      </c>
      <c r="F182">
        <v>1.4E-2</v>
      </c>
      <c r="G182">
        <v>0.13450000000000001</v>
      </c>
      <c r="H182">
        <v>-4.9000000000000002E-2</v>
      </c>
      <c r="I182">
        <v>0.60919999999999996</v>
      </c>
      <c r="J182">
        <v>-9.0500000000000007</v>
      </c>
      <c r="K182">
        <v>109.05</v>
      </c>
      <c r="L182">
        <v>2.77</v>
      </c>
    </row>
    <row r="183" spans="1:12" ht="15" thickBot="1" x14ac:dyDescent="0.4">
      <c r="A183" t="s">
        <v>259</v>
      </c>
      <c r="B183">
        <v>13</v>
      </c>
      <c r="C183">
        <v>2.3E-2</v>
      </c>
      <c r="D183" s="95"/>
      <c r="E183">
        <v>2.9499999999999998E-2</v>
      </c>
      <c r="F183">
        <v>4.5999999999999999E-2</v>
      </c>
      <c r="G183">
        <v>0.22600000000000001</v>
      </c>
      <c r="H183">
        <v>-2.1000000000000001E-2</v>
      </c>
      <c r="I183">
        <v>0.19500000000000001</v>
      </c>
      <c r="J183">
        <v>-4.7</v>
      </c>
      <c r="K183">
        <v>528.89</v>
      </c>
      <c r="L183">
        <v>12.83</v>
      </c>
    </row>
    <row r="184" spans="1:12" ht="15" thickBot="1" x14ac:dyDescent="0.4">
      <c r="A184" t="s">
        <v>260</v>
      </c>
      <c r="B184">
        <v>12</v>
      </c>
      <c r="C184">
        <v>5.7000000000000002E-2</v>
      </c>
      <c r="D184" s="95"/>
      <c r="E184">
        <v>3.5000000000000003E-2</v>
      </c>
      <c r="F184">
        <v>8.0000000000000002E-3</v>
      </c>
      <c r="G184">
        <v>3.3000000000000002E-2</v>
      </c>
      <c r="H184">
        <v>-3.2000000000000001E-2</v>
      </c>
      <c r="I184">
        <v>0.16200000000000001</v>
      </c>
      <c r="J184">
        <v>-0.7</v>
      </c>
      <c r="K184">
        <v>528.89</v>
      </c>
      <c r="L184">
        <v>16.93</v>
      </c>
    </row>
    <row r="185" spans="1:12" x14ac:dyDescent="0.35">
      <c r="A185" t="s">
        <v>261</v>
      </c>
      <c r="B185">
        <v>12</v>
      </c>
      <c r="C185">
        <v>7.0000000000000007E-2</v>
      </c>
      <c r="D185">
        <v>7.3999999999999996E-2</v>
      </c>
      <c r="E185">
        <v>0.12</v>
      </c>
      <c r="F185">
        <v>0.121</v>
      </c>
      <c r="G185">
        <v>6.4000000000000001E-2</v>
      </c>
      <c r="H185">
        <v>-0.02</v>
      </c>
      <c r="I185">
        <v>0.51700000000000002</v>
      </c>
      <c r="J185">
        <v>-27.89</v>
      </c>
      <c r="K185">
        <v>1886.47</v>
      </c>
      <c r="L185">
        <v>2.84</v>
      </c>
    </row>
    <row r="186" spans="1:12" ht="15" thickBot="1" x14ac:dyDescent="0.4">
      <c r="A186" t="s">
        <v>262</v>
      </c>
      <c r="B186">
        <v>12</v>
      </c>
      <c r="C186">
        <v>4.5999999999999999E-2</v>
      </c>
      <c r="D186">
        <v>2.4E-2</v>
      </c>
      <c r="E186">
        <v>4.65E-2</v>
      </c>
      <c r="F186">
        <v>1.9E-2</v>
      </c>
      <c r="G186">
        <v>7.7700000000000005E-2</v>
      </c>
      <c r="H186">
        <v>-2.1999999999999999E-2</v>
      </c>
      <c r="I186">
        <v>0.58099999999999996</v>
      </c>
      <c r="J186">
        <v>-12.1</v>
      </c>
      <c r="K186">
        <v>31.75</v>
      </c>
      <c r="L186">
        <v>1.3</v>
      </c>
    </row>
    <row r="187" spans="1:12" ht="15" thickBot="1" x14ac:dyDescent="0.4">
      <c r="A187" t="s">
        <v>263</v>
      </c>
      <c r="B187">
        <v>11</v>
      </c>
      <c r="C187">
        <v>5.0999999999999997E-2</v>
      </c>
      <c r="D187" s="95"/>
      <c r="E187">
        <v>3.5000000000000003E-2</v>
      </c>
      <c r="F187">
        <v>5.0000000000000001E-3</v>
      </c>
      <c r="G187">
        <v>0.108</v>
      </c>
      <c r="H187">
        <v>2.5000000000000001E-2</v>
      </c>
      <c r="I187" s="95"/>
      <c r="J187">
        <v>1.4</v>
      </c>
      <c r="K187">
        <v>528.89</v>
      </c>
      <c r="L187">
        <v>15.3</v>
      </c>
    </row>
    <row r="188" spans="1:12" ht="15" thickBot="1" x14ac:dyDescent="0.4">
      <c r="A188" t="s">
        <v>264</v>
      </c>
      <c r="B188">
        <v>11</v>
      </c>
      <c r="C188">
        <v>2.5999999999999999E-2</v>
      </c>
      <c r="D188" s="95"/>
      <c r="E188">
        <v>9.5000000000000001E-2</v>
      </c>
      <c r="F188">
        <v>6.0999999999999999E-2</v>
      </c>
      <c r="G188">
        <v>3.7999999999999999E-2</v>
      </c>
      <c r="H188">
        <v>-0.03</v>
      </c>
      <c r="I188">
        <v>0.29499999999999998</v>
      </c>
      <c r="J188">
        <v>-10</v>
      </c>
      <c r="K188">
        <v>2665</v>
      </c>
      <c r="L188">
        <v>22.92</v>
      </c>
    </row>
    <row r="189" spans="1:12" ht="15" thickBot="1" x14ac:dyDescent="0.4">
      <c r="A189" t="s">
        <v>265</v>
      </c>
      <c r="B189">
        <v>11</v>
      </c>
      <c r="C189">
        <v>7.5999999999999998E-2</v>
      </c>
      <c r="D189" s="95"/>
      <c r="E189">
        <v>0.05</v>
      </c>
      <c r="F189">
        <v>3.0499999999999999E-2</v>
      </c>
      <c r="G189">
        <v>1.29E-2</v>
      </c>
      <c r="H189">
        <v>-0.124</v>
      </c>
      <c r="I189">
        <v>0.62029999999999996</v>
      </c>
      <c r="J189">
        <v>-29.5</v>
      </c>
      <c r="K189">
        <v>8053</v>
      </c>
      <c r="L189">
        <v>6.77</v>
      </c>
    </row>
    <row r="190" spans="1:12" ht="15" thickBot="1" x14ac:dyDescent="0.4">
      <c r="A190" t="s">
        <v>266</v>
      </c>
      <c r="B190">
        <v>11</v>
      </c>
      <c r="C190">
        <v>3.2000000000000001E-2</v>
      </c>
      <c r="D190" s="95"/>
      <c r="E190" s="95"/>
      <c r="F190">
        <v>6.6000000000000003E-2</v>
      </c>
      <c r="G190">
        <v>5.8999999999999997E-2</v>
      </c>
      <c r="H190">
        <v>-0.01</v>
      </c>
      <c r="I190">
        <v>0.498</v>
      </c>
      <c r="J190">
        <v>-11.4</v>
      </c>
      <c r="K190">
        <v>26.21</v>
      </c>
      <c r="L190">
        <v>6.13</v>
      </c>
    </row>
    <row r="191" spans="1:12" ht="15" thickBot="1" x14ac:dyDescent="0.4">
      <c r="A191" t="s">
        <v>267</v>
      </c>
      <c r="B191">
        <v>10</v>
      </c>
      <c r="C191" s="99">
        <v>2.1999999999999999E-2</v>
      </c>
      <c r="D191" s="95"/>
      <c r="E191">
        <v>4.0000000000000001E-3</v>
      </c>
      <c r="F191">
        <v>8.0000000000000002E-3</v>
      </c>
      <c r="G191">
        <v>0.13800000000000001</v>
      </c>
      <c r="H191" s="95"/>
      <c r="I191" s="95"/>
      <c r="J191" s="95"/>
      <c r="K191">
        <v>96.17</v>
      </c>
      <c r="L191">
        <v>0.26</v>
      </c>
    </row>
    <row r="192" spans="1:12" x14ac:dyDescent="0.35">
      <c r="A192" t="s">
        <v>268</v>
      </c>
      <c r="B192">
        <v>10</v>
      </c>
      <c r="C192">
        <v>4.2999999999999997E-2</v>
      </c>
      <c r="D192">
        <v>3.2000000000000001E-2</v>
      </c>
      <c r="E192">
        <v>3.2500000000000001E-2</v>
      </c>
      <c r="F192">
        <v>-4.0000000000000001E-3</v>
      </c>
      <c r="G192">
        <v>0.28220000000000001</v>
      </c>
      <c r="H192">
        <v>-4.1000000000000002E-2</v>
      </c>
      <c r="I192">
        <v>0.28210000000000002</v>
      </c>
      <c r="J192">
        <v>-1.9</v>
      </c>
      <c r="K192">
        <v>49.05</v>
      </c>
      <c r="L192">
        <v>2.11</v>
      </c>
    </row>
    <row r="193" spans="1:12" x14ac:dyDescent="0.35">
      <c r="A193" t="s">
        <v>269</v>
      </c>
      <c r="B193">
        <v>10</v>
      </c>
      <c r="C193">
        <v>5.2999999999999999E-2</v>
      </c>
      <c r="E193">
        <v>6.7500000000000004E-2</v>
      </c>
      <c r="F193">
        <v>2.5999999999999999E-2</v>
      </c>
      <c r="G193">
        <v>0.17499999999999999</v>
      </c>
      <c r="H193">
        <v>-1.67E-2</v>
      </c>
      <c r="I193">
        <v>0.30399999999999999</v>
      </c>
      <c r="J193">
        <v>-10.5</v>
      </c>
      <c r="K193">
        <v>433.68</v>
      </c>
      <c r="L193">
        <v>3.03</v>
      </c>
    </row>
    <row r="194" spans="1:12" ht="15" thickBot="1" x14ac:dyDescent="0.4">
      <c r="A194" t="s">
        <v>270</v>
      </c>
      <c r="B194">
        <v>9</v>
      </c>
      <c r="C194">
        <v>2.9000000000000001E-2</v>
      </c>
      <c r="D194">
        <v>1.2999999999999999E-2</v>
      </c>
      <c r="E194">
        <v>5.0000000000000001E-4</v>
      </c>
      <c r="F194">
        <v>7.0000000000000001E-3</v>
      </c>
      <c r="G194">
        <v>5.8000000000000003E-2</v>
      </c>
      <c r="H194">
        <v>-2.8000000000000001E-2</v>
      </c>
      <c r="I194">
        <v>0.73</v>
      </c>
      <c r="J194">
        <v>1.4</v>
      </c>
      <c r="K194">
        <v>1.24</v>
      </c>
      <c r="L194">
        <v>0.42</v>
      </c>
    </row>
    <row r="195" spans="1:12" ht="15" thickBot="1" x14ac:dyDescent="0.4">
      <c r="A195" t="s">
        <v>271</v>
      </c>
      <c r="B195">
        <v>9</v>
      </c>
      <c r="C195">
        <v>6.9000000000000006E-2</v>
      </c>
      <c r="D195" s="95"/>
      <c r="E195">
        <v>6.9000000000000006E-2</v>
      </c>
      <c r="F195">
        <v>6.6000000000000003E-2</v>
      </c>
      <c r="G195">
        <v>2.5000000000000001E-2</v>
      </c>
      <c r="H195">
        <v>3.0000000000000001E-3</v>
      </c>
      <c r="I195">
        <v>0.4098</v>
      </c>
      <c r="J195">
        <v>-1.9</v>
      </c>
      <c r="K195">
        <v>5.07</v>
      </c>
      <c r="L195">
        <v>8.2100000000000009</v>
      </c>
    </row>
    <row r="196" spans="1:12" ht="15" thickBot="1" x14ac:dyDescent="0.4">
      <c r="A196" t="s">
        <v>272</v>
      </c>
      <c r="B196">
        <v>8</v>
      </c>
      <c r="C196">
        <v>4.2000000000000003E-2</v>
      </c>
      <c r="D196">
        <v>9.1000000000000004E-3</v>
      </c>
      <c r="E196">
        <v>3.5000000000000003E-2</v>
      </c>
      <c r="F196">
        <v>4.8000000000000001E-2</v>
      </c>
      <c r="G196">
        <v>3.5999999999999997E-2</v>
      </c>
      <c r="H196">
        <v>-1.7500000000000002E-2</v>
      </c>
      <c r="I196">
        <v>0.24390000000000001</v>
      </c>
      <c r="J196">
        <v>-4.8</v>
      </c>
      <c r="K196">
        <v>14.76</v>
      </c>
      <c r="L196">
        <v>3.56</v>
      </c>
    </row>
    <row r="197" spans="1:12" ht="15" thickBot="1" x14ac:dyDescent="0.4">
      <c r="A197" t="s">
        <v>273</v>
      </c>
      <c r="B197">
        <v>8</v>
      </c>
      <c r="C197">
        <v>5.8000000000000003E-2</v>
      </c>
      <c r="D197" s="95"/>
      <c r="E197">
        <v>3.5000000000000003E-2</v>
      </c>
      <c r="F197">
        <v>-5.0000000000000001E-3</v>
      </c>
      <c r="G197">
        <v>0.01</v>
      </c>
      <c r="H197">
        <v>-1.2E-2</v>
      </c>
      <c r="I197">
        <v>0.16600000000000001</v>
      </c>
      <c r="J197">
        <v>-8.1999999999999993</v>
      </c>
      <c r="K197">
        <v>528.89</v>
      </c>
      <c r="L197">
        <v>10.32</v>
      </c>
    </row>
    <row r="198" spans="1:12" ht="15" thickBot="1" x14ac:dyDescent="0.4">
      <c r="A198" t="s">
        <v>274</v>
      </c>
      <c r="B198">
        <v>8</v>
      </c>
      <c r="C198">
        <v>1.9E-2</v>
      </c>
      <c r="D198" s="95"/>
      <c r="E198">
        <v>4.4999999999999998E-2</v>
      </c>
      <c r="F198">
        <v>1.78E-2</v>
      </c>
      <c r="G198">
        <v>0.154</v>
      </c>
      <c r="H198">
        <v>-6.6000000000000003E-2</v>
      </c>
      <c r="I198">
        <v>0.66200000000000003</v>
      </c>
      <c r="J198">
        <v>-19.600000000000001</v>
      </c>
      <c r="K198">
        <v>1</v>
      </c>
      <c r="L198">
        <v>0.38</v>
      </c>
    </row>
    <row r="199" spans="1:12" ht="15" thickBot="1" x14ac:dyDescent="0.4">
      <c r="A199" t="s">
        <v>275</v>
      </c>
      <c r="B199">
        <v>8</v>
      </c>
      <c r="C199">
        <v>4.2999999999999997E-2</v>
      </c>
      <c r="D199" s="95"/>
      <c r="E199">
        <v>0.12</v>
      </c>
      <c r="F199">
        <v>5.0999999999999997E-2</v>
      </c>
      <c r="G199">
        <v>0.40600000000000003</v>
      </c>
      <c r="H199">
        <v>-2.3199999999999998E-2</v>
      </c>
      <c r="I199">
        <v>0.2132</v>
      </c>
      <c r="J199">
        <v>-4</v>
      </c>
      <c r="K199">
        <v>46</v>
      </c>
      <c r="L199">
        <v>10.32</v>
      </c>
    </row>
    <row r="200" spans="1:12" ht="15" thickBot="1" x14ac:dyDescent="0.4">
      <c r="A200" t="s">
        <v>276</v>
      </c>
      <c r="B200">
        <v>7</v>
      </c>
      <c r="C200">
        <v>4.1000000000000002E-2</v>
      </c>
      <c r="D200" s="95"/>
      <c r="E200">
        <v>6.5000000000000002E-2</v>
      </c>
      <c r="F200">
        <v>7.4999999999999997E-2</v>
      </c>
      <c r="G200">
        <v>2.3E-2</v>
      </c>
      <c r="H200">
        <v>-7.0000000000000001E-3</v>
      </c>
      <c r="I200">
        <v>0.4773</v>
      </c>
      <c r="J200">
        <v>-23.1</v>
      </c>
      <c r="K200">
        <v>57.56</v>
      </c>
      <c r="L200">
        <v>5.72</v>
      </c>
    </row>
    <row r="201" spans="1:12" ht="15" thickBot="1" x14ac:dyDescent="0.4">
      <c r="A201" t="s">
        <v>277</v>
      </c>
      <c r="B201">
        <v>7</v>
      </c>
      <c r="C201">
        <v>3.4000000000000002E-2</v>
      </c>
      <c r="D201" s="95"/>
      <c r="E201" s="95"/>
      <c r="F201">
        <v>6.0000000000000001E-3</v>
      </c>
      <c r="G201">
        <v>0.3</v>
      </c>
      <c r="H201">
        <v>-3.5000000000000003E-2</v>
      </c>
      <c r="I201" s="95"/>
      <c r="J201">
        <v>-6.8</v>
      </c>
      <c r="K201">
        <v>462.8</v>
      </c>
      <c r="L201">
        <v>1.82</v>
      </c>
    </row>
    <row r="202" spans="1:12" ht="15" thickBot="1" x14ac:dyDescent="0.4">
      <c r="A202" t="s">
        <v>278</v>
      </c>
      <c r="B202">
        <v>7</v>
      </c>
      <c r="C202">
        <v>7.6999999999999999E-2</v>
      </c>
      <c r="E202">
        <v>3.5000000000000003E-2</v>
      </c>
      <c r="F202">
        <v>-1.7000000000000001E-2</v>
      </c>
      <c r="G202">
        <v>2.2499999999999999E-2</v>
      </c>
      <c r="H202">
        <v>1E-3</v>
      </c>
      <c r="I202">
        <v>0.217</v>
      </c>
      <c r="J202">
        <v>-20.9</v>
      </c>
      <c r="K202">
        <v>528.89</v>
      </c>
      <c r="L202">
        <v>17.13</v>
      </c>
    </row>
    <row r="203" spans="1:12" ht="15" thickBot="1" x14ac:dyDescent="0.4">
      <c r="A203" t="s">
        <v>279</v>
      </c>
      <c r="B203">
        <v>7</v>
      </c>
      <c r="C203">
        <v>3.9E-2</v>
      </c>
      <c r="D203" s="95"/>
      <c r="E203" s="95"/>
      <c r="F203">
        <v>7.3000000000000001E-3</v>
      </c>
      <c r="G203">
        <v>0.26300000000000001</v>
      </c>
      <c r="H203">
        <v>-8.0000000000000002E-3</v>
      </c>
      <c r="I203">
        <v>0.24199999999999999</v>
      </c>
      <c r="J203">
        <v>-21.4</v>
      </c>
      <c r="L203">
        <v>4.29</v>
      </c>
    </row>
    <row r="204" spans="1:12" ht="15" thickBot="1" x14ac:dyDescent="0.4">
      <c r="A204" t="s">
        <v>280</v>
      </c>
      <c r="B204">
        <v>7</v>
      </c>
      <c r="C204">
        <v>6.0999999999999999E-2</v>
      </c>
      <c r="D204">
        <v>1.06E-2</v>
      </c>
      <c r="E204">
        <v>6.5000000000000002E-2</v>
      </c>
      <c r="F204">
        <v>-2.1000000000000001E-2</v>
      </c>
      <c r="G204">
        <v>3.4000000000000002E-2</v>
      </c>
      <c r="H204">
        <v>-5.0999999999999997E-2</v>
      </c>
      <c r="I204">
        <v>0.29420000000000002</v>
      </c>
      <c r="J204">
        <v>-10.199999999999999</v>
      </c>
      <c r="K204">
        <v>680</v>
      </c>
      <c r="L204">
        <v>11.78</v>
      </c>
    </row>
    <row r="205" spans="1:12" ht="15" thickBot="1" x14ac:dyDescent="0.4">
      <c r="A205" t="s">
        <v>281</v>
      </c>
      <c r="B205">
        <v>6</v>
      </c>
      <c r="C205">
        <v>9.2999999999999999E-2</v>
      </c>
      <c r="D205" s="95"/>
      <c r="E205" s="95"/>
      <c r="F205" s="95"/>
      <c r="G205" s="95"/>
      <c r="H205" s="95"/>
      <c r="I205" s="95"/>
      <c r="J205" s="95"/>
      <c r="K205">
        <v>1.24</v>
      </c>
      <c r="L205">
        <v>0.04</v>
      </c>
    </row>
    <row r="206" spans="1:12" ht="15" thickBot="1" x14ac:dyDescent="0.4">
      <c r="A206" t="s">
        <v>282</v>
      </c>
      <c r="B206">
        <v>6</v>
      </c>
      <c r="C206">
        <v>2.5000000000000001E-2</v>
      </c>
      <c r="D206" s="95"/>
      <c r="E206">
        <v>0.13</v>
      </c>
      <c r="F206">
        <v>9.6000000000000002E-2</v>
      </c>
      <c r="G206">
        <v>0.223</v>
      </c>
      <c r="H206">
        <v>-5.1999999999999998E-2</v>
      </c>
      <c r="I206">
        <v>0.20810000000000001</v>
      </c>
      <c r="J206">
        <v>-20.2</v>
      </c>
      <c r="K206">
        <v>7025</v>
      </c>
      <c r="L206">
        <v>11.75</v>
      </c>
    </row>
    <row r="207" spans="1:12" ht="15" thickBot="1" x14ac:dyDescent="0.4">
      <c r="A207" t="s">
        <v>283</v>
      </c>
      <c r="B207">
        <v>5</v>
      </c>
      <c r="C207">
        <v>-1.2E-2</v>
      </c>
      <c r="D207" s="95"/>
      <c r="E207" s="95"/>
      <c r="F207">
        <v>0</v>
      </c>
      <c r="G207" s="95"/>
      <c r="H207" s="95"/>
      <c r="I207" s="95"/>
      <c r="J207" s="95"/>
      <c r="K207">
        <v>0.96</v>
      </c>
      <c r="L207">
        <v>0.04</v>
      </c>
    </row>
    <row r="208" spans="1:12" ht="15" thickBot="1" x14ac:dyDescent="0.4">
      <c r="A208" t="s">
        <v>284</v>
      </c>
      <c r="B208">
        <v>5</v>
      </c>
      <c r="C208">
        <v>0.13</v>
      </c>
      <c r="D208" s="95"/>
      <c r="E208">
        <v>0.1</v>
      </c>
      <c r="F208">
        <v>7.51E-2</v>
      </c>
      <c r="G208">
        <v>3.4000000000000002E-2</v>
      </c>
      <c r="H208">
        <v>0</v>
      </c>
      <c r="I208">
        <v>0.1953</v>
      </c>
      <c r="J208">
        <v>-36.200000000000003</v>
      </c>
      <c r="K208">
        <v>4368</v>
      </c>
      <c r="L208">
        <v>6.09</v>
      </c>
    </row>
    <row r="209" spans="1:12" ht="15" thickBot="1" x14ac:dyDescent="0.4">
      <c r="A209" t="s">
        <v>285</v>
      </c>
      <c r="B209">
        <v>5</v>
      </c>
      <c r="C209">
        <v>4.3999999999999997E-2</v>
      </c>
      <c r="D209" s="95"/>
      <c r="E209">
        <v>0.1198</v>
      </c>
      <c r="F209">
        <v>4.2000000000000003E-2</v>
      </c>
      <c r="G209">
        <v>0.08</v>
      </c>
      <c r="H209">
        <v>-2.8000000000000001E-2</v>
      </c>
      <c r="I209">
        <v>0.29199999999999998</v>
      </c>
      <c r="J209">
        <v>15.01</v>
      </c>
      <c r="K209">
        <v>3.3</v>
      </c>
      <c r="L209">
        <v>0.54</v>
      </c>
    </row>
    <row r="210" spans="1:12" ht="15" thickBot="1" x14ac:dyDescent="0.4">
      <c r="A210" t="s">
        <v>286</v>
      </c>
      <c r="B210">
        <v>4</v>
      </c>
      <c r="C210">
        <v>3.5000000000000003E-2</v>
      </c>
      <c r="D210" s="95"/>
      <c r="E210">
        <v>5.2499999999999998E-2</v>
      </c>
      <c r="F210">
        <v>6.2E-2</v>
      </c>
      <c r="G210">
        <v>0.28499999999999998</v>
      </c>
      <c r="H210">
        <v>-1.0999999999999999E-2</v>
      </c>
      <c r="I210">
        <v>9.6799999999999997E-2</v>
      </c>
      <c r="J210">
        <v>-7.4</v>
      </c>
      <c r="K210">
        <v>11.12</v>
      </c>
      <c r="L210">
        <v>1.0900000000000001</v>
      </c>
    </row>
    <row r="211" spans="1:12" ht="15" thickBot="1" x14ac:dyDescent="0.4">
      <c r="A211" t="s">
        <v>287</v>
      </c>
      <c r="B211">
        <v>4</v>
      </c>
      <c r="C211">
        <v>0.04</v>
      </c>
      <c r="D211" s="95"/>
      <c r="E211">
        <v>3.5000000000000003E-2</v>
      </c>
      <c r="F211">
        <v>1.0999999999999999E-2</v>
      </c>
      <c r="G211">
        <v>6.8000000000000005E-2</v>
      </c>
      <c r="H211">
        <v>-4.5999999999999999E-2</v>
      </c>
      <c r="I211">
        <v>0.16600000000000001</v>
      </c>
      <c r="J211">
        <v>-5.8</v>
      </c>
      <c r="K211">
        <v>528.89</v>
      </c>
      <c r="L211">
        <v>6.82</v>
      </c>
    </row>
    <row r="212" spans="1:12" ht="15" thickBot="1" x14ac:dyDescent="0.4">
      <c r="A212" t="s">
        <v>288</v>
      </c>
      <c r="B212">
        <v>4</v>
      </c>
      <c r="C212">
        <v>3.0000000000000001E-3</v>
      </c>
      <c r="D212" s="95"/>
      <c r="E212" s="95"/>
      <c r="F212">
        <v>-5.0000000000000001E-3</v>
      </c>
      <c r="G212">
        <v>0.1454</v>
      </c>
      <c r="H212">
        <v>-3.9E-2</v>
      </c>
      <c r="I212">
        <v>0.56840000000000002</v>
      </c>
      <c r="J212">
        <v>-14.6</v>
      </c>
      <c r="K212">
        <v>1.24</v>
      </c>
      <c r="L212">
        <v>0.62</v>
      </c>
    </row>
    <row r="213" spans="1:12" ht="15" thickBot="1" x14ac:dyDescent="0.4">
      <c r="A213" t="s">
        <v>289</v>
      </c>
      <c r="B213">
        <v>4</v>
      </c>
      <c r="C213">
        <v>6.0999999999999999E-2</v>
      </c>
      <c r="E213">
        <v>0.25</v>
      </c>
      <c r="F213">
        <v>0.23300000000000001</v>
      </c>
      <c r="G213">
        <v>0.03</v>
      </c>
      <c r="H213">
        <v>-1.0999999999999999E-2</v>
      </c>
      <c r="I213">
        <v>0.16300000000000001</v>
      </c>
      <c r="J213">
        <v>-7.9</v>
      </c>
      <c r="K213">
        <v>491.85</v>
      </c>
      <c r="L213">
        <v>16.36</v>
      </c>
    </row>
    <row r="214" spans="1:12" ht="15" thickBot="1" x14ac:dyDescent="0.4">
      <c r="A214" t="s">
        <v>290</v>
      </c>
      <c r="B214">
        <v>4</v>
      </c>
      <c r="C214">
        <v>6.7000000000000004E-2</v>
      </c>
      <c r="D214" s="95"/>
      <c r="E214">
        <v>0.09</v>
      </c>
      <c r="F214">
        <v>3.5000000000000003E-2</v>
      </c>
      <c r="G214">
        <v>0.10100000000000001</v>
      </c>
      <c r="H214">
        <v>-3.6999999999999998E-2</v>
      </c>
      <c r="I214">
        <v>0.87719999999999998</v>
      </c>
      <c r="J214">
        <v>-10.8</v>
      </c>
      <c r="K214">
        <v>291</v>
      </c>
      <c r="L214">
        <v>3.89</v>
      </c>
    </row>
    <row r="215" spans="1:12" ht="15" thickBot="1" x14ac:dyDescent="0.4">
      <c r="A215" t="s">
        <v>291</v>
      </c>
      <c r="B215">
        <v>4</v>
      </c>
      <c r="C215">
        <v>3.5999999999999997E-2</v>
      </c>
      <c r="D215" s="95"/>
      <c r="E215">
        <v>5.0000000000000001E-3</v>
      </c>
      <c r="F215">
        <v>3.0000000000000001E-3</v>
      </c>
      <c r="G215">
        <v>8.3900000000000002E-2</v>
      </c>
      <c r="H215">
        <v>-2.5999999999999999E-2</v>
      </c>
      <c r="I215">
        <v>0.49</v>
      </c>
      <c r="J215">
        <v>-14.8</v>
      </c>
      <c r="K215">
        <v>1.95</v>
      </c>
      <c r="L215">
        <v>0.88</v>
      </c>
    </row>
    <row r="216" spans="1:12" ht="15" thickBot="1" x14ac:dyDescent="0.4">
      <c r="A216" t="s">
        <v>292</v>
      </c>
      <c r="B216">
        <v>3</v>
      </c>
      <c r="C216">
        <v>3.5999999999999997E-2</v>
      </c>
      <c r="D216" s="95"/>
      <c r="E216">
        <v>0.05</v>
      </c>
      <c r="F216">
        <v>7.0000000000000001E-3</v>
      </c>
      <c r="G216">
        <v>0.21</v>
      </c>
      <c r="H216" s="97">
        <v>-4.6600000000000003E-2</v>
      </c>
      <c r="I216" s="100">
        <v>0.63900000000000001</v>
      </c>
      <c r="J216">
        <v>-14.2</v>
      </c>
      <c r="K216">
        <v>206.21</v>
      </c>
      <c r="L216">
        <v>0.75</v>
      </c>
    </row>
    <row r="217" spans="1:12" ht="15" thickBot="1" x14ac:dyDescent="0.4">
      <c r="A217" t="s">
        <v>293</v>
      </c>
      <c r="B217">
        <v>3</v>
      </c>
      <c r="C217">
        <v>1.0999999999999999E-2</v>
      </c>
      <c r="D217" s="95"/>
      <c r="E217" s="95"/>
      <c r="F217">
        <v>0.123</v>
      </c>
      <c r="G217">
        <v>0.14499999999999999</v>
      </c>
      <c r="H217">
        <v>-0.10299999999999999</v>
      </c>
      <c r="I217">
        <v>0.45</v>
      </c>
      <c r="J217">
        <v>0.3</v>
      </c>
      <c r="K217">
        <v>15</v>
      </c>
      <c r="L217">
        <v>6.33</v>
      </c>
    </row>
    <row r="218" spans="1:12" ht="15" thickBot="1" x14ac:dyDescent="0.4">
      <c r="A218" t="s">
        <v>294</v>
      </c>
      <c r="B218">
        <v>3</v>
      </c>
      <c r="C218">
        <v>4.5999999999999999E-2</v>
      </c>
      <c r="D218" s="95"/>
      <c r="E218">
        <v>0.1095</v>
      </c>
      <c r="F218">
        <v>3.5000000000000003E-2</v>
      </c>
      <c r="G218">
        <v>0.35</v>
      </c>
      <c r="H218">
        <v>-0.02</v>
      </c>
      <c r="I218">
        <v>0.17399999999999999</v>
      </c>
      <c r="J218">
        <v>-14.6</v>
      </c>
      <c r="K218">
        <v>1557.5</v>
      </c>
      <c r="L218">
        <v>10.16</v>
      </c>
    </row>
    <row r="219" spans="1:12" ht="15" thickBot="1" x14ac:dyDescent="0.4">
      <c r="A219" t="s">
        <v>295</v>
      </c>
      <c r="B219">
        <v>3</v>
      </c>
      <c r="C219">
        <v>3.3000000000000002E-2</v>
      </c>
      <c r="D219" s="95"/>
      <c r="E219" s="95"/>
      <c r="F219">
        <v>7.0000000000000001E-3</v>
      </c>
      <c r="G219">
        <v>6.3E-2</v>
      </c>
      <c r="H219">
        <v>2.7E-2</v>
      </c>
      <c r="I219">
        <v>0.22800000000000001</v>
      </c>
      <c r="J219">
        <v>-18</v>
      </c>
      <c r="K219">
        <v>0.82</v>
      </c>
      <c r="L219">
        <v>0.06</v>
      </c>
    </row>
    <row r="220" spans="1:12" ht="15" thickBot="1" x14ac:dyDescent="0.4">
      <c r="A220" t="s">
        <v>296</v>
      </c>
      <c r="B220">
        <v>2</v>
      </c>
      <c r="C220">
        <v>-9.1999999999999998E-2</v>
      </c>
      <c r="D220" s="95"/>
      <c r="E220">
        <v>2.9499999999999998E-2</v>
      </c>
      <c r="F220">
        <v>0.25580000000000003</v>
      </c>
      <c r="G220">
        <v>0.161</v>
      </c>
      <c r="H220">
        <v>-5.7000000000000002E-2</v>
      </c>
      <c r="I220">
        <v>0.218</v>
      </c>
      <c r="J220">
        <v>-9.4</v>
      </c>
      <c r="K220">
        <v>528.89</v>
      </c>
      <c r="L220">
        <v>4.62</v>
      </c>
    </row>
    <row r="221" spans="1:12" ht="15" thickBot="1" x14ac:dyDescent="0.4">
      <c r="A221" t="s">
        <v>297</v>
      </c>
      <c r="B221">
        <v>2</v>
      </c>
      <c r="C221">
        <v>0.01</v>
      </c>
      <c r="D221" s="95"/>
      <c r="E221">
        <v>7.7499999999999999E-2</v>
      </c>
      <c r="F221">
        <v>-7.0000000000000001E-3</v>
      </c>
      <c r="G221">
        <v>0.16400000000000001</v>
      </c>
      <c r="H221">
        <v>-7.9000000000000001E-2</v>
      </c>
      <c r="I221">
        <v>0.95</v>
      </c>
      <c r="J221">
        <v>-16.399999999999999</v>
      </c>
      <c r="K221">
        <v>87.78</v>
      </c>
      <c r="L221">
        <v>0.5</v>
      </c>
    </row>
    <row r="222" spans="1:12" ht="15" thickBot="1" x14ac:dyDescent="0.4">
      <c r="A222" t="s">
        <v>298</v>
      </c>
      <c r="B222">
        <v>2</v>
      </c>
      <c r="C222">
        <v>5.1999999999999998E-2</v>
      </c>
      <c r="D222" s="95"/>
      <c r="E222">
        <v>0.06</v>
      </c>
      <c r="F222">
        <v>8.5500000000000007E-2</v>
      </c>
      <c r="G222">
        <v>2.1000000000000001E-2</v>
      </c>
      <c r="H222">
        <v>3.6999999999999998E-2</v>
      </c>
      <c r="I222">
        <v>1.1066</v>
      </c>
      <c r="J222">
        <v>-25</v>
      </c>
      <c r="K222">
        <v>61.91</v>
      </c>
      <c r="L222">
        <v>0.75</v>
      </c>
    </row>
    <row r="223" spans="1:12" ht="15" thickBot="1" x14ac:dyDescent="0.4">
      <c r="A223" t="s">
        <v>299</v>
      </c>
      <c r="B223">
        <v>2</v>
      </c>
      <c r="C223">
        <v>0.08</v>
      </c>
      <c r="D223" s="95"/>
      <c r="E223" s="95"/>
      <c r="F223">
        <v>3.0000000000000001E-3</v>
      </c>
      <c r="G223">
        <v>3.9E-2</v>
      </c>
      <c r="H223">
        <v>-5.0000000000000001E-3</v>
      </c>
      <c r="I223" s="95"/>
      <c r="J223">
        <v>40</v>
      </c>
      <c r="L223">
        <v>1.18</v>
      </c>
    </row>
    <row r="224" spans="1:12" ht="15" thickBot="1" x14ac:dyDescent="0.4">
      <c r="A224" t="s">
        <v>300</v>
      </c>
      <c r="B224">
        <v>2</v>
      </c>
      <c r="C224">
        <v>3.6999999999999998E-2</v>
      </c>
      <c r="D224" s="95"/>
      <c r="E224">
        <v>7.0000000000000007E-2</v>
      </c>
      <c r="F224">
        <v>2.1000000000000001E-2</v>
      </c>
      <c r="G224">
        <v>0.113</v>
      </c>
      <c r="H224">
        <v>-4.7E-2</v>
      </c>
      <c r="I224">
        <v>0.34899999999999998</v>
      </c>
      <c r="J224">
        <v>-20.5</v>
      </c>
      <c r="K224">
        <v>15.44</v>
      </c>
      <c r="L224">
        <v>0.35</v>
      </c>
    </row>
    <row r="225" spans="1:12" ht="15" thickBot="1" x14ac:dyDescent="0.4">
      <c r="A225" t="s">
        <v>301</v>
      </c>
      <c r="B225">
        <v>2</v>
      </c>
      <c r="C225">
        <v>3.4000000000000002E-2</v>
      </c>
      <c r="D225" s="95"/>
      <c r="E225">
        <v>6.1100000000000002E-2</v>
      </c>
      <c r="F225">
        <v>5.3999999999999999E-2</v>
      </c>
      <c r="G225">
        <v>0.253</v>
      </c>
      <c r="H225">
        <v>1.4999999999999999E-2</v>
      </c>
      <c r="I225">
        <v>0.377</v>
      </c>
      <c r="J225">
        <v>-4.4000000000000004</v>
      </c>
      <c r="K225">
        <v>11.12</v>
      </c>
      <c r="L225">
        <v>2.0699999999999998</v>
      </c>
    </row>
    <row r="226" spans="1:12" ht="15" thickBot="1" x14ac:dyDescent="0.4">
      <c r="A226" t="s">
        <v>302</v>
      </c>
      <c r="B226">
        <v>2</v>
      </c>
      <c r="C226">
        <v>8.6999999999999994E-2</v>
      </c>
      <c r="D226" s="95"/>
      <c r="E226">
        <v>0.13400000000000001</v>
      </c>
      <c r="F226">
        <v>0.01</v>
      </c>
      <c r="G226">
        <v>3.6999999999999998E-2</v>
      </c>
      <c r="H226">
        <v>-2.5999999999999999E-2</v>
      </c>
      <c r="I226">
        <v>0.44900000000000001</v>
      </c>
      <c r="J226">
        <v>-65.14</v>
      </c>
      <c r="K226">
        <v>83.5</v>
      </c>
      <c r="L226">
        <v>4.29</v>
      </c>
    </row>
    <row r="227" spans="1:12" ht="15" thickBot="1" x14ac:dyDescent="0.4">
      <c r="A227" t="s">
        <v>303</v>
      </c>
      <c r="B227">
        <v>1</v>
      </c>
      <c r="C227">
        <v>3.5000000000000003E-2</v>
      </c>
      <c r="E227">
        <v>0.1028</v>
      </c>
      <c r="F227">
        <v>8.0000000000000002E-3</v>
      </c>
      <c r="G227">
        <v>0.01</v>
      </c>
      <c r="H227">
        <v>0.01</v>
      </c>
      <c r="I227">
        <v>0.69</v>
      </c>
      <c r="J227">
        <v>-19</v>
      </c>
      <c r="K227">
        <v>14.17</v>
      </c>
      <c r="L227">
        <v>0.09</v>
      </c>
    </row>
    <row r="228" spans="1:12" ht="15" thickBot="1" x14ac:dyDescent="0.4">
      <c r="A228" t="s">
        <v>304</v>
      </c>
      <c r="B228">
        <v>1</v>
      </c>
      <c r="C228">
        <v>5.5E-2</v>
      </c>
      <c r="D228" s="95"/>
      <c r="E228">
        <v>0.1061</v>
      </c>
      <c r="F228">
        <v>2.1999999999999999E-2</v>
      </c>
      <c r="G228">
        <v>0.54</v>
      </c>
      <c r="H228">
        <v>-3.1E-2</v>
      </c>
      <c r="I228">
        <v>0.48799999999999999</v>
      </c>
      <c r="J228">
        <v>-12</v>
      </c>
      <c r="K228">
        <v>177.05</v>
      </c>
      <c r="L228">
        <v>0.87</v>
      </c>
    </row>
    <row r="229" spans="1:12" ht="15" thickBot="1" x14ac:dyDescent="0.4">
      <c r="A229" t="s">
        <v>305</v>
      </c>
      <c r="B229">
        <v>1</v>
      </c>
      <c r="C229">
        <v>2.5999999999999999E-2</v>
      </c>
      <c r="D229" s="95"/>
      <c r="E229">
        <v>3.5000000000000003E-2</v>
      </c>
      <c r="F229">
        <v>2E-3</v>
      </c>
      <c r="G229">
        <v>7.5999999999999998E-2</v>
      </c>
      <c r="H229">
        <v>-4.7E-2</v>
      </c>
      <c r="I229">
        <v>0.26700000000000002</v>
      </c>
      <c r="J229">
        <v>-6.6</v>
      </c>
      <c r="L229">
        <v>1.7</v>
      </c>
    </row>
    <row r="230" spans="1:12" ht="15" thickBot="1" x14ac:dyDescent="0.4">
      <c r="A230" t="s">
        <v>306</v>
      </c>
      <c r="B230">
        <v>1</v>
      </c>
      <c r="C230">
        <v>5.6000000000000001E-2</v>
      </c>
      <c r="D230" s="95"/>
      <c r="E230">
        <v>0.22</v>
      </c>
      <c r="F230">
        <v>5.6000000000000001E-2</v>
      </c>
      <c r="G230">
        <v>0.06</v>
      </c>
      <c r="H230">
        <v>-3.3000000000000002E-2</v>
      </c>
      <c r="I230">
        <v>0.42099999999999999</v>
      </c>
      <c r="J230">
        <v>-11.1</v>
      </c>
      <c r="K230">
        <v>43.11</v>
      </c>
      <c r="L230">
        <v>1.85</v>
      </c>
    </row>
    <row r="231" spans="1:12" ht="15" thickBot="1" x14ac:dyDescent="0.4">
      <c r="A231" t="s">
        <v>307</v>
      </c>
      <c r="B231">
        <v>1</v>
      </c>
      <c r="C231">
        <v>3.5000000000000003E-2</v>
      </c>
      <c r="D231" s="95"/>
      <c r="E231">
        <v>1.54E-2</v>
      </c>
      <c r="F231">
        <v>1.7000000000000001E-2</v>
      </c>
      <c r="G231">
        <v>0.13500000000000001</v>
      </c>
      <c r="H231">
        <v>5.5E-2</v>
      </c>
      <c r="I231">
        <v>0.51400000000000001</v>
      </c>
      <c r="J231">
        <v>-7.3</v>
      </c>
      <c r="K231">
        <v>364.5</v>
      </c>
      <c r="L231">
        <v>0.73</v>
      </c>
    </row>
    <row r="232" spans="1:12" ht="15" thickBot="1" x14ac:dyDescent="0.4">
      <c r="A232" t="s">
        <v>308</v>
      </c>
      <c r="B232">
        <v>1</v>
      </c>
      <c r="C232">
        <v>2.5999999999999999E-2</v>
      </c>
      <c r="D232" s="95"/>
      <c r="E232" s="95"/>
      <c r="F232">
        <v>-0.02</v>
      </c>
      <c r="G232" s="95"/>
      <c r="H232" s="95"/>
      <c r="I232" s="95"/>
      <c r="J232" s="95"/>
      <c r="K232">
        <v>718.5</v>
      </c>
      <c r="L232">
        <v>10.5</v>
      </c>
    </row>
    <row r="233" spans="1:12" ht="15" thickBot="1" x14ac:dyDescent="0.4">
      <c r="A233" t="s">
        <v>309</v>
      </c>
      <c r="B233">
        <v>0</v>
      </c>
      <c r="C233">
        <v>4.2999999999999997E-2</v>
      </c>
      <c r="D233" s="95"/>
      <c r="E233">
        <v>0.12</v>
      </c>
      <c r="F233">
        <v>7.4399999999999994E-2</v>
      </c>
      <c r="G233">
        <v>0.13600000000000001</v>
      </c>
      <c r="H233">
        <v>-6.9000000000000006E-2</v>
      </c>
      <c r="I233">
        <v>0.72450000000000003</v>
      </c>
      <c r="J233">
        <v>-26.8</v>
      </c>
      <c r="K233">
        <v>19760</v>
      </c>
      <c r="L233">
        <v>0.19</v>
      </c>
    </row>
  </sheetData>
  <mergeCells count="12"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Names</vt:lpstr>
      <vt:lpstr>Tabs</vt:lpstr>
      <vt:lpstr>Global</vt:lpstr>
      <vt:lpstr>US</vt:lpstr>
      <vt:lpstr>CA</vt:lpstr>
      <vt:lpstr>UK</vt:lpstr>
      <vt:lpstr>EZ</vt:lpstr>
      <vt:lpstr>DE</vt:lpstr>
      <vt:lpstr>FR</vt:lpstr>
      <vt:lpstr>IT</vt:lpstr>
      <vt:lpstr>ES</vt:lpstr>
      <vt:lpstr>EL</vt:lpstr>
      <vt:lpstr>IR</vt:lpstr>
      <vt:lpstr>CH</vt:lpstr>
      <vt:lpstr>JP</vt:lpstr>
      <vt:lpstr>BRL</vt:lpstr>
      <vt:lpstr>IND</vt:lpstr>
      <vt:lpstr>RS</vt:lpstr>
      <vt:lpstr>MX</vt:lpstr>
      <vt:lpstr>AU</vt:lpstr>
      <vt:lpstr>SK</vt:lpstr>
      <vt:lpstr>INS</vt:lpstr>
      <vt:lpstr>TW</vt:lpstr>
      <vt:lpstr>TUR</vt:lpstr>
      <vt:lpstr>CZ</vt:lpstr>
      <vt:lpstr>PL</vt:lpstr>
      <vt:lpstr>All</vt:lpstr>
      <vt:lpstr>Din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2026-07-15T06:36:44Z</dcterms:modified>
</cp:coreProperties>
</file>