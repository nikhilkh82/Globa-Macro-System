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adwayheavy-my.sharepoint.com/personal/nikhil_leadway_co_th/Documents/Desktop/Global Macro Hedge Fund Strategy/raw/2. Macro Indicators/2.8 Updated Detailed Macro Indicators/"/>
    </mc:Choice>
  </mc:AlternateContent>
  <xr:revisionPtr revIDLastSave="91" documentId="13_ncr:1_{88EE450E-878C-472F-80F8-96696CC11222}" xr6:coauthVersionLast="47" xr6:coauthVersionMax="47" xr10:uidLastSave="{14AFD0ED-63CB-4817-A223-7A8344AA7BDB}"/>
  <bookViews>
    <workbookView xWindow="3945" yWindow="-16320" windowWidth="29040" windowHeight="15720" activeTab="4" xr2:uid="{00000000-000D-0000-FFFF-FFFF00000000}"/>
  </bookViews>
  <sheets>
    <sheet name="Countries" sheetId="18" r:id="rId1"/>
    <sheet name="Tabs" sheetId="19" r:id="rId2"/>
    <sheet name="Global" sheetId="1" r:id="rId3"/>
    <sheet name="US" sheetId="2" r:id="rId4"/>
    <sheet name="UK" sheetId="9" r:id="rId5"/>
    <sheet name="EZ" sheetId="3" r:id="rId6"/>
    <sheet name="DE" sheetId="4" r:id="rId7"/>
    <sheet name="FR" sheetId="5" r:id="rId8"/>
    <sheet name="IT" sheetId="6" r:id="rId9"/>
    <sheet name="ES" sheetId="7" r:id="rId10"/>
    <sheet name="IR" sheetId="8" r:id="rId11"/>
    <sheet name="CH" sheetId="13" r:id="rId12"/>
    <sheet name="AU" sheetId="10" r:id="rId13"/>
    <sheet name="JP" sheetId="11" r:id="rId14"/>
    <sheet name="BR" sheetId="12" r:id="rId15"/>
    <sheet name="IN" sheetId="14" r:id="rId16"/>
    <sheet name="RS" sheetId="15" r:id="rId17"/>
    <sheet name="All" sheetId="16" r:id="rId18"/>
    <sheet name="Din" sheetId="17" r:id="rId19"/>
    <sheet name="Data" sheetId="20" r:id="rId20"/>
  </sheets>
  <definedNames>
    <definedName name="_xlnm._FilterDatabase" localSheetId="0" hidden="1">Countries!$M$4:$S$18</definedName>
    <definedName name="_xlnm._FilterDatabase" localSheetId="18" hidden="1">Din!$K$4:$N$19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8" l="1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E5" i="18"/>
  <c r="D89" i="2"/>
  <c r="K3" i="17"/>
  <c r="F3" i="17"/>
  <c r="F5" i="18"/>
  <c r="G5" i="18"/>
  <c r="E6" i="18"/>
  <c r="F6" i="18"/>
  <c r="G6" i="18"/>
  <c r="E7" i="18"/>
  <c r="F7" i="18"/>
  <c r="G7" i="18"/>
  <c r="E8" i="18"/>
  <c r="F8" i="18"/>
  <c r="G8" i="18"/>
  <c r="E9" i="18"/>
  <c r="F9" i="18"/>
  <c r="G9" i="18"/>
  <c r="E10" i="18"/>
  <c r="F10" i="18"/>
  <c r="G10" i="18"/>
  <c r="E11" i="18"/>
  <c r="F11" i="18"/>
  <c r="G11" i="18"/>
  <c r="E12" i="18"/>
  <c r="F12" i="18"/>
  <c r="G12" i="18"/>
  <c r="E13" i="18"/>
  <c r="F13" i="18"/>
  <c r="G13" i="18"/>
  <c r="E14" i="18"/>
  <c r="F14" i="18"/>
  <c r="G14" i="18"/>
  <c r="E15" i="18"/>
  <c r="F15" i="18"/>
  <c r="G15" i="18"/>
  <c r="E16" i="18"/>
  <c r="F16" i="18"/>
  <c r="G16" i="18"/>
  <c r="E17" i="18"/>
  <c r="F17" i="18"/>
  <c r="G17" i="18"/>
  <c r="E18" i="18"/>
  <c r="F18" i="18"/>
  <c r="G18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5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M224" i="20"/>
  <c r="M225" i="20"/>
  <c r="A5" i="19"/>
  <c r="B5" i="19"/>
  <c r="E5" i="19"/>
  <c r="F5" i="19"/>
  <c r="G5" i="19"/>
  <c r="I5" i="19"/>
  <c r="J5" i="19"/>
  <c r="M5" i="19"/>
  <c r="N5" i="19"/>
  <c r="Q5" i="19"/>
  <c r="R5" i="19"/>
  <c r="U5" i="19"/>
  <c r="V5" i="19"/>
  <c r="Y5" i="19"/>
  <c r="Z5" i="19"/>
  <c r="AC5" i="19"/>
  <c r="AD5" i="19"/>
  <c r="AG5" i="19"/>
  <c r="AH5" i="19"/>
  <c r="AK5" i="19"/>
  <c r="AL5" i="19"/>
  <c r="AO5" i="19"/>
  <c r="AP5" i="19"/>
  <c r="AS5" i="19"/>
  <c r="AT5" i="19"/>
  <c r="AW5" i="19"/>
  <c r="AX5" i="19"/>
  <c r="BA5" i="19"/>
  <c r="BB5" i="19"/>
  <c r="BE5" i="19"/>
  <c r="BF5" i="19"/>
  <c r="A6" i="19"/>
  <c r="B6" i="19"/>
  <c r="E6" i="19"/>
  <c r="F6" i="19"/>
  <c r="G6" i="19"/>
  <c r="I6" i="19"/>
  <c r="J6" i="19"/>
  <c r="M6" i="19"/>
  <c r="N6" i="19"/>
  <c r="Q6" i="19"/>
  <c r="R6" i="19"/>
  <c r="U6" i="19"/>
  <c r="V6" i="19"/>
  <c r="Y6" i="19"/>
  <c r="Z6" i="19"/>
  <c r="AC6" i="19"/>
  <c r="AD6" i="19"/>
  <c r="AG6" i="19"/>
  <c r="AH6" i="19"/>
  <c r="AK6" i="19"/>
  <c r="AL6" i="19"/>
  <c r="AO6" i="19"/>
  <c r="AP6" i="19"/>
  <c r="AS6" i="19"/>
  <c r="AT6" i="19"/>
  <c r="AW6" i="19"/>
  <c r="AX6" i="19"/>
  <c r="BA6" i="19"/>
  <c r="BB6" i="19"/>
  <c r="BE6" i="19"/>
  <c r="BF6" i="19"/>
  <c r="A7" i="19"/>
  <c r="B7" i="19"/>
  <c r="E7" i="19"/>
  <c r="F7" i="19"/>
  <c r="G7" i="19"/>
  <c r="I7" i="19"/>
  <c r="J7" i="19"/>
  <c r="M7" i="19"/>
  <c r="N7" i="19"/>
  <c r="Q7" i="19"/>
  <c r="R7" i="19"/>
  <c r="U7" i="19"/>
  <c r="V7" i="19"/>
  <c r="Y7" i="19"/>
  <c r="Z7" i="19"/>
  <c r="AC7" i="19"/>
  <c r="AD7" i="19"/>
  <c r="AG7" i="19"/>
  <c r="AH7" i="19"/>
  <c r="AK7" i="19"/>
  <c r="AL7" i="19"/>
  <c r="AO7" i="19"/>
  <c r="AP7" i="19"/>
  <c r="AS7" i="19"/>
  <c r="AT7" i="19"/>
  <c r="AW7" i="19"/>
  <c r="AX7" i="19"/>
  <c r="BA7" i="19"/>
  <c r="BB7" i="19"/>
  <c r="BE7" i="19"/>
  <c r="BF7" i="19"/>
  <c r="A8" i="19"/>
  <c r="B8" i="19"/>
  <c r="E8" i="19"/>
  <c r="F8" i="19"/>
  <c r="G8" i="19"/>
  <c r="I8" i="19"/>
  <c r="J8" i="19"/>
  <c r="M8" i="19"/>
  <c r="N8" i="19"/>
  <c r="Q8" i="19"/>
  <c r="R8" i="19"/>
  <c r="U8" i="19"/>
  <c r="V8" i="19"/>
  <c r="Y8" i="19"/>
  <c r="Z8" i="19"/>
  <c r="AC8" i="19"/>
  <c r="AD8" i="19"/>
  <c r="AG8" i="19"/>
  <c r="AH8" i="19"/>
  <c r="AK8" i="19"/>
  <c r="AL8" i="19"/>
  <c r="AO8" i="19"/>
  <c r="AP8" i="19"/>
  <c r="AS8" i="19"/>
  <c r="AT8" i="19"/>
  <c r="AW8" i="19"/>
  <c r="AX8" i="19"/>
  <c r="BA8" i="19"/>
  <c r="BB8" i="19"/>
  <c r="BE8" i="19"/>
  <c r="BF8" i="19"/>
  <c r="A9" i="19"/>
  <c r="B9" i="19"/>
  <c r="E9" i="19"/>
  <c r="F9" i="19"/>
  <c r="G9" i="19"/>
  <c r="I9" i="19"/>
  <c r="J9" i="19"/>
  <c r="M9" i="19"/>
  <c r="N9" i="19"/>
  <c r="Q9" i="19"/>
  <c r="R9" i="19"/>
  <c r="U9" i="19"/>
  <c r="V9" i="19"/>
  <c r="Y9" i="19"/>
  <c r="Z9" i="19"/>
  <c r="AC9" i="19"/>
  <c r="AD9" i="19"/>
  <c r="AG9" i="19"/>
  <c r="AH9" i="19"/>
  <c r="AK9" i="19"/>
  <c r="AL9" i="19"/>
  <c r="AO9" i="19"/>
  <c r="AP9" i="19"/>
  <c r="AS9" i="19"/>
  <c r="AT9" i="19"/>
  <c r="AW9" i="19"/>
  <c r="AX9" i="19"/>
  <c r="BA9" i="19"/>
  <c r="BB9" i="19"/>
  <c r="BE9" i="19"/>
  <c r="BF9" i="19"/>
  <c r="A10" i="19"/>
  <c r="B10" i="19"/>
  <c r="E10" i="19"/>
  <c r="F10" i="19"/>
  <c r="G10" i="19"/>
  <c r="I10" i="19"/>
  <c r="J10" i="19"/>
  <c r="M10" i="19"/>
  <c r="N10" i="19"/>
  <c r="Q10" i="19"/>
  <c r="R10" i="19"/>
  <c r="U10" i="19"/>
  <c r="V10" i="19"/>
  <c r="Y10" i="19"/>
  <c r="Z10" i="19"/>
  <c r="AC10" i="19"/>
  <c r="AD10" i="19"/>
  <c r="AG10" i="19"/>
  <c r="AH10" i="19"/>
  <c r="AK10" i="19"/>
  <c r="AL10" i="19"/>
  <c r="AO10" i="19"/>
  <c r="AP10" i="19"/>
  <c r="AS10" i="19"/>
  <c r="AT10" i="19"/>
  <c r="AW10" i="19"/>
  <c r="AX10" i="19"/>
  <c r="BA10" i="19"/>
  <c r="BB10" i="19"/>
  <c r="BE10" i="19"/>
  <c r="BF10" i="19"/>
  <c r="A11" i="19"/>
  <c r="B11" i="19"/>
  <c r="E11" i="19"/>
  <c r="F11" i="19"/>
  <c r="G11" i="19"/>
  <c r="I11" i="19"/>
  <c r="J11" i="19"/>
  <c r="M11" i="19"/>
  <c r="N11" i="19"/>
  <c r="Q11" i="19"/>
  <c r="R11" i="19"/>
  <c r="U11" i="19"/>
  <c r="V11" i="19"/>
  <c r="Y11" i="19"/>
  <c r="Z11" i="19"/>
  <c r="AC11" i="19"/>
  <c r="AD11" i="19"/>
  <c r="AG11" i="19"/>
  <c r="AH11" i="19"/>
  <c r="AK11" i="19"/>
  <c r="AL11" i="19"/>
  <c r="AO11" i="19"/>
  <c r="AP11" i="19"/>
  <c r="AS11" i="19"/>
  <c r="AT11" i="19"/>
  <c r="AW11" i="19"/>
  <c r="AX11" i="19"/>
  <c r="BA11" i="19"/>
  <c r="BB11" i="19"/>
  <c r="BE11" i="19"/>
  <c r="BF11" i="19"/>
  <c r="A12" i="19"/>
  <c r="B12" i="19"/>
  <c r="E12" i="19"/>
  <c r="F12" i="19"/>
  <c r="G12" i="19"/>
  <c r="I12" i="19"/>
  <c r="J12" i="19"/>
  <c r="M12" i="19"/>
  <c r="N12" i="19"/>
  <c r="Q12" i="19"/>
  <c r="R12" i="19"/>
  <c r="U12" i="19"/>
  <c r="V12" i="19"/>
  <c r="Y12" i="19"/>
  <c r="Z12" i="19"/>
  <c r="AC12" i="19"/>
  <c r="AD12" i="19"/>
  <c r="AG12" i="19"/>
  <c r="AH12" i="19"/>
  <c r="AK12" i="19"/>
  <c r="AL12" i="19"/>
  <c r="AO12" i="19"/>
  <c r="AP12" i="19"/>
  <c r="AS12" i="19"/>
  <c r="AT12" i="19"/>
  <c r="AW12" i="19"/>
  <c r="AX12" i="19"/>
  <c r="BA12" i="19"/>
  <c r="BB12" i="19"/>
  <c r="BE12" i="19"/>
  <c r="BF12" i="19"/>
  <c r="A13" i="19"/>
  <c r="B13" i="19"/>
  <c r="E13" i="19"/>
  <c r="F13" i="19"/>
  <c r="G13" i="19"/>
  <c r="I13" i="19"/>
  <c r="J13" i="19"/>
  <c r="M13" i="19"/>
  <c r="N13" i="19"/>
  <c r="Q13" i="19"/>
  <c r="R13" i="19"/>
  <c r="U13" i="19"/>
  <c r="V13" i="19"/>
  <c r="Y13" i="19"/>
  <c r="Z13" i="19"/>
  <c r="AC13" i="19"/>
  <c r="AD13" i="19"/>
  <c r="AG13" i="19"/>
  <c r="AH13" i="19"/>
  <c r="AK13" i="19"/>
  <c r="AL13" i="19"/>
  <c r="AO13" i="19"/>
  <c r="AP13" i="19"/>
  <c r="AS13" i="19"/>
  <c r="AT13" i="19"/>
  <c r="AW13" i="19"/>
  <c r="AX13" i="19"/>
  <c r="BA13" i="19"/>
  <c r="BB13" i="19"/>
  <c r="BE13" i="19"/>
  <c r="BF13" i="19"/>
  <c r="A14" i="19"/>
  <c r="B14" i="19"/>
  <c r="E14" i="19"/>
  <c r="F14" i="19"/>
  <c r="G14" i="19"/>
  <c r="I14" i="19"/>
  <c r="J14" i="19"/>
  <c r="M14" i="19"/>
  <c r="N14" i="19"/>
  <c r="Q14" i="19"/>
  <c r="R14" i="19"/>
  <c r="U14" i="19"/>
  <c r="V14" i="19"/>
  <c r="Y14" i="19"/>
  <c r="Z14" i="19"/>
  <c r="AC14" i="19"/>
  <c r="AD14" i="19"/>
  <c r="AG14" i="19"/>
  <c r="AH14" i="19"/>
  <c r="AK14" i="19"/>
  <c r="AL14" i="19"/>
  <c r="AO14" i="19"/>
  <c r="AP14" i="19"/>
  <c r="AS14" i="19"/>
  <c r="AT14" i="19"/>
  <c r="AW14" i="19"/>
  <c r="AX14" i="19"/>
  <c r="BA14" i="19"/>
  <c r="BB14" i="19"/>
  <c r="BE14" i="19"/>
  <c r="BF14" i="19"/>
  <c r="A15" i="19"/>
  <c r="B15" i="19"/>
  <c r="E15" i="19"/>
  <c r="F15" i="19"/>
  <c r="G15" i="19"/>
  <c r="I15" i="19"/>
  <c r="J15" i="19"/>
  <c r="M15" i="19"/>
  <c r="N15" i="19"/>
  <c r="Q15" i="19"/>
  <c r="R15" i="19"/>
  <c r="U15" i="19"/>
  <c r="V15" i="19"/>
  <c r="Y15" i="19"/>
  <c r="Z15" i="19"/>
  <c r="AC15" i="19"/>
  <c r="AD15" i="19"/>
  <c r="AG15" i="19"/>
  <c r="AH15" i="19"/>
  <c r="AK15" i="19"/>
  <c r="AL15" i="19"/>
  <c r="AO15" i="19"/>
  <c r="AP15" i="19"/>
  <c r="AS15" i="19"/>
  <c r="AT15" i="19"/>
  <c r="AW15" i="19"/>
  <c r="AX15" i="19"/>
  <c r="BA15" i="19"/>
  <c r="BB15" i="19"/>
  <c r="BE15" i="19"/>
  <c r="BF15" i="19"/>
  <c r="A16" i="19"/>
  <c r="B16" i="19"/>
  <c r="E16" i="19"/>
  <c r="F16" i="19"/>
  <c r="I16" i="19"/>
  <c r="J16" i="19"/>
  <c r="M16" i="19"/>
  <c r="N16" i="19"/>
  <c r="Q16" i="19"/>
  <c r="R16" i="19"/>
  <c r="U16" i="19"/>
  <c r="V16" i="19"/>
  <c r="Y16" i="19"/>
  <c r="Z16" i="19"/>
  <c r="AC16" i="19"/>
  <c r="AD16" i="19"/>
  <c r="AG16" i="19"/>
  <c r="AH16" i="19"/>
  <c r="AK16" i="19"/>
  <c r="AL16" i="19"/>
  <c r="AO16" i="19"/>
  <c r="AP16" i="19"/>
  <c r="AS16" i="19"/>
  <c r="AT16" i="19"/>
  <c r="AW16" i="19"/>
  <c r="AX16" i="19"/>
  <c r="BA16" i="19"/>
  <c r="BB16" i="19"/>
  <c r="BE16" i="19"/>
  <c r="BF16" i="19"/>
  <c r="A17" i="19"/>
  <c r="B17" i="19"/>
  <c r="E17" i="19"/>
  <c r="F17" i="19"/>
  <c r="I17" i="19"/>
  <c r="J17" i="19"/>
  <c r="M17" i="19"/>
  <c r="N17" i="19"/>
  <c r="Q17" i="19"/>
  <c r="R17" i="19"/>
  <c r="U17" i="19"/>
  <c r="V17" i="19"/>
  <c r="Y17" i="19"/>
  <c r="Z17" i="19"/>
  <c r="AC17" i="19"/>
  <c r="AD17" i="19"/>
  <c r="AG17" i="19"/>
  <c r="AH17" i="19"/>
  <c r="AK17" i="19"/>
  <c r="AL17" i="19"/>
  <c r="AO17" i="19"/>
  <c r="AP17" i="19"/>
  <c r="AS17" i="19"/>
  <c r="AT17" i="19"/>
  <c r="AW17" i="19"/>
  <c r="AX17" i="19"/>
  <c r="BA17" i="19"/>
  <c r="BB17" i="19"/>
  <c r="BE17" i="19"/>
  <c r="BF17" i="19"/>
  <c r="A18" i="19"/>
  <c r="B18" i="19"/>
  <c r="E18" i="19"/>
  <c r="F18" i="19"/>
  <c r="I18" i="19"/>
  <c r="J18" i="19"/>
  <c r="M18" i="19"/>
  <c r="N18" i="19"/>
  <c r="Q18" i="19"/>
  <c r="R18" i="19"/>
  <c r="U18" i="19"/>
  <c r="V18" i="19"/>
  <c r="Y18" i="19"/>
  <c r="Z18" i="19"/>
  <c r="AC18" i="19"/>
  <c r="AD18" i="19"/>
  <c r="AG18" i="19"/>
  <c r="AH18" i="19"/>
  <c r="AK18" i="19"/>
  <c r="AL18" i="19"/>
  <c r="AO18" i="19"/>
  <c r="AP18" i="19"/>
  <c r="AS18" i="19"/>
  <c r="AT18" i="19"/>
  <c r="AW18" i="19"/>
  <c r="AX18" i="19"/>
  <c r="BA18" i="19"/>
  <c r="BB18" i="19"/>
  <c r="BE18" i="19"/>
  <c r="BF18" i="19"/>
  <c r="A19" i="19"/>
  <c r="B19" i="19"/>
  <c r="E19" i="19"/>
  <c r="F19" i="19"/>
  <c r="I19" i="19"/>
  <c r="J19" i="19"/>
  <c r="M19" i="19"/>
  <c r="N19" i="19"/>
  <c r="Q19" i="19"/>
  <c r="R19" i="19"/>
  <c r="U19" i="19"/>
  <c r="V19" i="19"/>
  <c r="Y19" i="19"/>
  <c r="Z19" i="19"/>
  <c r="AC19" i="19"/>
  <c r="AD19" i="19"/>
  <c r="AG19" i="19"/>
  <c r="AH19" i="19"/>
  <c r="AK19" i="19"/>
  <c r="AL19" i="19"/>
  <c r="AO19" i="19"/>
  <c r="AP19" i="19"/>
  <c r="AS19" i="19"/>
  <c r="AT19" i="19"/>
  <c r="AW19" i="19"/>
  <c r="AX19" i="19"/>
  <c r="BA19" i="19"/>
  <c r="BB19" i="19"/>
  <c r="BE19" i="19"/>
  <c r="BF19" i="19"/>
  <c r="A20" i="19"/>
  <c r="B20" i="19"/>
  <c r="E20" i="19"/>
  <c r="F20" i="19"/>
  <c r="I20" i="19"/>
  <c r="J20" i="19"/>
  <c r="M20" i="19"/>
  <c r="N20" i="19"/>
  <c r="Q20" i="19"/>
  <c r="R20" i="19"/>
  <c r="U20" i="19"/>
  <c r="V20" i="19"/>
  <c r="Y20" i="19"/>
  <c r="Z20" i="19"/>
  <c r="AC20" i="19"/>
  <c r="AD20" i="19"/>
  <c r="AG20" i="19"/>
  <c r="AH20" i="19"/>
  <c r="AK20" i="19"/>
  <c r="AL20" i="19"/>
  <c r="AO20" i="19"/>
  <c r="AP20" i="19"/>
  <c r="AS20" i="19"/>
  <c r="AT20" i="19"/>
  <c r="AW20" i="19"/>
  <c r="AX20" i="19"/>
  <c r="BA20" i="19"/>
  <c r="BB20" i="19"/>
  <c r="BE20" i="19"/>
  <c r="BF20" i="19"/>
  <c r="A21" i="19"/>
  <c r="B21" i="19"/>
  <c r="E21" i="19"/>
  <c r="F21" i="19"/>
  <c r="I21" i="19"/>
  <c r="J21" i="19"/>
  <c r="M21" i="19"/>
  <c r="N21" i="19"/>
  <c r="Q21" i="19"/>
  <c r="R21" i="19"/>
  <c r="U21" i="19"/>
  <c r="V21" i="19"/>
  <c r="Y21" i="19"/>
  <c r="Z21" i="19"/>
  <c r="AC21" i="19"/>
  <c r="AD21" i="19"/>
  <c r="AG21" i="19"/>
  <c r="AH21" i="19"/>
  <c r="AK21" i="19"/>
  <c r="AL21" i="19"/>
  <c r="AO21" i="19"/>
  <c r="AP21" i="19"/>
  <c r="AS21" i="19"/>
  <c r="AT21" i="19"/>
  <c r="AW21" i="19"/>
  <c r="AX21" i="19"/>
  <c r="BA21" i="19"/>
  <c r="BB21" i="19"/>
  <c r="BE21" i="19"/>
  <c r="BF21" i="19"/>
  <c r="A22" i="19"/>
  <c r="B22" i="19"/>
  <c r="E22" i="19"/>
  <c r="F22" i="19"/>
  <c r="I22" i="19"/>
  <c r="J22" i="19"/>
  <c r="M22" i="19"/>
  <c r="N22" i="19"/>
  <c r="Q22" i="19"/>
  <c r="R22" i="19"/>
  <c r="U22" i="19"/>
  <c r="V22" i="19"/>
  <c r="Y22" i="19"/>
  <c r="Z22" i="19"/>
  <c r="AC22" i="19"/>
  <c r="AD22" i="19"/>
  <c r="AG22" i="19"/>
  <c r="AH22" i="19"/>
  <c r="AK22" i="19"/>
  <c r="AL22" i="19"/>
  <c r="AO22" i="19"/>
  <c r="AP22" i="19"/>
  <c r="AS22" i="19"/>
  <c r="AT22" i="19"/>
  <c r="AW22" i="19"/>
  <c r="AX22" i="19"/>
  <c r="BA22" i="19"/>
  <c r="BB22" i="19"/>
  <c r="BE22" i="19"/>
  <c r="BF22" i="19"/>
  <c r="A23" i="19"/>
  <c r="B23" i="19"/>
  <c r="E23" i="19"/>
  <c r="F23" i="19"/>
  <c r="G23" i="19"/>
  <c r="I23" i="19"/>
  <c r="J23" i="19"/>
  <c r="M23" i="19"/>
  <c r="N23" i="19"/>
  <c r="Q23" i="19"/>
  <c r="R23" i="19"/>
  <c r="U23" i="19"/>
  <c r="V23" i="19"/>
  <c r="Y23" i="19"/>
  <c r="Z23" i="19"/>
  <c r="AC23" i="19"/>
  <c r="AD23" i="19"/>
  <c r="AG23" i="19"/>
  <c r="AH23" i="19"/>
  <c r="AK23" i="19"/>
  <c r="AL23" i="19"/>
  <c r="AO23" i="19"/>
  <c r="AP23" i="19"/>
  <c r="AS23" i="19"/>
  <c r="AT23" i="19"/>
  <c r="AW23" i="19"/>
  <c r="AX23" i="19"/>
  <c r="BA23" i="19"/>
  <c r="BB23" i="19"/>
  <c r="BE23" i="19"/>
  <c r="BF23" i="19"/>
  <c r="A24" i="19"/>
  <c r="B24" i="19"/>
  <c r="E24" i="19"/>
  <c r="F24" i="19"/>
  <c r="I24" i="19"/>
  <c r="J24" i="19"/>
  <c r="M24" i="19"/>
  <c r="N24" i="19"/>
  <c r="Q24" i="19"/>
  <c r="R24" i="19"/>
  <c r="U24" i="19"/>
  <c r="V24" i="19"/>
  <c r="Y24" i="19"/>
  <c r="Z24" i="19"/>
  <c r="AC24" i="19"/>
  <c r="AD24" i="19"/>
  <c r="AG24" i="19"/>
  <c r="AH24" i="19"/>
  <c r="AK24" i="19"/>
  <c r="AL24" i="19"/>
  <c r="AO24" i="19"/>
  <c r="AP24" i="19"/>
  <c r="AS24" i="19"/>
  <c r="AT24" i="19"/>
  <c r="AW24" i="19"/>
  <c r="AX24" i="19"/>
  <c r="BA24" i="19"/>
  <c r="BB24" i="19"/>
  <c r="BE24" i="19"/>
  <c r="BF24" i="19"/>
  <c r="A25" i="19"/>
  <c r="B25" i="19"/>
  <c r="E25" i="19"/>
  <c r="F25" i="19"/>
  <c r="I25" i="19"/>
  <c r="J25" i="19"/>
  <c r="M25" i="19"/>
  <c r="N25" i="19"/>
  <c r="Q25" i="19"/>
  <c r="R25" i="19"/>
  <c r="U25" i="19"/>
  <c r="V25" i="19"/>
  <c r="Y25" i="19"/>
  <c r="Z25" i="19"/>
  <c r="AC25" i="19"/>
  <c r="AD25" i="19"/>
  <c r="AG25" i="19"/>
  <c r="AH25" i="19"/>
  <c r="AK25" i="19"/>
  <c r="AL25" i="19"/>
  <c r="AO25" i="19"/>
  <c r="AP25" i="19"/>
  <c r="AS25" i="19"/>
  <c r="AT25" i="19"/>
  <c r="AW25" i="19"/>
  <c r="AX25" i="19"/>
  <c r="BA25" i="19"/>
  <c r="BB25" i="19"/>
  <c r="BE25" i="19"/>
  <c r="BF25" i="19"/>
  <c r="A26" i="19"/>
  <c r="B26" i="19"/>
  <c r="E26" i="19"/>
  <c r="F26" i="19"/>
  <c r="I26" i="19"/>
  <c r="J26" i="19"/>
  <c r="M26" i="19"/>
  <c r="N26" i="19"/>
  <c r="Q26" i="19"/>
  <c r="R26" i="19"/>
  <c r="U26" i="19"/>
  <c r="V26" i="19"/>
  <c r="Y26" i="19"/>
  <c r="Z26" i="19"/>
  <c r="AC26" i="19"/>
  <c r="AD26" i="19"/>
  <c r="AG26" i="19"/>
  <c r="AH26" i="19"/>
  <c r="AK26" i="19"/>
  <c r="AL26" i="19"/>
  <c r="AO26" i="19"/>
  <c r="AP26" i="19"/>
  <c r="AS26" i="19"/>
  <c r="AT26" i="19"/>
  <c r="AW26" i="19"/>
  <c r="AX26" i="19"/>
  <c r="BA26" i="19"/>
  <c r="BB26" i="19"/>
  <c r="BE26" i="19"/>
  <c r="BF26" i="19"/>
  <c r="A27" i="19"/>
  <c r="B27" i="19"/>
  <c r="E27" i="19"/>
  <c r="F27" i="19"/>
  <c r="I27" i="19"/>
  <c r="J27" i="19"/>
  <c r="M27" i="19"/>
  <c r="N27" i="19"/>
  <c r="Q27" i="19"/>
  <c r="R27" i="19"/>
  <c r="U27" i="19"/>
  <c r="V27" i="19"/>
  <c r="Y27" i="19"/>
  <c r="Z27" i="19"/>
  <c r="AC27" i="19"/>
  <c r="AD27" i="19"/>
  <c r="AG27" i="19"/>
  <c r="AH27" i="19"/>
  <c r="AK27" i="19"/>
  <c r="AL27" i="19"/>
  <c r="AO27" i="19"/>
  <c r="AP27" i="19"/>
  <c r="AS27" i="19"/>
  <c r="AT27" i="19"/>
  <c r="AW27" i="19"/>
  <c r="AX27" i="19"/>
  <c r="BA27" i="19"/>
  <c r="BB27" i="19"/>
  <c r="BE27" i="19"/>
  <c r="BF27" i="19"/>
  <c r="BF28" i="19"/>
  <c r="BE28" i="19"/>
  <c r="A28" i="19"/>
  <c r="B28" i="19"/>
  <c r="E28" i="19"/>
  <c r="I28" i="19"/>
  <c r="M28" i="19"/>
  <c r="Q28" i="19"/>
  <c r="U28" i="19"/>
  <c r="Y28" i="19"/>
  <c r="AC28" i="19"/>
  <c r="AG28" i="19"/>
  <c r="AK28" i="19"/>
  <c r="AO28" i="19"/>
  <c r="AS28" i="19"/>
  <c r="AW28" i="19"/>
  <c r="BA28" i="19"/>
  <c r="B30" i="16"/>
  <c r="M30" i="16"/>
  <c r="C89" i="15"/>
  <c r="C90" i="15"/>
  <c r="D88" i="9"/>
  <c r="D88" i="3"/>
  <c r="D88" i="4"/>
  <c r="D88" i="5"/>
  <c r="D88" i="6"/>
  <c r="D88" i="7"/>
  <c r="D88" i="8"/>
  <c r="D88" i="13"/>
  <c r="D88" i="10"/>
  <c r="D88" i="11"/>
  <c r="D88" i="12"/>
  <c r="D88" i="14"/>
  <c r="D88" i="15"/>
  <c r="C90" i="1"/>
  <c r="P14" i="18" l="1"/>
  <c r="H15" i="17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C9" i="20"/>
  <c r="B90" i="8" s="1"/>
  <c r="P29" i="16"/>
  <c r="C10" i="20"/>
  <c r="B90" i="10" s="1"/>
  <c r="O29" i="16"/>
  <c r="C14" i="20"/>
  <c r="B90" i="14" s="1"/>
  <c r="N29" i="16"/>
  <c r="C15" i="20"/>
  <c r="M29" i="16"/>
  <c r="C13" i="20"/>
  <c r="B90" i="12" s="1"/>
  <c r="L29" i="16"/>
  <c r="C8" i="20"/>
  <c r="B90" i="7" s="1"/>
  <c r="K29" i="16"/>
  <c r="C7" i="20"/>
  <c r="B90" i="6" s="1"/>
  <c r="J29" i="16"/>
  <c r="C3" i="20"/>
  <c r="I29" i="16"/>
  <c r="C6" i="20"/>
  <c r="B90" i="5" s="1"/>
  <c r="H29" i="16"/>
  <c r="C5" i="20"/>
  <c r="B90" i="4" s="1"/>
  <c r="G29" i="16"/>
  <c r="C12" i="20"/>
  <c r="B90" i="11" s="1"/>
  <c r="F29" i="16"/>
  <c r="C4" i="20"/>
  <c r="B90" i="3" s="1"/>
  <c r="E29" i="16"/>
  <c r="C11" i="20"/>
  <c r="B90" i="13" s="1"/>
  <c r="D29" i="16"/>
  <c r="C2" i="20"/>
  <c r="C29" i="16"/>
  <c r="B29" i="16"/>
  <c r="N7" i="18"/>
  <c r="N8" i="18"/>
  <c r="N14" i="18"/>
  <c r="N11" i="18"/>
  <c r="N16" i="18"/>
  <c r="N6" i="18"/>
  <c r="N15" i="18"/>
  <c r="N17" i="18"/>
  <c r="N12" i="18"/>
  <c r="N10" i="18"/>
  <c r="N18" i="18"/>
  <c r="N9" i="18"/>
  <c r="N5" i="18"/>
  <c r="N13" i="18"/>
  <c r="C89" i="1"/>
  <c r="H9" i="17"/>
  <c r="H11" i="17"/>
  <c r="P8" i="18"/>
  <c r="P10" i="18"/>
  <c r="I7" i="18"/>
  <c r="C88" i="14"/>
  <c r="BC26" i="19" s="1"/>
  <c r="C88" i="13"/>
  <c r="AY26" i="19" s="1"/>
  <c r="C65" i="1"/>
  <c r="C65" i="3"/>
  <c r="C65" i="4"/>
  <c r="C65" i="5"/>
  <c r="C66" i="1"/>
  <c r="C66" i="3"/>
  <c r="C66" i="4"/>
  <c r="C66" i="5"/>
  <c r="C67" i="1"/>
  <c r="C5" i="19" s="1"/>
  <c r="K5" i="19"/>
  <c r="C67" i="3"/>
  <c r="O5" i="19" s="1"/>
  <c r="C67" i="4"/>
  <c r="S5" i="19" s="1"/>
  <c r="C67" i="5"/>
  <c r="W5" i="19" s="1"/>
  <c r="C68" i="1"/>
  <c r="C6" i="19" s="1"/>
  <c r="K6" i="19"/>
  <c r="C68" i="3"/>
  <c r="O6" i="19" s="1"/>
  <c r="C68" i="4"/>
  <c r="S6" i="19" s="1"/>
  <c r="C68" i="5"/>
  <c r="W6" i="19" s="1"/>
  <c r="C69" i="1"/>
  <c r="C7" i="19" s="1"/>
  <c r="K7" i="19"/>
  <c r="C69" i="3"/>
  <c r="O7" i="19" s="1"/>
  <c r="C69" i="4"/>
  <c r="S7" i="19" s="1"/>
  <c r="C69" i="5"/>
  <c r="W7" i="19" s="1"/>
  <c r="C70" i="1"/>
  <c r="C8" i="19" s="1"/>
  <c r="K8" i="19"/>
  <c r="C70" i="3"/>
  <c r="O8" i="19" s="1"/>
  <c r="C70" i="4"/>
  <c r="S8" i="19" s="1"/>
  <c r="C70" i="5"/>
  <c r="W8" i="19" s="1"/>
  <c r="C71" i="1"/>
  <c r="C9" i="19" s="1"/>
  <c r="K9" i="19"/>
  <c r="C71" i="3"/>
  <c r="O9" i="19" s="1"/>
  <c r="C71" i="4"/>
  <c r="S9" i="19" s="1"/>
  <c r="C71" i="5"/>
  <c r="W9" i="19" s="1"/>
  <c r="C72" i="1"/>
  <c r="C10" i="19" s="1"/>
  <c r="K10" i="19"/>
  <c r="C72" i="3"/>
  <c r="O10" i="19" s="1"/>
  <c r="C72" i="4"/>
  <c r="S10" i="19" s="1"/>
  <c r="C72" i="5"/>
  <c r="W10" i="19" s="1"/>
  <c r="C73" i="1"/>
  <c r="C11" i="19" s="1"/>
  <c r="K11" i="19"/>
  <c r="C73" i="3"/>
  <c r="O11" i="19" s="1"/>
  <c r="C73" i="4"/>
  <c r="S11" i="19" s="1"/>
  <c r="C73" i="5"/>
  <c r="W11" i="19" s="1"/>
  <c r="C74" i="1"/>
  <c r="C12" i="19" s="1"/>
  <c r="K12" i="19"/>
  <c r="C74" i="3"/>
  <c r="O12" i="19" s="1"/>
  <c r="C74" i="4"/>
  <c r="S12" i="19" s="1"/>
  <c r="C74" i="5"/>
  <c r="W12" i="19" s="1"/>
  <c r="C75" i="1"/>
  <c r="C13" i="19" s="1"/>
  <c r="K13" i="19"/>
  <c r="C75" i="3"/>
  <c r="O13" i="19" s="1"/>
  <c r="C75" i="4"/>
  <c r="S13" i="19" s="1"/>
  <c r="C75" i="5"/>
  <c r="W13" i="19" s="1"/>
  <c r="C76" i="1"/>
  <c r="C14" i="19" s="1"/>
  <c r="K14" i="19"/>
  <c r="C76" i="3"/>
  <c r="O14" i="19" s="1"/>
  <c r="C76" i="4"/>
  <c r="S14" i="19" s="1"/>
  <c r="C76" i="5"/>
  <c r="W14" i="19" s="1"/>
  <c r="C77" i="1"/>
  <c r="C15" i="19" s="1"/>
  <c r="K15" i="19"/>
  <c r="C77" i="3"/>
  <c r="O15" i="19" s="1"/>
  <c r="C77" i="4"/>
  <c r="S15" i="19" s="1"/>
  <c r="C77" i="5"/>
  <c r="W15" i="19" s="1"/>
  <c r="C78" i="1"/>
  <c r="C16" i="19" s="1"/>
  <c r="C79" i="2"/>
  <c r="G16" i="19" s="1"/>
  <c r="K16" i="19"/>
  <c r="C78" i="3"/>
  <c r="O16" i="19" s="1"/>
  <c r="C78" i="4"/>
  <c r="S16" i="19" s="1"/>
  <c r="C78" i="5"/>
  <c r="W16" i="19" s="1"/>
  <c r="C79" i="1"/>
  <c r="C17" i="19" s="1"/>
  <c r="C80" i="2"/>
  <c r="G17" i="19" s="1"/>
  <c r="K17" i="19"/>
  <c r="C79" i="3"/>
  <c r="O17" i="19" s="1"/>
  <c r="C79" i="4"/>
  <c r="S17" i="19" s="1"/>
  <c r="C79" i="5"/>
  <c r="W17" i="19" s="1"/>
  <c r="C80" i="1"/>
  <c r="C18" i="19" s="1"/>
  <c r="C81" i="2"/>
  <c r="G18" i="19" s="1"/>
  <c r="K18" i="19"/>
  <c r="C80" i="3"/>
  <c r="O18" i="19" s="1"/>
  <c r="C80" i="4"/>
  <c r="S18" i="19" s="1"/>
  <c r="C80" i="5"/>
  <c r="W18" i="19" s="1"/>
  <c r="C81" i="1"/>
  <c r="C19" i="19" s="1"/>
  <c r="C82" i="2"/>
  <c r="G19" i="19" s="1"/>
  <c r="K19" i="19"/>
  <c r="C81" i="3"/>
  <c r="O19" i="19" s="1"/>
  <c r="C81" i="4"/>
  <c r="S19" i="19" s="1"/>
  <c r="C81" i="5"/>
  <c r="W19" i="19" s="1"/>
  <c r="C82" i="1"/>
  <c r="C20" i="19" s="1"/>
  <c r="C83" i="2"/>
  <c r="G20" i="19" s="1"/>
  <c r="K20" i="19"/>
  <c r="C82" i="3"/>
  <c r="O20" i="19" s="1"/>
  <c r="C82" i="4"/>
  <c r="S20" i="19" s="1"/>
  <c r="C82" i="5"/>
  <c r="W20" i="19" s="1"/>
  <c r="C83" i="1"/>
  <c r="C21" i="19" s="1"/>
  <c r="C84" i="2"/>
  <c r="G21" i="19" s="1"/>
  <c r="K21" i="19"/>
  <c r="C83" i="3"/>
  <c r="O21" i="19" s="1"/>
  <c r="C83" i="4"/>
  <c r="S21" i="19" s="1"/>
  <c r="C83" i="5"/>
  <c r="W21" i="19" s="1"/>
  <c r="C84" i="1"/>
  <c r="C22" i="19" s="1"/>
  <c r="C85" i="2"/>
  <c r="G22" i="19" s="1"/>
  <c r="K22" i="19"/>
  <c r="C84" i="3"/>
  <c r="O22" i="19" s="1"/>
  <c r="C84" i="4"/>
  <c r="S22" i="19" s="1"/>
  <c r="C84" i="5"/>
  <c r="W22" i="19" s="1"/>
  <c r="C85" i="1"/>
  <c r="C23" i="19" s="1"/>
  <c r="K23" i="19"/>
  <c r="C85" i="3"/>
  <c r="O23" i="19" s="1"/>
  <c r="C85" i="4"/>
  <c r="S23" i="19" s="1"/>
  <c r="C85" i="5"/>
  <c r="W23" i="19" s="1"/>
  <c r="C86" i="1"/>
  <c r="C24" i="19" s="1"/>
  <c r="C87" i="2"/>
  <c r="G24" i="19" s="1"/>
  <c r="K24" i="19"/>
  <c r="C86" i="3"/>
  <c r="O24" i="19" s="1"/>
  <c r="C86" i="4"/>
  <c r="S24" i="19" s="1"/>
  <c r="C86" i="5"/>
  <c r="W24" i="19" s="1"/>
  <c r="C87" i="1"/>
  <c r="C25" i="19" s="1"/>
  <c r="C88" i="2"/>
  <c r="G25" i="19" s="1"/>
  <c r="K25" i="19"/>
  <c r="C87" i="3"/>
  <c r="O25" i="19" s="1"/>
  <c r="C87" i="4"/>
  <c r="S25" i="19" s="1"/>
  <c r="C87" i="5"/>
  <c r="W25" i="19" s="1"/>
  <c r="C88" i="5"/>
  <c r="W26" i="19" s="1"/>
  <c r="C88" i="4"/>
  <c r="S26" i="19" s="1"/>
  <c r="C88" i="3"/>
  <c r="O26" i="19" s="1"/>
  <c r="K26" i="19"/>
  <c r="C89" i="2"/>
  <c r="G26" i="19" s="1"/>
  <c r="C88" i="1"/>
  <c r="C26" i="19" s="1"/>
  <c r="C65" i="6"/>
  <c r="C65" i="7"/>
  <c r="C65" i="8"/>
  <c r="C65" i="10"/>
  <c r="C65" i="11"/>
  <c r="C65" i="12"/>
  <c r="C65" i="13"/>
  <c r="C65" i="14"/>
  <c r="C65" i="15"/>
  <c r="C66" i="6"/>
  <c r="C66" i="7"/>
  <c r="C66" i="8"/>
  <c r="C66" i="10"/>
  <c r="C66" i="11"/>
  <c r="C66" i="12"/>
  <c r="C66" i="13"/>
  <c r="C66" i="14"/>
  <c r="C66" i="15"/>
  <c r="C67" i="6"/>
  <c r="AA5" i="19" s="1"/>
  <c r="C67" i="7"/>
  <c r="AE5" i="19" s="1"/>
  <c r="C67" i="8"/>
  <c r="AI5" i="19" s="1"/>
  <c r="C67" i="10"/>
  <c r="AM5" i="19" s="1"/>
  <c r="C67" i="11"/>
  <c r="AQ5" i="19" s="1"/>
  <c r="C67" i="12"/>
  <c r="AU5" i="19" s="1"/>
  <c r="C67" i="13"/>
  <c r="AY5" i="19" s="1"/>
  <c r="C67" i="14"/>
  <c r="BC5" i="19" s="1"/>
  <c r="C67" i="15"/>
  <c r="BG5" i="19" s="1"/>
  <c r="C68" i="6"/>
  <c r="AA6" i="19" s="1"/>
  <c r="C68" i="7"/>
  <c r="AE6" i="19" s="1"/>
  <c r="C68" i="8"/>
  <c r="AI6" i="19" s="1"/>
  <c r="C68" i="10"/>
  <c r="AM6" i="19" s="1"/>
  <c r="C68" i="11"/>
  <c r="AQ6" i="19" s="1"/>
  <c r="C68" i="12"/>
  <c r="AU6" i="19" s="1"/>
  <c r="C68" i="13"/>
  <c r="AY6" i="19" s="1"/>
  <c r="C68" i="14"/>
  <c r="BC6" i="19" s="1"/>
  <c r="C68" i="15"/>
  <c r="BG6" i="19" s="1"/>
  <c r="C69" i="6"/>
  <c r="AA7" i="19" s="1"/>
  <c r="C69" i="7"/>
  <c r="AE7" i="19" s="1"/>
  <c r="C69" i="8"/>
  <c r="AI7" i="19" s="1"/>
  <c r="C69" i="10"/>
  <c r="AM7" i="19" s="1"/>
  <c r="C69" i="11"/>
  <c r="AQ7" i="19" s="1"/>
  <c r="C69" i="12"/>
  <c r="AU7" i="19" s="1"/>
  <c r="C69" i="13"/>
  <c r="AY7" i="19" s="1"/>
  <c r="C69" i="14"/>
  <c r="BC7" i="19" s="1"/>
  <c r="C69" i="15"/>
  <c r="BG7" i="19" s="1"/>
  <c r="C70" i="6"/>
  <c r="AA8" i="19" s="1"/>
  <c r="C70" i="7"/>
  <c r="AE8" i="19" s="1"/>
  <c r="C70" i="8"/>
  <c r="AI8" i="19" s="1"/>
  <c r="C70" i="10"/>
  <c r="AM8" i="19" s="1"/>
  <c r="C70" i="11"/>
  <c r="AQ8" i="19" s="1"/>
  <c r="C70" i="12"/>
  <c r="AU8" i="19" s="1"/>
  <c r="C70" i="13"/>
  <c r="AY8" i="19" s="1"/>
  <c r="C70" i="14"/>
  <c r="BC8" i="19" s="1"/>
  <c r="C70" i="15"/>
  <c r="BG8" i="19" s="1"/>
  <c r="C71" i="6"/>
  <c r="AA9" i="19" s="1"/>
  <c r="C71" i="7"/>
  <c r="AE9" i="19" s="1"/>
  <c r="C71" i="8"/>
  <c r="AI9" i="19" s="1"/>
  <c r="C71" i="10"/>
  <c r="AM9" i="19" s="1"/>
  <c r="C71" i="11"/>
  <c r="AQ9" i="19" s="1"/>
  <c r="C71" i="12"/>
  <c r="AU9" i="19" s="1"/>
  <c r="C71" i="13"/>
  <c r="AY9" i="19" s="1"/>
  <c r="C71" i="14"/>
  <c r="BC9" i="19" s="1"/>
  <c r="C71" i="15"/>
  <c r="BG9" i="19" s="1"/>
  <c r="C72" i="6"/>
  <c r="AA10" i="19" s="1"/>
  <c r="C72" i="7"/>
  <c r="AE10" i="19" s="1"/>
  <c r="C72" i="8"/>
  <c r="AI10" i="19" s="1"/>
  <c r="C72" i="10"/>
  <c r="AM10" i="19" s="1"/>
  <c r="C72" i="11"/>
  <c r="AQ10" i="19" s="1"/>
  <c r="C72" i="12"/>
  <c r="AU10" i="19" s="1"/>
  <c r="C72" i="13"/>
  <c r="AY10" i="19" s="1"/>
  <c r="C72" i="14"/>
  <c r="BC10" i="19" s="1"/>
  <c r="C72" i="15"/>
  <c r="BG10" i="19" s="1"/>
  <c r="C73" i="6"/>
  <c r="AA11" i="19" s="1"/>
  <c r="C73" i="7"/>
  <c r="AE11" i="19" s="1"/>
  <c r="C73" i="8"/>
  <c r="AI11" i="19" s="1"/>
  <c r="C73" i="10"/>
  <c r="AM11" i="19" s="1"/>
  <c r="C73" i="11"/>
  <c r="AQ11" i="19" s="1"/>
  <c r="C73" i="12"/>
  <c r="AU11" i="19" s="1"/>
  <c r="C73" i="13"/>
  <c r="AY11" i="19" s="1"/>
  <c r="C73" i="14"/>
  <c r="BC11" i="19" s="1"/>
  <c r="C73" i="15"/>
  <c r="BG11" i="19" s="1"/>
  <c r="C74" i="6"/>
  <c r="AA12" i="19" s="1"/>
  <c r="C74" i="7"/>
  <c r="AE12" i="19" s="1"/>
  <c r="C74" i="8"/>
  <c r="AI12" i="19" s="1"/>
  <c r="C74" i="10"/>
  <c r="AM12" i="19" s="1"/>
  <c r="C74" i="11"/>
  <c r="AQ12" i="19" s="1"/>
  <c r="C74" i="12"/>
  <c r="AU12" i="19" s="1"/>
  <c r="C74" i="13"/>
  <c r="AY12" i="19" s="1"/>
  <c r="C74" i="14"/>
  <c r="BC12" i="19" s="1"/>
  <c r="C74" i="15"/>
  <c r="BG12" i="19" s="1"/>
  <c r="C75" i="6"/>
  <c r="AA13" i="19" s="1"/>
  <c r="C75" i="7"/>
  <c r="AE13" i="19" s="1"/>
  <c r="C75" i="8"/>
  <c r="AI13" i="19" s="1"/>
  <c r="C75" i="10"/>
  <c r="AM13" i="19" s="1"/>
  <c r="C75" i="11"/>
  <c r="AQ13" i="19" s="1"/>
  <c r="C75" i="12"/>
  <c r="AU13" i="19" s="1"/>
  <c r="C75" i="13"/>
  <c r="AY13" i="19" s="1"/>
  <c r="C75" i="14"/>
  <c r="BC13" i="19" s="1"/>
  <c r="C75" i="15"/>
  <c r="BG13" i="19" s="1"/>
  <c r="C76" i="6"/>
  <c r="AA14" i="19" s="1"/>
  <c r="C76" i="7"/>
  <c r="AE14" i="19" s="1"/>
  <c r="C76" i="8"/>
  <c r="AI14" i="19" s="1"/>
  <c r="C76" i="10"/>
  <c r="AM14" i="19" s="1"/>
  <c r="C76" i="11"/>
  <c r="AQ14" i="19" s="1"/>
  <c r="C76" i="12"/>
  <c r="AU14" i="19" s="1"/>
  <c r="C76" i="13"/>
  <c r="AY14" i="19" s="1"/>
  <c r="C76" i="14"/>
  <c r="BC14" i="19" s="1"/>
  <c r="C76" i="15"/>
  <c r="BG14" i="19" s="1"/>
  <c r="C77" i="6"/>
  <c r="AA15" i="19" s="1"/>
  <c r="C77" i="7"/>
  <c r="AE15" i="19" s="1"/>
  <c r="C77" i="8"/>
  <c r="AI15" i="19" s="1"/>
  <c r="C77" i="10"/>
  <c r="AM15" i="19" s="1"/>
  <c r="C77" i="11"/>
  <c r="AQ15" i="19" s="1"/>
  <c r="C77" i="12"/>
  <c r="AU15" i="19" s="1"/>
  <c r="C77" i="13"/>
  <c r="AY15" i="19" s="1"/>
  <c r="C77" i="14"/>
  <c r="BC15" i="19" s="1"/>
  <c r="C77" i="15"/>
  <c r="BG15" i="19" s="1"/>
  <c r="C78" i="6"/>
  <c r="AA16" i="19" s="1"/>
  <c r="C78" i="7"/>
  <c r="AE16" i="19" s="1"/>
  <c r="C78" i="8"/>
  <c r="AI16" i="19" s="1"/>
  <c r="C78" i="10"/>
  <c r="AM16" i="19" s="1"/>
  <c r="C78" i="11"/>
  <c r="AQ16" i="19" s="1"/>
  <c r="C78" i="12"/>
  <c r="AU16" i="19" s="1"/>
  <c r="C78" i="13"/>
  <c r="AY16" i="19" s="1"/>
  <c r="C78" i="14"/>
  <c r="BC16" i="19" s="1"/>
  <c r="C78" i="15"/>
  <c r="BG16" i="19" s="1"/>
  <c r="C79" i="6"/>
  <c r="AA17" i="19" s="1"/>
  <c r="C79" i="7"/>
  <c r="AE17" i="19" s="1"/>
  <c r="C79" i="8"/>
  <c r="AI17" i="19" s="1"/>
  <c r="C79" i="10"/>
  <c r="AM17" i="19" s="1"/>
  <c r="C79" i="11"/>
  <c r="AQ17" i="19" s="1"/>
  <c r="C79" i="12"/>
  <c r="AU17" i="19" s="1"/>
  <c r="C79" i="13"/>
  <c r="AY17" i="19" s="1"/>
  <c r="C79" i="14"/>
  <c r="BC17" i="19" s="1"/>
  <c r="C79" i="15"/>
  <c r="BG17" i="19" s="1"/>
  <c r="C80" i="6"/>
  <c r="AA18" i="19" s="1"/>
  <c r="C80" i="7"/>
  <c r="AE18" i="19" s="1"/>
  <c r="C80" i="8"/>
  <c r="AI18" i="19" s="1"/>
  <c r="C80" i="10"/>
  <c r="AM18" i="19" s="1"/>
  <c r="C80" i="11"/>
  <c r="AQ18" i="19" s="1"/>
  <c r="C80" i="12"/>
  <c r="AU18" i="19" s="1"/>
  <c r="C80" i="13"/>
  <c r="AY18" i="19" s="1"/>
  <c r="C80" i="14"/>
  <c r="BC18" i="19" s="1"/>
  <c r="C80" i="15"/>
  <c r="BG18" i="19" s="1"/>
  <c r="C81" i="6"/>
  <c r="AA19" i="19" s="1"/>
  <c r="C81" i="7"/>
  <c r="AE19" i="19" s="1"/>
  <c r="C81" i="8"/>
  <c r="AI19" i="19" s="1"/>
  <c r="C81" i="10"/>
  <c r="AM19" i="19" s="1"/>
  <c r="C81" i="11"/>
  <c r="AQ19" i="19" s="1"/>
  <c r="C81" i="12"/>
  <c r="AU19" i="19" s="1"/>
  <c r="C81" i="13"/>
  <c r="AY19" i="19" s="1"/>
  <c r="C81" i="14"/>
  <c r="BC19" i="19" s="1"/>
  <c r="C81" i="15"/>
  <c r="BG19" i="19" s="1"/>
  <c r="C82" i="6"/>
  <c r="AA20" i="19" s="1"/>
  <c r="C82" i="7"/>
  <c r="AE20" i="19" s="1"/>
  <c r="C82" i="8"/>
  <c r="AI20" i="19" s="1"/>
  <c r="C82" i="10"/>
  <c r="AM20" i="19" s="1"/>
  <c r="C82" i="11"/>
  <c r="AQ20" i="19" s="1"/>
  <c r="C82" i="12"/>
  <c r="AU20" i="19" s="1"/>
  <c r="C82" i="13"/>
  <c r="AY20" i="19" s="1"/>
  <c r="C82" i="14"/>
  <c r="BC20" i="19" s="1"/>
  <c r="C82" i="15"/>
  <c r="BG20" i="19" s="1"/>
  <c r="C83" i="6"/>
  <c r="AA21" i="19" s="1"/>
  <c r="C83" i="7"/>
  <c r="AE21" i="19" s="1"/>
  <c r="C83" i="8"/>
  <c r="AI21" i="19" s="1"/>
  <c r="C83" i="10"/>
  <c r="AM21" i="19" s="1"/>
  <c r="C83" i="11"/>
  <c r="AQ21" i="19" s="1"/>
  <c r="C83" i="12"/>
  <c r="AU21" i="19" s="1"/>
  <c r="C83" i="13"/>
  <c r="AY21" i="19" s="1"/>
  <c r="C83" i="14"/>
  <c r="BC21" i="19" s="1"/>
  <c r="C83" i="15"/>
  <c r="BG21" i="19" s="1"/>
  <c r="C84" i="6"/>
  <c r="AA22" i="19" s="1"/>
  <c r="C84" i="7"/>
  <c r="AE22" i="19" s="1"/>
  <c r="C84" i="8"/>
  <c r="AI22" i="19" s="1"/>
  <c r="C84" i="10"/>
  <c r="AM22" i="19" s="1"/>
  <c r="C84" i="11"/>
  <c r="AQ22" i="19" s="1"/>
  <c r="C84" i="12"/>
  <c r="AU22" i="19" s="1"/>
  <c r="C84" i="13"/>
  <c r="AY22" i="19" s="1"/>
  <c r="C84" i="14"/>
  <c r="BC22" i="19" s="1"/>
  <c r="C84" i="15"/>
  <c r="BG22" i="19" s="1"/>
  <c r="C85" i="6"/>
  <c r="AA23" i="19" s="1"/>
  <c r="C85" i="7"/>
  <c r="AE23" i="19" s="1"/>
  <c r="C85" i="8"/>
  <c r="AI23" i="19" s="1"/>
  <c r="C85" i="10"/>
  <c r="AM23" i="19" s="1"/>
  <c r="C85" i="11"/>
  <c r="AQ23" i="19" s="1"/>
  <c r="C85" i="12"/>
  <c r="AU23" i="19" s="1"/>
  <c r="C85" i="13"/>
  <c r="AY23" i="19" s="1"/>
  <c r="C85" i="14"/>
  <c r="BC23" i="19" s="1"/>
  <c r="C85" i="15"/>
  <c r="BG23" i="19" s="1"/>
  <c r="C86" i="6"/>
  <c r="AA24" i="19" s="1"/>
  <c r="C86" i="7"/>
  <c r="AE24" i="19" s="1"/>
  <c r="C86" i="8"/>
  <c r="AI24" i="19" s="1"/>
  <c r="C86" i="10"/>
  <c r="AM24" i="19" s="1"/>
  <c r="C86" i="11"/>
  <c r="AQ24" i="19" s="1"/>
  <c r="C86" i="12"/>
  <c r="AU24" i="19" s="1"/>
  <c r="C86" i="13"/>
  <c r="AY24" i="19" s="1"/>
  <c r="C86" i="14"/>
  <c r="BC24" i="19" s="1"/>
  <c r="C86" i="15"/>
  <c r="BG24" i="19" s="1"/>
  <c r="C87" i="6"/>
  <c r="AA25" i="19" s="1"/>
  <c r="C87" i="7"/>
  <c r="AE25" i="19" s="1"/>
  <c r="C87" i="8"/>
  <c r="AI25" i="19" s="1"/>
  <c r="C87" i="10"/>
  <c r="AM25" i="19" s="1"/>
  <c r="C87" i="11"/>
  <c r="AQ25" i="19" s="1"/>
  <c r="C87" i="12"/>
  <c r="AU25" i="19" s="1"/>
  <c r="C87" i="13"/>
  <c r="AY25" i="19" s="1"/>
  <c r="C87" i="14"/>
  <c r="BC25" i="19" s="1"/>
  <c r="C87" i="15"/>
  <c r="BG25" i="19" s="1"/>
  <c r="C88" i="15"/>
  <c r="BG26" i="19" s="1"/>
  <c r="C88" i="12"/>
  <c r="AU26" i="19" s="1"/>
  <c r="C88" i="11"/>
  <c r="AQ26" i="19" s="1"/>
  <c r="C88" i="10"/>
  <c r="AM26" i="19" s="1"/>
  <c r="C88" i="8"/>
  <c r="AI26" i="19" s="1"/>
  <c r="C88" i="7"/>
  <c r="AE26" i="19" s="1"/>
  <c r="C88" i="6"/>
  <c r="AA26" i="19" s="1"/>
  <c r="I5" i="18"/>
  <c r="I8" i="18"/>
  <c r="I9" i="18"/>
  <c r="I10" i="18"/>
  <c r="I11" i="18"/>
  <c r="I12" i="18"/>
  <c r="I13" i="18"/>
  <c r="I14" i="18"/>
  <c r="I15" i="18"/>
  <c r="I16" i="18"/>
  <c r="I17" i="18"/>
  <c r="I18" i="18"/>
  <c r="I6" i="18"/>
  <c r="C64" i="1"/>
  <c r="C64" i="3"/>
  <c r="C64" i="4"/>
  <c r="C64" i="5"/>
  <c r="C64" i="6"/>
  <c r="C64" i="7"/>
  <c r="C64" i="8"/>
  <c r="C64" i="10"/>
  <c r="C64" i="11"/>
  <c r="C64" i="12"/>
  <c r="C64" i="13"/>
  <c r="C64" i="14"/>
  <c r="C64" i="15"/>
  <c r="H13" i="18"/>
  <c r="P7" i="18"/>
  <c r="P11" i="18"/>
  <c r="H12" i="17"/>
  <c r="H7" i="17"/>
  <c r="P16" i="18"/>
  <c r="H17" i="17"/>
  <c r="O17" i="18"/>
  <c r="G18" i="17"/>
  <c r="P17" i="18"/>
  <c r="H18" i="17"/>
  <c r="P15" i="18"/>
  <c r="H16" i="17"/>
  <c r="P18" i="18"/>
  <c r="H19" i="17"/>
  <c r="P5" i="18"/>
  <c r="H5" i="17"/>
  <c r="P9" i="18"/>
  <c r="H10" i="17"/>
  <c r="P12" i="18"/>
  <c r="H13" i="17"/>
  <c r="H6" i="17"/>
  <c r="P13" i="18"/>
  <c r="H14" i="17"/>
  <c r="H8" i="17"/>
  <c r="G8" i="17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42" i="1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42" i="11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43" i="2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42" i="15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42" i="14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42" i="13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2" i="12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42" i="10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42" i="8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42" i="7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42" i="6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42" i="5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42" i="4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42" i="3"/>
  <c r="I18" i="17" l="1"/>
  <c r="I8" i="17"/>
  <c r="Q17" i="18"/>
  <c r="F28" i="19"/>
  <c r="C30" i="16"/>
  <c r="C90" i="3"/>
  <c r="N28" i="19"/>
  <c r="E30" i="16"/>
  <c r="C90" i="4"/>
  <c r="R28" i="19"/>
  <c r="G30" i="16"/>
  <c r="J28" i="19"/>
  <c r="I30" i="16"/>
  <c r="C90" i="7"/>
  <c r="K30" i="16"/>
  <c r="AD28" i="19"/>
  <c r="C90" i="10"/>
  <c r="AL28" i="19"/>
  <c r="O30" i="16"/>
  <c r="C90" i="13"/>
  <c r="AX28" i="19"/>
  <c r="D30" i="16"/>
  <c r="C90" i="11"/>
  <c r="AP28" i="19"/>
  <c r="G15" i="17" s="1"/>
  <c r="I15" i="17" s="1"/>
  <c r="F30" i="16"/>
  <c r="C90" i="5"/>
  <c r="V28" i="19"/>
  <c r="H30" i="16"/>
  <c r="C90" i="6"/>
  <c r="Z28" i="19"/>
  <c r="J30" i="16"/>
  <c r="C90" i="12"/>
  <c r="L30" i="16"/>
  <c r="AT28" i="19"/>
  <c r="C90" i="14"/>
  <c r="N30" i="16"/>
  <c r="BB28" i="19"/>
  <c r="C90" i="8"/>
  <c r="AH28" i="19"/>
  <c r="P30" i="16"/>
  <c r="G17" i="17" l="1"/>
  <c r="I17" i="17" s="1"/>
  <c r="H10" i="18"/>
  <c r="O16" i="18"/>
  <c r="Q16" i="18" s="1"/>
  <c r="H15" i="18"/>
  <c r="G11" i="17"/>
  <c r="I11" i="17" s="1"/>
  <c r="O10" i="18"/>
  <c r="Q10" i="18" s="1"/>
  <c r="O8" i="18"/>
  <c r="Q8" i="18" s="1"/>
  <c r="H7" i="18"/>
  <c r="G9" i="17"/>
  <c r="I9" i="17" s="1"/>
  <c r="H9" i="18"/>
  <c r="G12" i="17"/>
  <c r="I12" i="17" s="1"/>
  <c r="O11" i="18"/>
  <c r="Q11" i="18" s="1"/>
  <c r="O14" i="18"/>
  <c r="Q14" i="18" s="1"/>
  <c r="H8" i="18"/>
  <c r="G10" i="17"/>
  <c r="I10" i="17" s="1"/>
  <c r="H17" i="18"/>
  <c r="O9" i="18"/>
  <c r="Q9" i="18" s="1"/>
  <c r="G6" i="17"/>
  <c r="I6" i="17" s="1"/>
  <c r="H18" i="18"/>
  <c r="G5" i="17"/>
  <c r="I5" i="17" s="1"/>
  <c r="O5" i="18"/>
  <c r="Q5" i="18" s="1"/>
  <c r="O7" i="18"/>
  <c r="Q7" i="18" s="1"/>
  <c r="H5" i="18"/>
  <c r="G7" i="17"/>
  <c r="I7" i="17" s="1"/>
  <c r="G16" i="17"/>
  <c r="I16" i="17" s="1"/>
  <c r="H12" i="18"/>
  <c r="O15" i="18"/>
  <c r="Q15" i="18" s="1"/>
  <c r="G13" i="17"/>
  <c r="I13" i="17" s="1"/>
  <c r="H14" i="18"/>
  <c r="O12" i="18"/>
  <c r="Q12" i="18" s="1"/>
  <c r="O18" i="18"/>
  <c r="Q18" i="18" s="1"/>
  <c r="G19" i="17"/>
  <c r="I19" i="17" s="1"/>
  <c r="H16" i="18"/>
  <c r="O13" i="18"/>
  <c r="Q13" i="18" s="1"/>
  <c r="G14" i="17"/>
  <c r="I14" i="17" s="1"/>
  <c r="H6" i="18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B165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B164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B160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C228" i="15"/>
  <c r="BG28" i="19" s="1"/>
  <c r="C227" i="15"/>
  <c r="BG27" i="19" s="1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228" i="14"/>
  <c r="BC28" i="19" s="1"/>
  <c r="C227" i="14"/>
  <c r="BC27" i="19" s="1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228" i="12"/>
  <c r="AU28" i="19" s="1"/>
  <c r="C227" i="12"/>
  <c r="AU27" i="19" s="1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228" i="11"/>
  <c r="AQ28" i="19" s="1"/>
  <c r="C227" i="11"/>
  <c r="AQ27" i="19" s="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228" i="10"/>
  <c r="AM28" i="19" s="1"/>
  <c r="C227" i="10"/>
  <c r="AM27" i="19" s="1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228" i="13"/>
  <c r="AY28" i="19" s="1"/>
  <c r="C227" i="13"/>
  <c r="AY27" i="19" s="1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228" i="8"/>
  <c r="AI28" i="19" s="1"/>
  <c r="C227" i="8"/>
  <c r="AI27" i="19" s="1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228" i="7"/>
  <c r="AE28" i="19" s="1"/>
  <c r="C227" i="7"/>
  <c r="AE27" i="19" s="1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228" i="6"/>
  <c r="AA28" i="19" s="1"/>
  <c r="C227" i="6"/>
  <c r="AA27" i="19" s="1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228" i="5"/>
  <c r="W28" i="19" s="1"/>
  <c r="C227" i="5"/>
  <c r="W27" i="19" s="1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228" i="4"/>
  <c r="S28" i="19" s="1"/>
  <c r="C227" i="4"/>
  <c r="S27" i="19" s="1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228" i="3"/>
  <c r="O28" i="19" s="1"/>
  <c r="C227" i="3"/>
  <c r="O27" i="19" s="1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K28" i="19"/>
  <c r="K27" i="19"/>
  <c r="C364" i="2"/>
  <c r="G28" i="19" s="1"/>
  <c r="C363" i="2"/>
  <c r="G27" i="19" s="1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8" i="1"/>
  <c r="C28" i="19" s="1"/>
  <c r="C227" i="1"/>
  <c r="C27" i="19" s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Nikhil Khajuria</author>
  </authors>
  <commentList>
    <comment ref="B201" authorId="0" shapeId="0" xr:uid="{A8C0BFFD-10A6-41DD-B5FE-2D23185581EB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Mar 2024 final reading, https://www.pmi.spglobal.com/Public/Home/PressRelease/3a2f12d98a7f4851a48f2b98f051235f</t>
        </r>
      </text>
    </comment>
    <comment ref="B202" authorId="0" shapeId="0" xr:uid="{30CD12E7-03B5-4739-B2F5-63D542F42415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Apr 2024 final reading, https://www.pmi.spglobal.com/Public/Home/PressRelease/3a2f12d98a7f4851a48f2b98f051235f</t>
        </r>
      </text>
    </comment>
    <comment ref="B203" authorId="0" shapeId="0" xr:uid="{5DF01E38-0247-43F0-AC0E-904CDD494984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May 2024 final reading, https://www.pmi.spglobal.com/Public/Home/PressRelease/3a2f12d98a7f4851a48f2b98f051235f</t>
        </r>
      </text>
    </comment>
    <comment ref="B204" authorId="0" shapeId="0" xr:uid="{E998D2AE-3F8D-4E7B-AFDD-1FBEBF565031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Jun 2024 final reading, https://www.pmi.spglobal.com/Public/Home/PressRelease/a53d1b714d564b4587a9d7f069bbbe0d</t>
        </r>
      </text>
    </comment>
    <comment ref="B205" authorId="0" shapeId="0" xr:uid="{7B15F4E8-A58C-4B02-A33E-A289DD95806F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Jul 2024 final reading, https://www.pmi.spglobal.com/Public/Home/PressRelease/3a2f12d98a7f4851a48f2b98f051235f</t>
        </r>
      </text>
    </comment>
    <comment ref="B206" authorId="0" shapeId="0" xr:uid="{181ECF6C-BEF7-406A-B68D-1B36CD9E34AF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Aug 2024 final reading, https://www.pmi.spglobal.com/Public/Home/PressRelease/3a2f12d98a7f4851a48f2b98f051235f</t>
        </r>
      </text>
    </comment>
    <comment ref="B207" authorId="0" shapeId="0" xr:uid="{470B5B0E-EC20-4D9D-B6C2-D53A0CA7683A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Sep 2024 final reading, https://www.pmi.spglobal.com/Public/Home/PressRelease/3a2f12d98a7f4851a48f2b98f051235f</t>
        </r>
      </text>
    </comment>
    <comment ref="B208" authorId="0" shapeId="0" xr:uid="{30C0CF8C-B10D-4FB0-9C00-AF93FBF2FF73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Oct 2024 final reading (via S&amp;P Global PMI historical series)</t>
        </r>
      </text>
    </comment>
    <comment ref="B209" authorId="0" shapeId="0" xr:uid="{7AFF7E7D-2E3B-4217-92D2-DFCEE1723C60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Nov 2024 final reading (via S&amp;P Global PMI historical series)</t>
        </r>
      </text>
    </comment>
    <comment ref="B210" authorId="0" shapeId="0" xr:uid="{D272EEA8-E18C-4DC5-B646-BAC97752A70C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Dec 2024 final reading (via S&amp;P Global PMI historical series)</t>
        </r>
      </text>
    </comment>
    <comment ref="B211" authorId="0" shapeId="0" xr:uid="{46A9184E-97D3-44B2-9106-5A66EE82F575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Jan 2025 final reading, https://www.pmi.spglobal.com/Public/Home/PressRelease/9b1d7da04ed34801a47d43b37667529b</t>
        </r>
      </text>
    </comment>
    <comment ref="B212" authorId="0" shapeId="0" xr:uid="{7EB2A204-8BC0-461F-B08E-9B8E72969901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Feb 2025 final reading (via S&amp;P Global PMI historical series)</t>
        </r>
      </text>
    </comment>
    <comment ref="B213" authorId="0" shapeId="0" xr:uid="{B350F2F7-234F-4122-844E-109ABC60CCEB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Mar 2025 final reading (via S&amp;P Global PMI historical series)</t>
        </r>
      </text>
    </comment>
    <comment ref="B214" authorId="0" shapeId="0" xr:uid="{02AED9E7-9DDB-46BF-9994-D47AAD6312A2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Apr 2025 final reading (via S&amp;P Global PMI historical series)</t>
        </r>
      </text>
    </comment>
    <comment ref="B215" authorId="0" shapeId="0" xr:uid="{940E4AF8-BE88-4D42-A851-C52231FFF488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May 2025 final reading (via S&amp;P Global PMI historical series)</t>
        </r>
      </text>
    </comment>
    <comment ref="B216" authorId="0" shapeId="0" xr:uid="{5FF807FF-2C75-4AE8-8DC8-605A6347834E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Jun 2025 final reading (via S&amp;P Global PMI historical series)</t>
        </r>
      </text>
    </comment>
    <comment ref="B217" authorId="0" shapeId="0" xr:uid="{B60AC9B7-C157-4FCE-9FC2-E0324D418E65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Jul 2025 final reading (via S&amp;P Global PMI historical series)</t>
        </r>
      </text>
    </comment>
    <comment ref="B218" authorId="0" shapeId="0" xr:uid="{23D554C5-8678-4E91-87B2-51560717077E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Aug 2025 final reading (via S&amp;P Global PMI historical series)</t>
        </r>
      </text>
    </comment>
    <comment ref="B219" authorId="0" shapeId="0" xr:uid="{E435EEF2-E971-43BC-B18D-EAE46E0AE630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Sep 2025 final reading (via S&amp;P Global PMI historical series)</t>
        </r>
      </text>
    </comment>
    <comment ref="B220" authorId="0" shapeId="0" xr:uid="{921AFCB5-CB21-4BCF-AD47-10AFB6BE7472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Oct 2025 final reading, https://www.pmi.spglobal.com/Public/Home/PressRelease/aeabae06584e450ea131f8ac2e120ab3</t>
        </r>
      </text>
    </comment>
    <comment ref="B221" authorId="0" shapeId="0" xr:uid="{D5959304-E0DB-4603-BC98-EDBC256762B7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Nov 2025 final reading, https://www.pmi.spglobal.com/Public/Home/PressRelease/83ee422815b14aeca263fce76f16fa1b</t>
        </r>
      </text>
    </comment>
    <comment ref="B222" authorId="0" shapeId="0" xr:uid="{E80B1950-B6D1-49CF-A2DF-D85E9A7C0806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Dec 2025 final reading, https://www.pmi.spglobal.com/Public/Home/PressRelease/83ee422815b14aeca263fce76f16fa1b</t>
        </r>
      </text>
    </comment>
    <comment ref="B223" authorId="0" shapeId="0" xr:uid="{2DF52F46-AA68-4135-AC1F-946A03B236A6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PMI, Jan 2026 final reading (cited as comparison base in Feb 2026 flash release), https://www.pmi.spglobal.com/Public/Home/PressRelease/ed507499ae624608aed481432d5cc8d0</t>
        </r>
      </text>
    </comment>
    <comment ref="B224" authorId="0" shapeId="0" xr:uid="{24956D5F-1D7F-4222-AFF7-DA87ACEE229A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Feb 2026 final reading, https://www.pmi.spglobal.com/Public/Home/PressRelease/de91810fcfd845e7a0ef06defdaa3b7c</t>
        </r>
      </text>
    </comment>
    <comment ref="B228" authorId="0" shapeId="0" xr:uid="{2B930FB2-8B16-42B0-9052-AE9E8E6FB5A3}">
      <text>
        <r>
          <rPr>
            <b/>
            <sz val="9"/>
            <color indexed="81"/>
            <rFont val="Tahoma"/>
            <charset val="1"/>
          </rPr>
          <t>Nikhil Khajuria:</t>
        </r>
        <r>
          <rPr>
            <sz val="9"/>
            <color indexed="81"/>
            <rFont val="Tahoma"/>
            <charset val="1"/>
          </rPr>
          <t xml:space="preserve">
Source: S&amp;P Global UK Services PMI press release, Jun 2026 final reading (revised from 48.7 flash), https://tradingeconomics.com/united-kingdom/services-pmi citing S&amp;P Global PMI</t>
        </r>
      </text>
    </comment>
  </commentList>
</comments>
</file>

<file path=xl/sharedStrings.xml><?xml version="1.0" encoding="utf-8"?>
<sst xmlns="http://schemas.openxmlformats.org/spreadsheetml/2006/main" count="2654" uniqueCount="284">
  <si>
    <t>Date</t>
  </si>
  <si>
    <t>Change</t>
  </si>
  <si>
    <t>Global Service PMI</t>
  </si>
  <si>
    <t>US Service PMI</t>
  </si>
  <si>
    <t>Euro-Zone Service PMI</t>
  </si>
  <si>
    <t>Germany Service PMI</t>
  </si>
  <si>
    <t>France Service PMI</t>
  </si>
  <si>
    <t>Italy Service PMI</t>
  </si>
  <si>
    <t>Spain Service PMI</t>
  </si>
  <si>
    <t>Ireland Service PMI</t>
  </si>
  <si>
    <t>UK Service PMI</t>
  </si>
  <si>
    <t>Australia Service PMI</t>
  </si>
  <si>
    <t>Japan Service PMI</t>
  </si>
  <si>
    <t>Brazil Service PMI</t>
  </si>
  <si>
    <t>China Service PMI</t>
  </si>
  <si>
    <t>India Service PMI</t>
  </si>
  <si>
    <t>Russia Service PMI</t>
  </si>
  <si>
    <t>Euro Zone GDP q/q %</t>
  </si>
  <si>
    <t>Germany GDP q/q</t>
  </si>
  <si>
    <t>French GDP q/q</t>
  </si>
  <si>
    <t>Italy GDP q/q</t>
  </si>
  <si>
    <t>Spanish GDP q/q</t>
  </si>
  <si>
    <t>Ireland GDP Growth q/q</t>
  </si>
  <si>
    <t>UK GDP Growth q/q</t>
  </si>
  <si>
    <t xml:space="preserve">GDP Change q/q </t>
  </si>
  <si>
    <t>Japan GDP Growth q/q</t>
  </si>
  <si>
    <t>Brazil GDP Growth q/q</t>
  </si>
  <si>
    <t>India GDP Growth q/q</t>
  </si>
  <si>
    <t>Russian GDP Growth q/q</t>
  </si>
  <si>
    <t>US GDP q/q</t>
  </si>
  <si>
    <t>Global</t>
  </si>
  <si>
    <t>US</t>
  </si>
  <si>
    <t xml:space="preserve">China </t>
  </si>
  <si>
    <t>EA</t>
  </si>
  <si>
    <t xml:space="preserve">Japan </t>
  </si>
  <si>
    <t>Germany</t>
  </si>
  <si>
    <t>France</t>
  </si>
  <si>
    <t>UK</t>
  </si>
  <si>
    <t xml:space="preserve">Italy </t>
  </si>
  <si>
    <t>Spain</t>
  </si>
  <si>
    <t>Brazil</t>
  </si>
  <si>
    <t>Russia</t>
  </si>
  <si>
    <t>India</t>
  </si>
  <si>
    <t>Australia</t>
  </si>
  <si>
    <t>Ireland</t>
  </si>
  <si>
    <t>No data</t>
  </si>
  <si>
    <t>Country</t>
  </si>
  <si>
    <t>Country Name</t>
  </si>
  <si>
    <t>% World GDP</t>
  </si>
  <si>
    <t xml:space="preserve">GDP y/y </t>
  </si>
  <si>
    <t xml:space="preserve">GDP q/q </t>
  </si>
  <si>
    <t>Key Rate</t>
  </si>
  <si>
    <t xml:space="preserve">Inflation </t>
  </si>
  <si>
    <t>Summary</t>
  </si>
  <si>
    <t>Growing, slower</t>
  </si>
  <si>
    <t>United States</t>
  </si>
  <si>
    <t>Growing, faster</t>
  </si>
  <si>
    <t>China</t>
  </si>
  <si>
    <t>Contracting, slower</t>
  </si>
  <si>
    <t>Japan</t>
  </si>
  <si>
    <t>United Kingdom</t>
  </si>
  <si>
    <t>Italy</t>
  </si>
  <si>
    <t>Service PMI</t>
  </si>
  <si>
    <t>Trend</t>
  </si>
  <si>
    <t>Index</t>
  </si>
  <si>
    <t>EZ</t>
  </si>
  <si>
    <t>DE</t>
  </si>
  <si>
    <t>FR</t>
  </si>
  <si>
    <t>IT</t>
  </si>
  <si>
    <t>ES</t>
  </si>
  <si>
    <t>IR</t>
  </si>
  <si>
    <t>AU</t>
  </si>
  <si>
    <t>JP</t>
  </si>
  <si>
    <t>BR</t>
  </si>
  <si>
    <t>CH</t>
  </si>
  <si>
    <t>IN</t>
  </si>
  <si>
    <t>RS</t>
  </si>
  <si>
    <t>Euro Area</t>
  </si>
  <si>
    <t>Index Points</t>
  </si>
  <si>
    <t>Monthly</t>
  </si>
  <si>
    <t>Oct</t>
  </si>
  <si>
    <t>             </t>
  </si>
  <si>
    <t>Last</t>
  </si>
  <si>
    <t>Previous</t>
  </si>
  <si>
    <t>Highest</t>
  </si>
  <si>
    <t>Lowest</t>
  </si>
  <si>
    <t>Unit</t>
  </si>
  <si>
    <t>Reference</t>
  </si>
  <si>
    <t>Frequency</t>
  </si>
  <si>
    <t>TBR - To be released</t>
  </si>
  <si>
    <t>Contracting, faster</t>
  </si>
  <si>
    <t>Growing, from Contracting</t>
  </si>
  <si>
    <t>China GDP Growth q/q</t>
  </si>
  <si>
    <t>Sweden</t>
  </si>
  <si>
    <t>Albania</t>
  </si>
  <si>
    <t>percent</t>
  </si>
  <si>
    <t>Quarterly</t>
  </si>
  <si>
    <t>Algeria</t>
  </si>
  <si>
    <t>Yearly</t>
  </si>
  <si>
    <t>Angola</t>
  </si>
  <si>
    <t>Argentina</t>
  </si>
  <si>
    <t>Austria</t>
  </si>
  <si>
    <t>Bahrain</t>
  </si>
  <si>
    <t>Bangladesh</t>
  </si>
  <si>
    <t>Belgium</t>
  </si>
  <si>
    <t>Belize</t>
  </si>
  <si>
    <t>Bolivia</t>
  </si>
  <si>
    <t>Bosnia And Herzegovina</t>
  </si>
  <si>
    <t>Botswana</t>
  </si>
  <si>
    <t>Bulgaria</t>
  </si>
  <si>
    <t>Cameroon</t>
  </si>
  <si>
    <t>Canada</t>
  </si>
  <si>
    <t>Chile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</si>
  <si>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</si>
  <si>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</si>
  <si>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</si>
  <si>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</si>
  <si>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</si>
  <si>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</si>
  <si>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</si>
  <si>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</si>
  <si>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</si>
  <si>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</si>
  <si>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</si>
  <si>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European Union</t>
  </si>
  <si>
    <t>Finland</t>
  </si>
  <si>
    <t>Ghana</t>
  </si>
  <si>
    <t>Greece</t>
  </si>
  <si>
    <t>Hong Kong</t>
  </si>
  <si>
    <t>Hungary</t>
  </si>
  <si>
    <t>Iceland</t>
  </si>
  <si>
    <t>Indonesia</t>
  </si>
  <si>
    <t>Israel</t>
  </si>
  <si>
    <t>Jamaica</t>
  </si>
  <si>
    <t>Kazakhstan</t>
  </si>
  <si>
    <t>Kenya</t>
  </si>
  <si>
    <t>Latvia</t>
  </si>
  <si>
    <t>Lithuania</t>
  </si>
  <si>
    <t>Luxembourg</t>
  </si>
  <si>
    <t>Macedonia</t>
  </si>
  <si>
    <t>Malaysia</t>
  </si>
  <si>
    <t>Malta</t>
  </si>
  <si>
    <t>Mauritius</t>
  </si>
  <si>
    <t>Mexico</t>
  </si>
  <si>
    <t>Moldova</t>
  </si>
  <si>
    <t>Mongolia</t>
  </si>
  <si>
    <t>Morocco</t>
  </si>
  <si>
    <t>Mozambique</t>
  </si>
  <si>
    <t>Namibia</t>
  </si>
  <si>
    <t>Netherlands</t>
  </si>
  <si>
    <t>New Zealand</t>
  </si>
  <si>
    <t>Nigeria</t>
  </si>
  <si>
    <t>Norway</t>
  </si>
  <si>
    <t>Pakistan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</si>
  <si>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</si>
  <si>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</si>
  <si>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</si>
  <si>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</si>
  <si>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</si>
  <si>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</si>
  <si>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</si>
  <si>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</si>
  <si>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</si>
  <si>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</si>
  <si>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</si>
  <si>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</si>
  <si>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</si>
  <si>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</si>
  <si>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</si>
  <si>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South Korea</t>
  </si>
  <si>
    <t>Sri Lanka</t>
  </si>
  <si>
    <t>Switzerland</t>
  </si>
  <si>
    <t>Taiwan</t>
  </si>
  <si>
    <t>Tanzania</t>
  </si>
  <si>
    <t>Thailand</t>
  </si>
  <si>
    <t>Tunisia</t>
  </si>
  <si>
    <t>Turkey</t>
  </si>
  <si>
    <t>Uganda</t>
  </si>
  <si>
    <t>Ukraine</t>
  </si>
  <si>
    <t>United Arab Emirates</t>
  </si>
  <si>
    <t>Uruguay</t>
  </si>
  <si>
    <t>Venezuela</t>
  </si>
  <si>
    <t>Vietnam</t>
  </si>
  <si>
    <t>GDP Growth</t>
  </si>
  <si>
    <t>GDP</t>
  </si>
  <si>
    <t>GDP YoY</t>
  </si>
  <si>
    <t>GDP QoQ</t>
  </si>
  <si>
    <t>Interest rate</t>
  </si>
  <si>
    <t>Inflation rate</t>
  </si>
  <si>
    <t>Jobless rate</t>
  </si>
  <si>
    <t>Gov. Budget</t>
  </si>
  <si>
    <t>Debt/GDP</t>
  </si>
  <si>
    <t>Current Account</t>
  </si>
  <si>
    <t>Currency</t>
  </si>
  <si>
    <t>Population</t>
  </si>
  <si>
    <t>Iran</t>
  </si>
  <si>
    <t>Iraq</t>
  </si>
  <si>
    <t>Kuwait</t>
  </si>
  <si>
    <t>Puerto Rico</t>
  </si>
  <si>
    <t>Oman</t>
  </si>
  <si>
    <t>Libya</t>
  </si>
  <si>
    <t>Azerbaijan</t>
  </si>
  <si>
    <t>Syria</t>
  </si>
  <si>
    <t>Belarus</t>
  </si>
  <si>
    <t>Cuba</t>
  </si>
  <si>
    <t>Sudan</t>
  </si>
  <si>
    <t>Uzbekistan</t>
  </si>
  <si>
    <t>Guatemala</t>
  </si>
  <si>
    <t>Myanmar</t>
  </si>
  <si>
    <t>Macao</t>
  </si>
  <si>
    <t>Ethiopia</t>
  </si>
  <si>
    <t>Lebanon</t>
  </si>
  <si>
    <t>Panama</t>
  </si>
  <si>
    <t>Turkmenistan</t>
  </si>
  <si>
    <t>Yemen</t>
  </si>
  <si>
    <t>Jordan</t>
  </si>
  <si>
    <t>Congo</t>
  </si>
  <si>
    <t>Ivory Coast</t>
  </si>
  <si>
    <t>Trinidad and Tobago</t>
  </si>
  <si>
    <t>Zambia</t>
  </si>
  <si>
    <t>Afghanistan</t>
  </si>
  <si>
    <t>Gabon</t>
  </si>
  <si>
    <t>Honduras</t>
  </si>
  <si>
    <t>Nepal</t>
  </si>
  <si>
    <t>Bosnia and Herzegovina</t>
  </si>
  <si>
    <t>Brunei</t>
  </si>
  <si>
    <t>Georgia</t>
  </si>
  <si>
    <t>Equatorial Guinea</t>
  </si>
  <si>
    <t>Cambodia</t>
  </si>
  <si>
    <t>Papua New Guinea</t>
  </si>
  <si>
    <t>Republic of the Congo</t>
  </si>
  <si>
    <t>South Sudan</t>
  </si>
  <si>
    <t>Zimbabwe</t>
  </si>
  <si>
    <t>Chad</t>
  </si>
  <si>
    <t>Burkina Faso</t>
  </si>
  <si>
    <t>Mali</t>
  </si>
  <si>
    <t>Madagascar</t>
  </si>
  <si>
    <t>Laos</t>
  </si>
  <si>
    <t>Nicaragua</t>
  </si>
  <si>
    <t>New Caledonia</t>
  </si>
  <si>
    <t>Armenia</t>
  </si>
  <si>
    <t>Tajikistan</t>
  </si>
  <si>
    <t>Benin</t>
  </si>
  <si>
    <t>Bahamas</t>
  </si>
  <si>
    <t>Haiti</t>
  </si>
  <si>
    <t>Kyrgyzstan</t>
  </si>
  <si>
    <t>Kosovo</t>
  </si>
  <si>
    <t>Niger</t>
  </si>
  <si>
    <t>Palestine</t>
  </si>
  <si>
    <t>Monaco</t>
  </si>
  <si>
    <t>Guinea</t>
  </si>
  <si>
    <t>Liechtenstein</t>
  </si>
  <si>
    <t>Sierra Leone</t>
  </si>
  <si>
    <t>Suriname</t>
  </si>
  <si>
    <t>Swaziland</t>
  </si>
  <si>
    <t>Togo</t>
  </si>
  <si>
    <t>Montenegro</t>
  </si>
  <si>
    <t>Malawi</t>
  </si>
  <si>
    <t>Mauritania</t>
  </si>
  <si>
    <t>Fiji</t>
  </si>
  <si>
    <t>Guyana</t>
  </si>
  <si>
    <t>Eritrea</t>
  </si>
  <si>
    <t>Burundi</t>
  </si>
  <si>
    <t>Cayman Islands</t>
  </si>
  <si>
    <t>Central African Republic</t>
  </si>
  <si>
    <t>Cape Verde</t>
  </si>
  <si>
    <t>Bhutan</t>
  </si>
  <si>
    <t>East Timor</t>
  </si>
  <si>
    <t>Maldives</t>
  </si>
  <si>
    <t>Lesotho</t>
  </si>
  <si>
    <t>Liberia</t>
  </si>
  <si>
    <t>Seychelles</t>
  </si>
  <si>
    <t>Djibouti</t>
  </si>
  <si>
    <t>Guinea Bissau</t>
  </si>
  <si>
    <t>Gambia</t>
  </si>
  <si>
    <t>Comoros</t>
  </si>
  <si>
    <t>Somalia</t>
  </si>
  <si>
    <t>Sao Tome and Principe</t>
  </si>
  <si>
    <t>Nov</t>
  </si>
  <si>
    <t>Column1</t>
  </si>
  <si>
    <t>Column2</t>
  </si>
  <si>
    <t>Column3</t>
  </si>
  <si>
    <t>Column4</t>
  </si>
  <si>
    <t>TBR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</si>
</sst>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Garamond"/>
      <family val="1"/>
    </font>
    <font>
      <b/>
      <i/>
      <sz val="11"/>
      <color theme="1"/>
      <name val="Garamond"/>
      <family val="1"/>
    </font>
    <font>
      <sz val="10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sz val="11"/>
      <name val="Calibri"/>
      <family val="2"/>
      <scheme val="minor"/>
    </font>
    <font>
      <b/>
      <sz val="9"/>
      <color theme="1"/>
      <name val="Garamond"/>
      <family val="1"/>
    </font>
    <font>
      <b/>
      <sz val="8"/>
      <color theme="1"/>
      <name val="Garamond"/>
      <family val="1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AF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6FFF6"/>
        <bgColor indexed="64"/>
      </patternFill>
    </fill>
    <fill>
      <patternFill patternType="solid">
        <fgColor rgb="FFE9FFE9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EEFFEE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rgb="FF1F4E7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7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" fontId="1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" fontId="1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7" xfId="0" applyNumberFormat="1" applyBorder="1"/>
    <xf numFmtId="164" fontId="0" fillId="2" borderId="3" xfId="0" applyNumberFormat="1" applyFill="1" applyBorder="1" applyAlignment="1">
      <alignment horizontal="center"/>
    </xf>
    <xf numFmtId="164" fontId="0" fillId="0" borderId="8" xfId="0" applyNumberFormat="1" applyBorder="1"/>
    <xf numFmtId="0" fontId="2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17" fontId="8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7" fontId="3" fillId="3" borderId="1" xfId="0" applyNumberFormat="1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4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2" fillId="0" borderId="0" xfId="0" applyFont="1"/>
    <xf numFmtId="17" fontId="0" fillId="0" borderId="0" xfId="0" applyNumberFormat="1"/>
    <xf numFmtId="10" fontId="11" fillId="0" borderId="0" xfId="1" applyNumberFormat="1" applyFill="1" applyBorder="1" applyAlignment="1">
      <alignment horizontal="center" vertical="top" wrapText="1"/>
    </xf>
    <xf numFmtId="0" fontId="11" fillId="0" borderId="0" xfId="1" applyFill="1" applyBorder="1" applyAlignment="1">
      <alignment horizontal="left" vertical="center" wrapText="1"/>
    </xf>
    <xf numFmtId="0" fontId="11" fillId="0" borderId="0" xfId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12" fillId="8" borderId="11" xfId="0" applyFont="1" applyFill="1" applyBorder="1" applyAlignment="1">
      <alignment horizontal="center" vertical="top"/>
    </xf>
    <xf numFmtId="0" fontId="12" fillId="9" borderId="11" xfId="0" applyFont="1" applyFill="1" applyBorder="1" applyAlignment="1">
      <alignment horizontal="center" vertical="top"/>
    </xf>
    <xf numFmtId="165" fontId="6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5" fillId="4" borderId="13" xfId="0" applyFont="1" applyFill="1" applyBorder="1"/>
    <xf numFmtId="165" fontId="6" fillId="4" borderId="13" xfId="0" applyNumberFormat="1" applyFont="1" applyFill="1" applyBorder="1" applyAlignment="1">
      <alignment horizontal="center"/>
    </xf>
    <xf numFmtId="0" fontId="5" fillId="4" borderId="10" xfId="0" applyFont="1" applyFill="1" applyBorder="1"/>
    <xf numFmtId="1" fontId="0" fillId="4" borderId="1" xfId="0" applyNumberFormat="1" applyFill="1" applyBorder="1" applyAlignment="1">
      <alignment horizontal="center"/>
    </xf>
    <xf numFmtId="0" fontId="12" fillId="7" borderId="11" xfId="0" applyFont="1" applyFill="1" applyBorder="1" applyAlignment="1">
      <alignment vertical="top"/>
    </xf>
    <xf numFmtId="17" fontId="12" fillId="7" borderId="11" xfId="0" applyNumberFormat="1" applyFont="1" applyFill="1" applyBorder="1" applyAlignment="1">
      <alignment vertical="top"/>
    </xf>
    <xf numFmtId="0" fontId="12" fillId="7" borderId="12" xfId="0" applyFont="1" applyFill="1" applyBorder="1" applyAlignment="1">
      <alignment horizontal="left" wrapText="1"/>
    </xf>
    <xf numFmtId="0" fontId="12" fillId="7" borderId="11" xfId="0" applyFont="1" applyFill="1" applyBorder="1" applyAlignment="1">
      <alignment horizontal="center" vertical="top" wrapText="1"/>
    </xf>
    <xf numFmtId="10" fontId="12" fillId="10" borderId="11" xfId="0" applyNumberFormat="1" applyFont="1" applyFill="1" applyBorder="1" applyAlignment="1">
      <alignment horizontal="center" vertical="top" wrapText="1"/>
    </xf>
    <xf numFmtId="10" fontId="12" fillId="11" borderId="11" xfId="0" applyNumberFormat="1" applyFont="1" applyFill="1" applyBorder="1" applyAlignment="1">
      <alignment horizontal="center" vertical="top" wrapText="1"/>
    </xf>
    <xf numFmtId="10" fontId="12" fillId="12" borderId="11" xfId="0" applyNumberFormat="1" applyFont="1" applyFill="1" applyBorder="1" applyAlignment="1">
      <alignment horizontal="center" vertical="top" wrapText="1"/>
    </xf>
    <xf numFmtId="10" fontId="12" fillId="13" borderId="11" xfId="0" applyNumberFormat="1" applyFont="1" applyFill="1" applyBorder="1" applyAlignment="1">
      <alignment horizontal="center" vertical="top" wrapText="1"/>
    </xf>
    <xf numFmtId="10" fontId="12" fillId="14" borderId="11" xfId="0" applyNumberFormat="1" applyFont="1" applyFill="1" applyBorder="1" applyAlignment="1">
      <alignment horizontal="center" vertical="top" wrapText="1"/>
    </xf>
    <xf numFmtId="10" fontId="12" fillId="15" borderId="11" xfId="0" applyNumberFormat="1" applyFont="1" applyFill="1" applyBorder="1" applyAlignment="1">
      <alignment horizontal="center" vertical="top" wrapText="1"/>
    </xf>
    <xf numFmtId="10" fontId="12" fillId="16" borderId="11" xfId="0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vertical="center"/>
    </xf>
    <xf numFmtId="17" fontId="1" fillId="0" borderId="6" xfId="0" applyNumberFormat="1" applyFont="1" applyBorder="1" applyAlignment="1">
      <alignment horizontal="left" vertical="center" wrapText="1"/>
    </xf>
    <xf numFmtId="17" fontId="13" fillId="0" borderId="6" xfId="0" applyNumberFormat="1" applyFont="1" applyBorder="1" applyAlignment="1">
      <alignment horizontal="left" vertical="center" wrapText="1"/>
    </xf>
    <xf numFmtId="17" fontId="13" fillId="0" borderId="16" xfId="0" applyNumberFormat="1" applyFont="1" applyBorder="1" applyAlignment="1">
      <alignment horizontal="left" vertical="center" wrapText="1"/>
    </xf>
    <xf numFmtId="0" fontId="14" fillId="17" borderId="6" xfId="0" applyFont="1" applyFill="1" applyBorder="1" applyAlignment="1">
      <alignment vertical="center"/>
    </xf>
    <xf numFmtId="164" fontId="14" fillId="17" borderId="1" xfId="0" applyNumberFormat="1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vertical="center"/>
    </xf>
    <xf numFmtId="165" fontId="14" fillId="17" borderId="0" xfId="0" applyNumberFormat="1" applyFont="1" applyFill="1"/>
    <xf numFmtId="0" fontId="6" fillId="4" borderId="1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0" xfId="0"/>
    <xf numFmtId="0" fontId="12" fillId="7" borderId="14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/>
    </xf>
    <xf numFmtId="17" fontId="13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70"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%"/>
    </dxf>
    <dxf>
      <numFmt numFmtId="164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color rgb="FFFFFFFF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Global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Global!$B$40</c:f>
              <c:strCache>
                <c:ptCount val="1"/>
                <c:pt idx="0">
                  <c:v>Global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Global!$A$41:$A$239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Global!$B$41:$B$239</c:f>
              <c:numCache>
                <c:formatCode>0.0</c:formatCode>
                <c:ptCount val="199"/>
                <c:pt idx="0">
                  <c:v>54.6</c:v>
                </c:pt>
                <c:pt idx="1">
                  <c:v>54.8</c:v>
                </c:pt>
                <c:pt idx="2">
                  <c:v>56.3</c:v>
                </c:pt>
                <c:pt idx="3">
                  <c:v>57.1</c:v>
                </c:pt>
                <c:pt idx="4">
                  <c:v>59.3</c:v>
                </c:pt>
                <c:pt idx="5">
                  <c:v>54</c:v>
                </c:pt>
                <c:pt idx="6">
                  <c:v>51</c:v>
                </c:pt>
                <c:pt idx="7">
                  <c:v>52.5</c:v>
                </c:pt>
                <c:pt idx="8">
                  <c:v>52.1</c:v>
                </c:pt>
                <c:pt idx="9">
                  <c:v>53.1</c:v>
                </c:pt>
                <c:pt idx="10">
                  <c:v>52.4</c:v>
                </c:pt>
                <c:pt idx="11">
                  <c:v>52.6</c:v>
                </c:pt>
                <c:pt idx="12">
                  <c:v>51.8</c:v>
                </c:pt>
                <c:pt idx="13">
                  <c:v>52.6</c:v>
                </c:pt>
                <c:pt idx="14">
                  <c:v>53.2</c:v>
                </c:pt>
                <c:pt idx="15">
                  <c:v>55.4</c:v>
                </c:pt>
                <c:pt idx="16">
                  <c:v>56.5</c:v>
                </c:pt>
                <c:pt idx="17">
                  <c:v>54.3</c:v>
                </c:pt>
                <c:pt idx="18">
                  <c:v>53.2</c:v>
                </c:pt>
                <c:pt idx="19">
                  <c:v>53.3</c:v>
                </c:pt>
                <c:pt idx="20">
                  <c:v>50.1</c:v>
                </c:pt>
                <c:pt idx="21">
                  <c:v>49.2</c:v>
                </c:pt>
                <c:pt idx="22">
                  <c:v>52.4</c:v>
                </c:pt>
                <c:pt idx="23">
                  <c:v>53.1</c:v>
                </c:pt>
                <c:pt idx="24">
                  <c:v>53.6</c:v>
                </c:pt>
                <c:pt idx="25">
                  <c:v>54.8</c:v>
                </c:pt>
                <c:pt idx="26">
                  <c:v>54.8</c:v>
                </c:pt>
                <c:pt idx="27">
                  <c:v>53.6</c:v>
                </c:pt>
                <c:pt idx="28">
                  <c:v>53.2</c:v>
                </c:pt>
                <c:pt idx="29">
                  <c:v>53.4</c:v>
                </c:pt>
                <c:pt idx="30">
                  <c:v>52.1</c:v>
                </c:pt>
                <c:pt idx="31">
                  <c:v>53.7</c:v>
                </c:pt>
                <c:pt idx="32">
                  <c:v>51.3</c:v>
                </c:pt>
                <c:pt idx="33">
                  <c:v>54.9</c:v>
                </c:pt>
                <c:pt idx="34">
                  <c:v>56</c:v>
                </c:pt>
                <c:pt idx="35">
                  <c:v>53.6</c:v>
                </c:pt>
                <c:pt idx="36">
                  <c:v>51.8</c:v>
                </c:pt>
                <c:pt idx="37">
                  <c:v>53.9</c:v>
                </c:pt>
                <c:pt idx="38">
                  <c:v>53.5</c:v>
                </c:pt>
                <c:pt idx="39">
                  <c:v>53.8</c:v>
                </c:pt>
                <c:pt idx="40">
                  <c:v>52.7</c:v>
                </c:pt>
                <c:pt idx="41">
                  <c:v>53.5</c:v>
                </c:pt>
                <c:pt idx="42">
                  <c:v>52.7</c:v>
                </c:pt>
                <c:pt idx="43">
                  <c:v>54.6</c:v>
                </c:pt>
                <c:pt idx="44">
                  <c:v>55.8</c:v>
                </c:pt>
                <c:pt idx="45">
                  <c:v>56</c:v>
                </c:pt>
                <c:pt idx="46">
                  <c:v>55.5</c:v>
                </c:pt>
                <c:pt idx="47">
                  <c:v>55.3</c:v>
                </c:pt>
                <c:pt idx="48">
                  <c:v>53.7</c:v>
                </c:pt>
                <c:pt idx="49">
                  <c:v>53.5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6-4E1C-9C11-9642CBEE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465600"/>
        <c:axId val="36947148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Global!$B$41:$B$239</c:f>
              <c:numCache>
                <c:formatCode>0.0</c:formatCode>
                <c:ptCount val="199"/>
                <c:pt idx="0">
                  <c:v>54.6</c:v>
                </c:pt>
                <c:pt idx="1">
                  <c:v>54.8</c:v>
                </c:pt>
                <c:pt idx="2">
                  <c:v>56.3</c:v>
                </c:pt>
                <c:pt idx="3">
                  <c:v>57.1</c:v>
                </c:pt>
                <c:pt idx="4">
                  <c:v>59.3</c:v>
                </c:pt>
                <c:pt idx="5">
                  <c:v>54</c:v>
                </c:pt>
                <c:pt idx="6">
                  <c:v>51</c:v>
                </c:pt>
                <c:pt idx="7">
                  <c:v>52.5</c:v>
                </c:pt>
                <c:pt idx="8">
                  <c:v>52.1</c:v>
                </c:pt>
                <c:pt idx="9">
                  <c:v>53.1</c:v>
                </c:pt>
                <c:pt idx="10">
                  <c:v>52.4</c:v>
                </c:pt>
                <c:pt idx="11">
                  <c:v>52.6</c:v>
                </c:pt>
                <c:pt idx="12">
                  <c:v>51.8</c:v>
                </c:pt>
                <c:pt idx="13">
                  <c:v>52.6</c:v>
                </c:pt>
                <c:pt idx="14">
                  <c:v>53.2</c:v>
                </c:pt>
                <c:pt idx="15">
                  <c:v>55.4</c:v>
                </c:pt>
                <c:pt idx="16">
                  <c:v>56.5</c:v>
                </c:pt>
                <c:pt idx="17">
                  <c:v>54.3</c:v>
                </c:pt>
                <c:pt idx="18">
                  <c:v>53.2</c:v>
                </c:pt>
                <c:pt idx="19">
                  <c:v>53.3</c:v>
                </c:pt>
                <c:pt idx="20">
                  <c:v>50.1</c:v>
                </c:pt>
                <c:pt idx="21">
                  <c:v>49.2</c:v>
                </c:pt>
                <c:pt idx="22">
                  <c:v>52.4</c:v>
                </c:pt>
                <c:pt idx="23">
                  <c:v>53.1</c:v>
                </c:pt>
                <c:pt idx="24">
                  <c:v>53.6</c:v>
                </c:pt>
                <c:pt idx="25">
                  <c:v>54.8</c:v>
                </c:pt>
                <c:pt idx="26">
                  <c:v>54.8</c:v>
                </c:pt>
                <c:pt idx="27">
                  <c:v>53.6</c:v>
                </c:pt>
                <c:pt idx="28">
                  <c:v>53.2</c:v>
                </c:pt>
                <c:pt idx="29">
                  <c:v>53.4</c:v>
                </c:pt>
                <c:pt idx="30">
                  <c:v>52.1</c:v>
                </c:pt>
                <c:pt idx="31">
                  <c:v>53.7</c:v>
                </c:pt>
                <c:pt idx="32">
                  <c:v>51.3</c:v>
                </c:pt>
                <c:pt idx="33">
                  <c:v>54.9</c:v>
                </c:pt>
                <c:pt idx="34">
                  <c:v>56</c:v>
                </c:pt>
                <c:pt idx="35">
                  <c:v>53.6</c:v>
                </c:pt>
                <c:pt idx="36">
                  <c:v>51.8</c:v>
                </c:pt>
                <c:pt idx="37">
                  <c:v>53.9</c:v>
                </c:pt>
                <c:pt idx="38">
                  <c:v>53.5</c:v>
                </c:pt>
                <c:pt idx="39">
                  <c:v>53.8</c:v>
                </c:pt>
                <c:pt idx="40">
                  <c:v>52.7</c:v>
                </c:pt>
                <c:pt idx="41">
                  <c:v>53.5</c:v>
                </c:pt>
                <c:pt idx="42">
                  <c:v>52.7</c:v>
                </c:pt>
                <c:pt idx="43">
                  <c:v>54.6</c:v>
                </c:pt>
                <c:pt idx="44">
                  <c:v>55.8</c:v>
                </c:pt>
                <c:pt idx="45">
                  <c:v>56</c:v>
                </c:pt>
                <c:pt idx="46">
                  <c:v>55.5</c:v>
                </c:pt>
                <c:pt idx="47">
                  <c:v>55.3</c:v>
                </c:pt>
                <c:pt idx="48">
                  <c:v>53.7</c:v>
                </c:pt>
                <c:pt idx="49">
                  <c:v>53.5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6-4E1C-9C11-9642CBEE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65600"/>
        <c:axId val="369471488"/>
      </c:lineChart>
      <c:dateAx>
        <c:axId val="3694656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71488"/>
        <c:crossesAt val="50"/>
        <c:auto val="1"/>
        <c:lblOffset val="100"/>
        <c:baseTimeUnit val="months"/>
        <c:majorUnit val="1"/>
        <c:majorTimeUnit val="years"/>
      </c:dateAx>
      <c:valAx>
        <c:axId val="369471488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65600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08892651398E-2"/>
          <c:y val="0.7525726064133289"/>
          <c:w val="0.2370180345947939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US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US!$B$1</c:f>
              <c:strCache>
                <c:ptCount val="1"/>
                <c:pt idx="0">
                  <c:v>US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US!$A$78:$A$374</c:f>
              <c:numCache>
                <c:formatCode>mmm\-yy</c:formatCode>
                <c:ptCount val="297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42401</c:v>
                </c:pt>
                <c:pt idx="164">
                  <c:v>42430</c:v>
                </c:pt>
                <c:pt idx="165">
                  <c:v>42461</c:v>
                </c:pt>
                <c:pt idx="166">
                  <c:v>42491</c:v>
                </c:pt>
                <c:pt idx="167">
                  <c:v>42522</c:v>
                </c:pt>
                <c:pt idx="168">
                  <c:v>42552</c:v>
                </c:pt>
                <c:pt idx="169">
                  <c:v>42583</c:v>
                </c:pt>
                <c:pt idx="170">
                  <c:v>42614</c:v>
                </c:pt>
                <c:pt idx="171">
                  <c:v>42644</c:v>
                </c:pt>
                <c:pt idx="172">
                  <c:v>42675</c:v>
                </c:pt>
                <c:pt idx="173">
                  <c:v>42705</c:v>
                </c:pt>
                <c:pt idx="174">
                  <c:v>42736</c:v>
                </c:pt>
                <c:pt idx="175">
                  <c:v>42767</c:v>
                </c:pt>
                <c:pt idx="176">
                  <c:v>42795</c:v>
                </c:pt>
                <c:pt idx="177">
                  <c:v>42826</c:v>
                </c:pt>
                <c:pt idx="178">
                  <c:v>42856</c:v>
                </c:pt>
                <c:pt idx="179">
                  <c:v>42887</c:v>
                </c:pt>
                <c:pt idx="180">
                  <c:v>42917</c:v>
                </c:pt>
                <c:pt idx="181">
                  <c:v>42948</c:v>
                </c:pt>
                <c:pt idx="182">
                  <c:v>42979</c:v>
                </c:pt>
                <c:pt idx="183">
                  <c:v>43009</c:v>
                </c:pt>
                <c:pt idx="184">
                  <c:v>43040</c:v>
                </c:pt>
                <c:pt idx="185">
                  <c:v>43070</c:v>
                </c:pt>
                <c:pt idx="186">
                  <c:v>43101</c:v>
                </c:pt>
                <c:pt idx="187">
                  <c:v>43132</c:v>
                </c:pt>
                <c:pt idx="188">
                  <c:v>43160</c:v>
                </c:pt>
                <c:pt idx="189">
                  <c:v>43191</c:v>
                </c:pt>
                <c:pt idx="190">
                  <c:v>43221</c:v>
                </c:pt>
                <c:pt idx="191">
                  <c:v>43252</c:v>
                </c:pt>
                <c:pt idx="192">
                  <c:v>43282</c:v>
                </c:pt>
                <c:pt idx="193">
                  <c:v>43313</c:v>
                </c:pt>
                <c:pt idx="194">
                  <c:v>43344</c:v>
                </c:pt>
                <c:pt idx="195">
                  <c:v>43374</c:v>
                </c:pt>
                <c:pt idx="196">
                  <c:v>43405</c:v>
                </c:pt>
                <c:pt idx="197">
                  <c:v>43435</c:v>
                </c:pt>
                <c:pt idx="198">
                  <c:v>43466</c:v>
                </c:pt>
                <c:pt idx="199">
                  <c:v>43497</c:v>
                </c:pt>
                <c:pt idx="200">
                  <c:v>43525</c:v>
                </c:pt>
                <c:pt idx="201">
                  <c:v>43556</c:v>
                </c:pt>
                <c:pt idx="202">
                  <c:v>43586</c:v>
                </c:pt>
                <c:pt idx="203">
                  <c:v>43617</c:v>
                </c:pt>
                <c:pt idx="204">
                  <c:v>43647</c:v>
                </c:pt>
                <c:pt idx="205">
                  <c:v>43678</c:v>
                </c:pt>
                <c:pt idx="206">
                  <c:v>43709</c:v>
                </c:pt>
                <c:pt idx="207">
                  <c:v>43739</c:v>
                </c:pt>
                <c:pt idx="208">
                  <c:v>43770</c:v>
                </c:pt>
                <c:pt idx="209">
                  <c:v>43800</c:v>
                </c:pt>
                <c:pt idx="210">
                  <c:v>43831</c:v>
                </c:pt>
                <c:pt idx="211">
                  <c:v>43862</c:v>
                </c:pt>
                <c:pt idx="212">
                  <c:v>43891</c:v>
                </c:pt>
                <c:pt idx="213">
                  <c:v>43922</c:v>
                </c:pt>
                <c:pt idx="214">
                  <c:v>43952</c:v>
                </c:pt>
                <c:pt idx="215">
                  <c:v>43983</c:v>
                </c:pt>
                <c:pt idx="216">
                  <c:v>44013</c:v>
                </c:pt>
                <c:pt idx="217">
                  <c:v>44044</c:v>
                </c:pt>
                <c:pt idx="218">
                  <c:v>44075</c:v>
                </c:pt>
                <c:pt idx="219">
                  <c:v>44105</c:v>
                </c:pt>
                <c:pt idx="220">
                  <c:v>44136</c:v>
                </c:pt>
                <c:pt idx="221">
                  <c:v>44166</c:v>
                </c:pt>
                <c:pt idx="222">
                  <c:v>44197</c:v>
                </c:pt>
                <c:pt idx="223">
                  <c:v>44228</c:v>
                </c:pt>
                <c:pt idx="224">
                  <c:v>44256</c:v>
                </c:pt>
                <c:pt idx="225">
                  <c:v>44287</c:v>
                </c:pt>
                <c:pt idx="226">
                  <c:v>44317</c:v>
                </c:pt>
                <c:pt idx="227">
                  <c:v>44348</c:v>
                </c:pt>
                <c:pt idx="228">
                  <c:v>44378</c:v>
                </c:pt>
                <c:pt idx="229">
                  <c:v>44409</c:v>
                </c:pt>
                <c:pt idx="230">
                  <c:v>44440</c:v>
                </c:pt>
                <c:pt idx="231">
                  <c:v>44470</c:v>
                </c:pt>
                <c:pt idx="232">
                  <c:v>44501</c:v>
                </c:pt>
                <c:pt idx="233">
                  <c:v>44531</c:v>
                </c:pt>
                <c:pt idx="234">
                  <c:v>44562</c:v>
                </c:pt>
                <c:pt idx="235">
                  <c:v>44593</c:v>
                </c:pt>
                <c:pt idx="236">
                  <c:v>44621</c:v>
                </c:pt>
                <c:pt idx="237">
                  <c:v>44652</c:v>
                </c:pt>
                <c:pt idx="238">
                  <c:v>44682</c:v>
                </c:pt>
                <c:pt idx="239">
                  <c:v>44713</c:v>
                </c:pt>
                <c:pt idx="240">
                  <c:v>44743</c:v>
                </c:pt>
                <c:pt idx="241">
                  <c:v>44774</c:v>
                </c:pt>
                <c:pt idx="242">
                  <c:v>44805</c:v>
                </c:pt>
                <c:pt idx="243">
                  <c:v>44835</c:v>
                </c:pt>
                <c:pt idx="244">
                  <c:v>44866</c:v>
                </c:pt>
                <c:pt idx="245">
                  <c:v>44896</c:v>
                </c:pt>
                <c:pt idx="246">
                  <c:v>44927</c:v>
                </c:pt>
                <c:pt idx="247">
                  <c:v>44958</c:v>
                </c:pt>
                <c:pt idx="248">
                  <c:v>44986</c:v>
                </c:pt>
                <c:pt idx="249">
                  <c:v>45017</c:v>
                </c:pt>
                <c:pt idx="250">
                  <c:v>45047</c:v>
                </c:pt>
                <c:pt idx="251">
                  <c:v>45078</c:v>
                </c:pt>
                <c:pt idx="252">
                  <c:v>45108</c:v>
                </c:pt>
                <c:pt idx="253">
                  <c:v>45139</c:v>
                </c:pt>
                <c:pt idx="254">
                  <c:v>45170</c:v>
                </c:pt>
                <c:pt idx="255">
                  <c:v>45200</c:v>
                </c:pt>
                <c:pt idx="256">
                  <c:v>45231</c:v>
                </c:pt>
                <c:pt idx="257">
                  <c:v>45261</c:v>
                </c:pt>
                <c:pt idx="258">
                  <c:v>45292</c:v>
                </c:pt>
                <c:pt idx="259">
                  <c:v>45323</c:v>
                </c:pt>
                <c:pt idx="260">
                  <c:v>45352</c:v>
                </c:pt>
                <c:pt idx="261">
                  <c:v>45383</c:v>
                </c:pt>
                <c:pt idx="262">
                  <c:v>45413</c:v>
                </c:pt>
                <c:pt idx="263">
                  <c:v>45444</c:v>
                </c:pt>
                <c:pt idx="264">
                  <c:v>45474</c:v>
                </c:pt>
                <c:pt idx="265">
                  <c:v>45505</c:v>
                </c:pt>
                <c:pt idx="266">
                  <c:v>45536</c:v>
                </c:pt>
                <c:pt idx="267">
                  <c:v>45566</c:v>
                </c:pt>
                <c:pt idx="268">
                  <c:v>45597</c:v>
                </c:pt>
                <c:pt idx="269">
                  <c:v>45627</c:v>
                </c:pt>
                <c:pt idx="270">
                  <c:v>45658</c:v>
                </c:pt>
                <c:pt idx="271">
                  <c:v>45689</c:v>
                </c:pt>
                <c:pt idx="272">
                  <c:v>45717</c:v>
                </c:pt>
                <c:pt idx="273">
                  <c:v>45748</c:v>
                </c:pt>
                <c:pt idx="274">
                  <c:v>45778</c:v>
                </c:pt>
                <c:pt idx="275">
                  <c:v>45809</c:v>
                </c:pt>
                <c:pt idx="276">
                  <c:v>45839</c:v>
                </c:pt>
                <c:pt idx="277">
                  <c:v>45870</c:v>
                </c:pt>
                <c:pt idx="278">
                  <c:v>45901</c:v>
                </c:pt>
                <c:pt idx="279">
                  <c:v>45931</c:v>
                </c:pt>
                <c:pt idx="280">
                  <c:v>45962</c:v>
                </c:pt>
                <c:pt idx="281">
                  <c:v>45992</c:v>
                </c:pt>
                <c:pt idx="282">
                  <c:v>46023</c:v>
                </c:pt>
                <c:pt idx="283">
                  <c:v>46054</c:v>
                </c:pt>
                <c:pt idx="284">
                  <c:v>46082</c:v>
                </c:pt>
                <c:pt idx="285">
                  <c:v>46113</c:v>
                </c:pt>
                <c:pt idx="286">
                  <c:v>46143</c:v>
                </c:pt>
              </c:numCache>
            </c:numRef>
          </c:cat>
          <c:val>
            <c:numRef>
              <c:f>US!$B$78:$B$374</c:f>
              <c:numCache>
                <c:formatCode>0.0</c:formatCode>
                <c:ptCount val="297"/>
                <c:pt idx="0">
                  <c:v>49.3</c:v>
                </c:pt>
                <c:pt idx="1">
                  <c:v>55.9</c:v>
                </c:pt>
                <c:pt idx="2">
                  <c:v>55.7</c:v>
                </c:pt>
                <c:pt idx="3">
                  <c:v>56.7</c:v>
                </c:pt>
                <c:pt idx="4">
                  <c:v>53.3</c:v>
                </c:pt>
                <c:pt idx="5">
                  <c:v>55.3</c:v>
                </c:pt>
                <c:pt idx="6">
                  <c:v>55</c:v>
                </c:pt>
                <c:pt idx="7">
                  <c:v>58</c:v>
                </c:pt>
                <c:pt idx="8">
                  <c:v>61</c:v>
                </c:pt>
                <c:pt idx="9">
                  <c:v>60.8</c:v>
                </c:pt>
                <c:pt idx="10">
                  <c:v>59.5</c:v>
                </c:pt>
                <c:pt idx="11">
                  <c:v>58.9</c:v>
                </c:pt>
                <c:pt idx="12">
                  <c:v>57.1</c:v>
                </c:pt>
                <c:pt idx="150">
                  <c:v>56.7</c:v>
                </c:pt>
                <c:pt idx="151">
                  <c:v>56.7</c:v>
                </c:pt>
                <c:pt idx="152">
                  <c:v>56.7</c:v>
                </c:pt>
                <c:pt idx="153">
                  <c:v>57.5</c:v>
                </c:pt>
                <c:pt idx="154">
                  <c:v>55.9</c:v>
                </c:pt>
                <c:pt idx="155">
                  <c:v>56.2</c:v>
                </c:pt>
                <c:pt idx="156">
                  <c:v>59.6</c:v>
                </c:pt>
                <c:pt idx="157">
                  <c:v>59.6</c:v>
                </c:pt>
                <c:pt idx="158">
                  <c:v>56.7</c:v>
                </c:pt>
                <c:pt idx="159">
                  <c:v>58.3</c:v>
                </c:pt>
                <c:pt idx="160">
                  <c:v>58.3</c:v>
                </c:pt>
                <c:pt idx="161">
                  <c:v>55.8</c:v>
                </c:pt>
                <c:pt idx="162">
                  <c:v>53.5</c:v>
                </c:pt>
                <c:pt idx="163">
                  <c:v>53.4</c:v>
                </c:pt>
                <c:pt idx="164">
                  <c:v>54.5</c:v>
                </c:pt>
                <c:pt idx="165">
                  <c:v>55.7</c:v>
                </c:pt>
                <c:pt idx="166">
                  <c:v>55.7</c:v>
                </c:pt>
                <c:pt idx="167">
                  <c:v>52</c:v>
                </c:pt>
                <c:pt idx="168">
                  <c:v>51.8</c:v>
                </c:pt>
                <c:pt idx="169">
                  <c:v>51.7</c:v>
                </c:pt>
                <c:pt idx="170">
                  <c:v>56.6</c:v>
                </c:pt>
                <c:pt idx="171">
                  <c:v>56.6</c:v>
                </c:pt>
                <c:pt idx="172">
                  <c:v>56.2</c:v>
                </c:pt>
                <c:pt idx="173">
                  <c:v>56.6</c:v>
                </c:pt>
                <c:pt idx="174">
                  <c:v>56.6</c:v>
                </c:pt>
                <c:pt idx="175">
                  <c:v>57.6</c:v>
                </c:pt>
                <c:pt idx="176">
                  <c:v>55.2</c:v>
                </c:pt>
                <c:pt idx="177">
                  <c:v>55.2</c:v>
                </c:pt>
                <c:pt idx="178">
                  <c:v>56.9</c:v>
                </c:pt>
                <c:pt idx="179">
                  <c:v>57.4</c:v>
                </c:pt>
                <c:pt idx="180">
                  <c:v>57.4</c:v>
                </c:pt>
                <c:pt idx="181">
                  <c:v>57.4</c:v>
                </c:pt>
                <c:pt idx="182">
                  <c:v>55.3</c:v>
                </c:pt>
                <c:pt idx="183">
                  <c:v>55.3</c:v>
                </c:pt>
                <c:pt idx="184">
                  <c:v>57.4</c:v>
                </c:pt>
                <c:pt idx="185">
                  <c:v>55.9</c:v>
                </c:pt>
                <c:pt idx="186">
                  <c:v>59.9</c:v>
                </c:pt>
                <c:pt idx="187">
                  <c:v>59.5</c:v>
                </c:pt>
                <c:pt idx="188">
                  <c:v>58.8</c:v>
                </c:pt>
                <c:pt idx="189">
                  <c:v>58.8</c:v>
                </c:pt>
                <c:pt idx="190">
                  <c:v>58.6</c:v>
                </c:pt>
                <c:pt idx="191">
                  <c:v>59.1</c:v>
                </c:pt>
                <c:pt idx="192">
                  <c:v>59.1</c:v>
                </c:pt>
                <c:pt idx="193">
                  <c:v>58.5</c:v>
                </c:pt>
                <c:pt idx="194">
                  <c:v>58.5</c:v>
                </c:pt>
                <c:pt idx="195">
                  <c:v>60.3</c:v>
                </c:pt>
                <c:pt idx="196">
                  <c:v>60.7</c:v>
                </c:pt>
                <c:pt idx="197">
                  <c:v>60.7</c:v>
                </c:pt>
                <c:pt idx="198">
                  <c:v>56.7</c:v>
                </c:pt>
                <c:pt idx="199">
                  <c:v>59.7</c:v>
                </c:pt>
                <c:pt idx="200">
                  <c:v>56.1</c:v>
                </c:pt>
                <c:pt idx="201">
                  <c:v>55.5</c:v>
                </c:pt>
                <c:pt idx="202">
                  <c:v>56.9</c:v>
                </c:pt>
                <c:pt idx="203">
                  <c:v>56.9</c:v>
                </c:pt>
                <c:pt idx="204">
                  <c:v>53.7</c:v>
                </c:pt>
                <c:pt idx="205">
                  <c:v>56.4</c:v>
                </c:pt>
                <c:pt idx="206">
                  <c:v>56.4</c:v>
                </c:pt>
                <c:pt idx="207">
                  <c:v>54.7</c:v>
                </c:pt>
                <c:pt idx="208">
                  <c:v>53.9</c:v>
                </c:pt>
                <c:pt idx="209">
                  <c:v>53.9</c:v>
                </c:pt>
                <c:pt idx="210">
                  <c:v>55.5</c:v>
                </c:pt>
                <c:pt idx="211">
                  <c:v>55.5</c:v>
                </c:pt>
                <c:pt idx="212">
                  <c:v>55.5</c:v>
                </c:pt>
                <c:pt idx="213">
                  <c:v>41.8</c:v>
                </c:pt>
                <c:pt idx="214">
                  <c:v>45.4</c:v>
                </c:pt>
                <c:pt idx="215">
                  <c:v>57.1</c:v>
                </c:pt>
                <c:pt idx="216">
                  <c:v>58.1</c:v>
                </c:pt>
                <c:pt idx="217">
                  <c:v>58.1</c:v>
                </c:pt>
                <c:pt idx="218">
                  <c:v>57.8</c:v>
                </c:pt>
                <c:pt idx="219">
                  <c:v>56.6</c:v>
                </c:pt>
                <c:pt idx="220">
                  <c:v>56.6</c:v>
                </c:pt>
                <c:pt idx="221">
                  <c:v>57.7</c:v>
                </c:pt>
                <c:pt idx="222">
                  <c:v>58.7</c:v>
                </c:pt>
                <c:pt idx="223">
                  <c:v>55.3</c:v>
                </c:pt>
                <c:pt idx="224">
                  <c:v>63.7</c:v>
                </c:pt>
                <c:pt idx="225">
                  <c:v>62.7</c:v>
                </c:pt>
                <c:pt idx="226">
                  <c:v>62.7</c:v>
                </c:pt>
                <c:pt idx="227">
                  <c:v>60.1</c:v>
                </c:pt>
                <c:pt idx="228">
                  <c:v>64.099999999999994</c:v>
                </c:pt>
                <c:pt idx="229">
                  <c:v>64.099999999999994</c:v>
                </c:pt>
                <c:pt idx="230">
                  <c:v>61.9</c:v>
                </c:pt>
                <c:pt idx="231">
                  <c:v>66.7</c:v>
                </c:pt>
                <c:pt idx="232">
                  <c:v>67.599999999999994</c:v>
                </c:pt>
                <c:pt idx="233">
                  <c:v>62.3</c:v>
                </c:pt>
                <c:pt idx="234">
                  <c:v>62.3</c:v>
                </c:pt>
                <c:pt idx="235">
                  <c:v>56.5</c:v>
                </c:pt>
                <c:pt idx="236">
                  <c:v>58.3</c:v>
                </c:pt>
                <c:pt idx="237">
                  <c:v>57.1</c:v>
                </c:pt>
                <c:pt idx="238">
                  <c:v>57.1</c:v>
                </c:pt>
                <c:pt idx="239">
                  <c:v>55.3</c:v>
                </c:pt>
                <c:pt idx="240">
                  <c:v>56.7</c:v>
                </c:pt>
                <c:pt idx="241">
                  <c:v>56.9</c:v>
                </c:pt>
                <c:pt idx="242">
                  <c:v>56.7</c:v>
                </c:pt>
                <c:pt idx="243">
                  <c:v>56.7</c:v>
                </c:pt>
                <c:pt idx="244">
                  <c:v>56.5</c:v>
                </c:pt>
                <c:pt idx="245">
                  <c:v>49.2</c:v>
                </c:pt>
                <c:pt idx="246">
                  <c:v>49.2</c:v>
                </c:pt>
                <c:pt idx="247">
                  <c:v>55.1</c:v>
                </c:pt>
                <c:pt idx="248">
                  <c:v>51.2</c:v>
                </c:pt>
                <c:pt idx="249">
                  <c:v>51.2</c:v>
                </c:pt>
                <c:pt idx="250">
                  <c:v>50.3</c:v>
                </c:pt>
                <c:pt idx="251">
                  <c:v>53.9</c:v>
                </c:pt>
                <c:pt idx="252">
                  <c:v>53.9</c:v>
                </c:pt>
                <c:pt idx="253">
                  <c:v>54.5</c:v>
                </c:pt>
                <c:pt idx="254">
                  <c:v>53.6</c:v>
                </c:pt>
                <c:pt idx="255">
                  <c:v>53.6</c:v>
                </c:pt>
                <c:pt idx="256">
                  <c:v>52.7</c:v>
                </c:pt>
                <c:pt idx="257">
                  <c:v>50.5</c:v>
                </c:pt>
                <c:pt idx="258">
                  <c:v>53.4</c:v>
                </c:pt>
                <c:pt idx="259">
                  <c:v>52.6</c:v>
                </c:pt>
                <c:pt idx="260">
                  <c:v>51.4</c:v>
                </c:pt>
                <c:pt idx="261">
                  <c:v>49.4</c:v>
                </c:pt>
                <c:pt idx="262">
                  <c:v>53.8</c:v>
                </c:pt>
                <c:pt idx="263">
                  <c:v>53.8</c:v>
                </c:pt>
                <c:pt idx="264">
                  <c:v>51.4</c:v>
                </c:pt>
                <c:pt idx="265">
                  <c:v>51.5</c:v>
                </c:pt>
                <c:pt idx="266">
                  <c:v>51.5</c:v>
                </c:pt>
                <c:pt idx="267">
                  <c:v>56</c:v>
                </c:pt>
                <c:pt idx="268">
                  <c:v>52.1</c:v>
                </c:pt>
                <c:pt idx="269">
                  <c:v>52.1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51.6</c:v>
                </c:pt>
                <c:pt idx="274">
                  <c:v>49.9</c:v>
                </c:pt>
                <c:pt idx="275">
                  <c:v>49.9</c:v>
                </c:pt>
                <c:pt idx="276">
                  <c:v>50.1</c:v>
                </c:pt>
                <c:pt idx="277">
                  <c:v>52</c:v>
                </c:pt>
                <c:pt idx="278">
                  <c:v>50</c:v>
                </c:pt>
                <c:pt idx="279">
                  <c:v>52.4</c:v>
                </c:pt>
                <c:pt idx="280">
                  <c:v>52.4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51</c:v>
                </c:pt>
                <c:pt idx="286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8-46D1-9B37-F7C714D7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707264"/>
        <c:axId val="36971315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US!$B$78:$B$374</c:f>
              <c:numCache>
                <c:formatCode>0.0</c:formatCode>
                <c:ptCount val="297"/>
                <c:pt idx="0">
                  <c:v>49.3</c:v>
                </c:pt>
                <c:pt idx="1">
                  <c:v>55.9</c:v>
                </c:pt>
                <c:pt idx="2">
                  <c:v>55.7</c:v>
                </c:pt>
                <c:pt idx="3">
                  <c:v>56.7</c:v>
                </c:pt>
                <c:pt idx="4">
                  <c:v>53.3</c:v>
                </c:pt>
                <c:pt idx="5">
                  <c:v>55.3</c:v>
                </c:pt>
                <c:pt idx="6">
                  <c:v>55</c:v>
                </c:pt>
                <c:pt idx="7">
                  <c:v>58</c:v>
                </c:pt>
                <c:pt idx="8">
                  <c:v>61</c:v>
                </c:pt>
                <c:pt idx="9">
                  <c:v>60.8</c:v>
                </c:pt>
                <c:pt idx="10">
                  <c:v>59.5</c:v>
                </c:pt>
                <c:pt idx="11">
                  <c:v>58.9</c:v>
                </c:pt>
                <c:pt idx="12">
                  <c:v>57.1</c:v>
                </c:pt>
                <c:pt idx="150">
                  <c:v>56.7</c:v>
                </c:pt>
                <c:pt idx="151">
                  <c:v>56.7</c:v>
                </c:pt>
                <c:pt idx="152">
                  <c:v>56.7</c:v>
                </c:pt>
                <c:pt idx="153">
                  <c:v>57.5</c:v>
                </c:pt>
                <c:pt idx="154">
                  <c:v>55.9</c:v>
                </c:pt>
                <c:pt idx="155">
                  <c:v>56.2</c:v>
                </c:pt>
                <c:pt idx="156">
                  <c:v>59.6</c:v>
                </c:pt>
                <c:pt idx="157">
                  <c:v>59.6</c:v>
                </c:pt>
                <c:pt idx="158">
                  <c:v>56.7</c:v>
                </c:pt>
                <c:pt idx="159">
                  <c:v>58.3</c:v>
                </c:pt>
                <c:pt idx="160">
                  <c:v>58.3</c:v>
                </c:pt>
                <c:pt idx="161">
                  <c:v>55.8</c:v>
                </c:pt>
                <c:pt idx="162">
                  <c:v>53.5</c:v>
                </c:pt>
                <c:pt idx="163">
                  <c:v>53.4</c:v>
                </c:pt>
                <c:pt idx="164">
                  <c:v>54.5</c:v>
                </c:pt>
                <c:pt idx="165">
                  <c:v>55.7</c:v>
                </c:pt>
                <c:pt idx="166">
                  <c:v>55.7</c:v>
                </c:pt>
                <c:pt idx="167">
                  <c:v>52</c:v>
                </c:pt>
                <c:pt idx="168">
                  <c:v>51.8</c:v>
                </c:pt>
                <c:pt idx="169">
                  <c:v>51.7</c:v>
                </c:pt>
                <c:pt idx="170">
                  <c:v>56.6</c:v>
                </c:pt>
                <c:pt idx="171">
                  <c:v>56.6</c:v>
                </c:pt>
                <c:pt idx="172">
                  <c:v>56.2</c:v>
                </c:pt>
                <c:pt idx="173">
                  <c:v>56.6</c:v>
                </c:pt>
                <c:pt idx="174">
                  <c:v>56.6</c:v>
                </c:pt>
                <c:pt idx="175">
                  <c:v>57.6</c:v>
                </c:pt>
                <c:pt idx="176">
                  <c:v>55.2</c:v>
                </c:pt>
                <c:pt idx="177">
                  <c:v>55.2</c:v>
                </c:pt>
                <c:pt idx="178">
                  <c:v>56.9</c:v>
                </c:pt>
                <c:pt idx="179">
                  <c:v>57.4</c:v>
                </c:pt>
                <c:pt idx="180">
                  <c:v>57.4</c:v>
                </c:pt>
                <c:pt idx="181">
                  <c:v>57.4</c:v>
                </c:pt>
                <c:pt idx="182">
                  <c:v>55.3</c:v>
                </c:pt>
                <c:pt idx="183">
                  <c:v>55.3</c:v>
                </c:pt>
                <c:pt idx="184">
                  <c:v>57.4</c:v>
                </c:pt>
                <c:pt idx="185">
                  <c:v>55.9</c:v>
                </c:pt>
                <c:pt idx="186">
                  <c:v>59.9</c:v>
                </c:pt>
                <c:pt idx="187">
                  <c:v>59.5</c:v>
                </c:pt>
                <c:pt idx="188">
                  <c:v>58.8</c:v>
                </c:pt>
                <c:pt idx="189">
                  <c:v>58.8</c:v>
                </c:pt>
                <c:pt idx="190">
                  <c:v>58.6</c:v>
                </c:pt>
                <c:pt idx="191">
                  <c:v>59.1</c:v>
                </c:pt>
                <c:pt idx="192">
                  <c:v>59.1</c:v>
                </c:pt>
                <c:pt idx="193">
                  <c:v>58.5</c:v>
                </c:pt>
                <c:pt idx="194">
                  <c:v>58.5</c:v>
                </c:pt>
                <c:pt idx="195">
                  <c:v>60.3</c:v>
                </c:pt>
                <c:pt idx="196">
                  <c:v>60.7</c:v>
                </c:pt>
                <c:pt idx="197">
                  <c:v>60.7</c:v>
                </c:pt>
                <c:pt idx="198">
                  <c:v>56.7</c:v>
                </c:pt>
                <c:pt idx="199">
                  <c:v>59.7</c:v>
                </c:pt>
                <c:pt idx="200">
                  <c:v>56.1</c:v>
                </c:pt>
                <c:pt idx="201">
                  <c:v>55.5</c:v>
                </c:pt>
                <c:pt idx="202">
                  <c:v>56.9</c:v>
                </c:pt>
                <c:pt idx="203">
                  <c:v>56.9</c:v>
                </c:pt>
                <c:pt idx="204">
                  <c:v>53.7</c:v>
                </c:pt>
                <c:pt idx="205">
                  <c:v>56.4</c:v>
                </c:pt>
                <c:pt idx="206">
                  <c:v>56.4</c:v>
                </c:pt>
                <c:pt idx="207">
                  <c:v>54.7</c:v>
                </c:pt>
                <c:pt idx="208">
                  <c:v>53.9</c:v>
                </c:pt>
                <c:pt idx="209">
                  <c:v>53.9</c:v>
                </c:pt>
                <c:pt idx="210">
                  <c:v>55.5</c:v>
                </c:pt>
                <c:pt idx="211">
                  <c:v>55.5</c:v>
                </c:pt>
                <c:pt idx="212">
                  <c:v>55.5</c:v>
                </c:pt>
                <c:pt idx="213">
                  <c:v>41.8</c:v>
                </c:pt>
                <c:pt idx="214">
                  <c:v>45.4</c:v>
                </c:pt>
                <c:pt idx="215">
                  <c:v>57.1</c:v>
                </c:pt>
                <c:pt idx="216">
                  <c:v>58.1</c:v>
                </c:pt>
                <c:pt idx="217">
                  <c:v>58.1</c:v>
                </c:pt>
                <c:pt idx="218">
                  <c:v>57.8</c:v>
                </c:pt>
                <c:pt idx="219">
                  <c:v>56.6</c:v>
                </c:pt>
                <c:pt idx="220">
                  <c:v>56.6</c:v>
                </c:pt>
                <c:pt idx="221">
                  <c:v>57.7</c:v>
                </c:pt>
                <c:pt idx="222">
                  <c:v>58.7</c:v>
                </c:pt>
                <c:pt idx="223">
                  <c:v>55.3</c:v>
                </c:pt>
                <c:pt idx="224">
                  <c:v>63.7</c:v>
                </c:pt>
                <c:pt idx="225">
                  <c:v>62.7</c:v>
                </c:pt>
                <c:pt idx="226">
                  <c:v>62.7</c:v>
                </c:pt>
                <c:pt idx="227">
                  <c:v>60.1</c:v>
                </c:pt>
                <c:pt idx="228">
                  <c:v>64.099999999999994</c:v>
                </c:pt>
                <c:pt idx="229">
                  <c:v>64.099999999999994</c:v>
                </c:pt>
                <c:pt idx="230">
                  <c:v>61.9</c:v>
                </c:pt>
                <c:pt idx="231">
                  <c:v>66.7</c:v>
                </c:pt>
                <c:pt idx="232">
                  <c:v>67.599999999999994</c:v>
                </c:pt>
                <c:pt idx="233">
                  <c:v>62.3</c:v>
                </c:pt>
                <c:pt idx="234">
                  <c:v>62.3</c:v>
                </c:pt>
                <c:pt idx="235">
                  <c:v>56.5</c:v>
                </c:pt>
                <c:pt idx="236">
                  <c:v>58.3</c:v>
                </c:pt>
                <c:pt idx="237">
                  <c:v>57.1</c:v>
                </c:pt>
                <c:pt idx="238">
                  <c:v>57.1</c:v>
                </c:pt>
                <c:pt idx="239">
                  <c:v>55.3</c:v>
                </c:pt>
                <c:pt idx="240">
                  <c:v>56.7</c:v>
                </c:pt>
                <c:pt idx="241">
                  <c:v>56.9</c:v>
                </c:pt>
                <c:pt idx="242">
                  <c:v>56.7</c:v>
                </c:pt>
                <c:pt idx="243">
                  <c:v>56.7</c:v>
                </c:pt>
                <c:pt idx="244">
                  <c:v>56.5</c:v>
                </c:pt>
                <c:pt idx="245">
                  <c:v>49.2</c:v>
                </c:pt>
                <c:pt idx="246">
                  <c:v>49.2</c:v>
                </c:pt>
                <c:pt idx="247">
                  <c:v>55.1</c:v>
                </c:pt>
                <c:pt idx="248">
                  <c:v>51.2</c:v>
                </c:pt>
                <c:pt idx="249">
                  <c:v>51.2</c:v>
                </c:pt>
                <c:pt idx="250">
                  <c:v>50.3</c:v>
                </c:pt>
                <c:pt idx="251">
                  <c:v>53.9</c:v>
                </c:pt>
                <c:pt idx="252">
                  <c:v>53.9</c:v>
                </c:pt>
                <c:pt idx="253">
                  <c:v>54.5</c:v>
                </c:pt>
                <c:pt idx="254">
                  <c:v>53.6</c:v>
                </c:pt>
                <c:pt idx="255">
                  <c:v>53.6</c:v>
                </c:pt>
                <c:pt idx="256">
                  <c:v>52.7</c:v>
                </c:pt>
                <c:pt idx="257">
                  <c:v>50.5</c:v>
                </c:pt>
                <c:pt idx="258">
                  <c:v>53.4</c:v>
                </c:pt>
                <c:pt idx="259">
                  <c:v>52.6</c:v>
                </c:pt>
                <c:pt idx="260">
                  <c:v>51.4</c:v>
                </c:pt>
                <c:pt idx="261">
                  <c:v>49.4</c:v>
                </c:pt>
                <c:pt idx="262">
                  <c:v>53.8</c:v>
                </c:pt>
                <c:pt idx="263">
                  <c:v>53.8</c:v>
                </c:pt>
                <c:pt idx="264">
                  <c:v>51.4</c:v>
                </c:pt>
                <c:pt idx="265">
                  <c:v>51.5</c:v>
                </c:pt>
                <c:pt idx="266">
                  <c:v>51.5</c:v>
                </c:pt>
                <c:pt idx="267">
                  <c:v>56</c:v>
                </c:pt>
                <c:pt idx="268">
                  <c:v>52.1</c:v>
                </c:pt>
                <c:pt idx="269">
                  <c:v>52.1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51.6</c:v>
                </c:pt>
                <c:pt idx="274">
                  <c:v>49.9</c:v>
                </c:pt>
                <c:pt idx="275">
                  <c:v>49.9</c:v>
                </c:pt>
                <c:pt idx="276">
                  <c:v>50.1</c:v>
                </c:pt>
                <c:pt idx="277">
                  <c:v>52</c:v>
                </c:pt>
                <c:pt idx="278">
                  <c:v>50</c:v>
                </c:pt>
                <c:pt idx="279">
                  <c:v>52.4</c:v>
                </c:pt>
                <c:pt idx="280">
                  <c:v>52.4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51</c:v>
                </c:pt>
                <c:pt idx="286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8-46D1-9B37-F7C714D7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707264"/>
        <c:axId val="369713152"/>
      </c:lineChart>
      <c:dateAx>
        <c:axId val="3697072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713152"/>
        <c:crossesAt val="50"/>
        <c:auto val="1"/>
        <c:lblOffset val="100"/>
        <c:baseTimeUnit val="months"/>
        <c:majorUnit val="1"/>
        <c:majorTimeUnit val="years"/>
      </c:dateAx>
      <c:valAx>
        <c:axId val="369713152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707264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08892651398E-2"/>
          <c:y val="0.7525726064133289"/>
          <c:w val="0.2370180345947939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US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US!$B$1</c:f>
              <c:strCache>
                <c:ptCount val="1"/>
                <c:pt idx="0">
                  <c:v>US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US!$A$78:$A$374</c:f>
              <c:numCache>
                <c:formatCode>mmm\-yy</c:formatCode>
                <c:ptCount val="297"/>
                <c:pt idx="0">
                  <c:v>41548</c:v>
                </c:pt>
                <c:pt idx="1">
                  <c:v>41579</c:v>
                </c:pt>
                <c:pt idx="2">
                  <c:v>41609</c:v>
                </c:pt>
                <c:pt idx="3">
                  <c:v>41640</c:v>
                </c:pt>
                <c:pt idx="4">
                  <c:v>41671</c:v>
                </c:pt>
                <c:pt idx="5">
                  <c:v>41699</c:v>
                </c:pt>
                <c:pt idx="6">
                  <c:v>41730</c:v>
                </c:pt>
                <c:pt idx="7">
                  <c:v>41760</c:v>
                </c:pt>
                <c:pt idx="8">
                  <c:v>41791</c:v>
                </c:pt>
                <c:pt idx="9">
                  <c:v>41821</c:v>
                </c:pt>
                <c:pt idx="10">
                  <c:v>41852</c:v>
                </c:pt>
                <c:pt idx="11">
                  <c:v>41883</c:v>
                </c:pt>
                <c:pt idx="12">
                  <c:v>41913</c:v>
                </c:pt>
                <c:pt idx="150">
                  <c:v>42005</c:v>
                </c:pt>
                <c:pt idx="151">
                  <c:v>42036</c:v>
                </c:pt>
                <c:pt idx="152">
                  <c:v>42064</c:v>
                </c:pt>
                <c:pt idx="153">
                  <c:v>42095</c:v>
                </c:pt>
                <c:pt idx="154">
                  <c:v>42125</c:v>
                </c:pt>
                <c:pt idx="155">
                  <c:v>42156</c:v>
                </c:pt>
                <c:pt idx="156">
                  <c:v>42186</c:v>
                </c:pt>
                <c:pt idx="157">
                  <c:v>42217</c:v>
                </c:pt>
                <c:pt idx="158">
                  <c:v>42248</c:v>
                </c:pt>
                <c:pt idx="159">
                  <c:v>42278</c:v>
                </c:pt>
                <c:pt idx="160">
                  <c:v>42309</c:v>
                </c:pt>
                <c:pt idx="161">
                  <c:v>42339</c:v>
                </c:pt>
                <c:pt idx="162">
                  <c:v>42370</c:v>
                </c:pt>
                <c:pt idx="163">
                  <c:v>42401</c:v>
                </c:pt>
                <c:pt idx="164">
                  <c:v>42430</c:v>
                </c:pt>
                <c:pt idx="165">
                  <c:v>42461</c:v>
                </c:pt>
                <c:pt idx="166">
                  <c:v>42491</c:v>
                </c:pt>
                <c:pt idx="167">
                  <c:v>42522</c:v>
                </c:pt>
                <c:pt idx="168">
                  <c:v>42552</c:v>
                </c:pt>
                <c:pt idx="169">
                  <c:v>42583</c:v>
                </c:pt>
                <c:pt idx="170">
                  <c:v>42614</c:v>
                </c:pt>
                <c:pt idx="171">
                  <c:v>42644</c:v>
                </c:pt>
                <c:pt idx="172">
                  <c:v>42675</c:v>
                </c:pt>
                <c:pt idx="173">
                  <c:v>42705</c:v>
                </c:pt>
                <c:pt idx="174">
                  <c:v>42736</c:v>
                </c:pt>
                <c:pt idx="175">
                  <c:v>42767</c:v>
                </c:pt>
                <c:pt idx="176">
                  <c:v>42795</c:v>
                </c:pt>
                <c:pt idx="177">
                  <c:v>42826</c:v>
                </c:pt>
                <c:pt idx="178">
                  <c:v>42856</c:v>
                </c:pt>
                <c:pt idx="179">
                  <c:v>42887</c:v>
                </c:pt>
                <c:pt idx="180">
                  <c:v>42917</c:v>
                </c:pt>
                <c:pt idx="181">
                  <c:v>42948</c:v>
                </c:pt>
                <c:pt idx="182">
                  <c:v>42979</c:v>
                </c:pt>
                <c:pt idx="183">
                  <c:v>43009</c:v>
                </c:pt>
                <c:pt idx="184">
                  <c:v>43040</c:v>
                </c:pt>
                <c:pt idx="185">
                  <c:v>43070</c:v>
                </c:pt>
                <c:pt idx="186">
                  <c:v>43101</c:v>
                </c:pt>
                <c:pt idx="187">
                  <c:v>43132</c:v>
                </c:pt>
                <c:pt idx="188">
                  <c:v>43160</c:v>
                </c:pt>
                <c:pt idx="189">
                  <c:v>43191</c:v>
                </c:pt>
                <c:pt idx="190">
                  <c:v>43221</c:v>
                </c:pt>
                <c:pt idx="191">
                  <c:v>43252</c:v>
                </c:pt>
                <c:pt idx="192">
                  <c:v>43282</c:v>
                </c:pt>
                <c:pt idx="193">
                  <c:v>43313</c:v>
                </c:pt>
                <c:pt idx="194">
                  <c:v>43344</c:v>
                </c:pt>
                <c:pt idx="195">
                  <c:v>43374</c:v>
                </c:pt>
                <c:pt idx="196">
                  <c:v>43405</c:v>
                </c:pt>
                <c:pt idx="197">
                  <c:v>43435</c:v>
                </c:pt>
                <c:pt idx="198">
                  <c:v>43466</c:v>
                </c:pt>
                <c:pt idx="199">
                  <c:v>43497</c:v>
                </c:pt>
                <c:pt idx="200">
                  <c:v>43525</c:v>
                </c:pt>
                <c:pt idx="201">
                  <c:v>43556</c:v>
                </c:pt>
                <c:pt idx="202">
                  <c:v>43586</c:v>
                </c:pt>
                <c:pt idx="203">
                  <c:v>43617</c:v>
                </c:pt>
                <c:pt idx="204">
                  <c:v>43647</c:v>
                </c:pt>
                <c:pt idx="205">
                  <c:v>43678</c:v>
                </c:pt>
                <c:pt idx="206">
                  <c:v>43709</c:v>
                </c:pt>
                <c:pt idx="207">
                  <c:v>43739</c:v>
                </c:pt>
                <c:pt idx="208">
                  <c:v>43770</c:v>
                </c:pt>
                <c:pt idx="209">
                  <c:v>43800</c:v>
                </c:pt>
                <c:pt idx="210">
                  <c:v>43831</c:v>
                </c:pt>
                <c:pt idx="211">
                  <c:v>43862</c:v>
                </c:pt>
                <c:pt idx="212">
                  <c:v>43891</c:v>
                </c:pt>
                <c:pt idx="213">
                  <c:v>43922</c:v>
                </c:pt>
                <c:pt idx="214">
                  <c:v>43952</c:v>
                </c:pt>
                <c:pt idx="215">
                  <c:v>43983</c:v>
                </c:pt>
                <c:pt idx="216">
                  <c:v>44013</c:v>
                </c:pt>
                <c:pt idx="217">
                  <c:v>44044</c:v>
                </c:pt>
                <c:pt idx="218">
                  <c:v>44075</c:v>
                </c:pt>
                <c:pt idx="219">
                  <c:v>44105</c:v>
                </c:pt>
                <c:pt idx="220">
                  <c:v>44136</c:v>
                </c:pt>
                <c:pt idx="221">
                  <c:v>44166</c:v>
                </c:pt>
                <c:pt idx="222">
                  <c:v>44197</c:v>
                </c:pt>
                <c:pt idx="223">
                  <c:v>44228</c:v>
                </c:pt>
                <c:pt idx="224">
                  <c:v>44256</c:v>
                </c:pt>
                <c:pt idx="225">
                  <c:v>44287</c:v>
                </c:pt>
                <c:pt idx="226">
                  <c:v>44317</c:v>
                </c:pt>
                <c:pt idx="227">
                  <c:v>44348</c:v>
                </c:pt>
                <c:pt idx="228">
                  <c:v>44378</c:v>
                </c:pt>
                <c:pt idx="229">
                  <c:v>44409</c:v>
                </c:pt>
                <c:pt idx="230">
                  <c:v>44440</c:v>
                </c:pt>
                <c:pt idx="231">
                  <c:v>44470</c:v>
                </c:pt>
                <c:pt idx="232">
                  <c:v>44501</c:v>
                </c:pt>
                <c:pt idx="233">
                  <c:v>44531</c:v>
                </c:pt>
                <c:pt idx="234">
                  <c:v>44562</c:v>
                </c:pt>
                <c:pt idx="235">
                  <c:v>44593</c:v>
                </c:pt>
                <c:pt idx="236">
                  <c:v>44621</c:v>
                </c:pt>
                <c:pt idx="237">
                  <c:v>44652</c:v>
                </c:pt>
                <c:pt idx="238">
                  <c:v>44682</c:v>
                </c:pt>
                <c:pt idx="239">
                  <c:v>44713</c:v>
                </c:pt>
                <c:pt idx="240">
                  <c:v>44743</c:v>
                </c:pt>
                <c:pt idx="241">
                  <c:v>44774</c:v>
                </c:pt>
                <c:pt idx="242">
                  <c:v>44805</c:v>
                </c:pt>
                <c:pt idx="243">
                  <c:v>44835</c:v>
                </c:pt>
                <c:pt idx="244">
                  <c:v>44866</c:v>
                </c:pt>
                <c:pt idx="245">
                  <c:v>44896</c:v>
                </c:pt>
                <c:pt idx="246">
                  <c:v>44927</c:v>
                </c:pt>
                <c:pt idx="247">
                  <c:v>44958</c:v>
                </c:pt>
                <c:pt idx="248">
                  <c:v>44986</c:v>
                </c:pt>
                <c:pt idx="249">
                  <c:v>45017</c:v>
                </c:pt>
                <c:pt idx="250">
                  <c:v>45047</c:v>
                </c:pt>
                <c:pt idx="251">
                  <c:v>45078</c:v>
                </c:pt>
                <c:pt idx="252">
                  <c:v>45108</c:v>
                </c:pt>
                <c:pt idx="253">
                  <c:v>45139</c:v>
                </c:pt>
                <c:pt idx="254">
                  <c:v>45170</c:v>
                </c:pt>
                <c:pt idx="255">
                  <c:v>45200</c:v>
                </c:pt>
                <c:pt idx="256">
                  <c:v>45231</c:v>
                </c:pt>
                <c:pt idx="257">
                  <c:v>45261</c:v>
                </c:pt>
                <c:pt idx="258">
                  <c:v>45292</c:v>
                </c:pt>
                <c:pt idx="259">
                  <c:v>45323</c:v>
                </c:pt>
                <c:pt idx="260">
                  <c:v>45352</c:v>
                </c:pt>
                <c:pt idx="261">
                  <c:v>45383</c:v>
                </c:pt>
                <c:pt idx="262">
                  <c:v>45413</c:v>
                </c:pt>
                <c:pt idx="263">
                  <c:v>45444</c:v>
                </c:pt>
                <c:pt idx="264">
                  <c:v>45474</c:v>
                </c:pt>
                <c:pt idx="265">
                  <c:v>45505</c:v>
                </c:pt>
                <c:pt idx="266">
                  <c:v>45536</c:v>
                </c:pt>
                <c:pt idx="267">
                  <c:v>45566</c:v>
                </c:pt>
                <c:pt idx="268">
                  <c:v>45597</c:v>
                </c:pt>
                <c:pt idx="269">
                  <c:v>45627</c:v>
                </c:pt>
                <c:pt idx="270">
                  <c:v>45658</c:v>
                </c:pt>
                <c:pt idx="271">
                  <c:v>45689</c:v>
                </c:pt>
                <c:pt idx="272">
                  <c:v>45717</c:v>
                </c:pt>
                <c:pt idx="273">
                  <c:v>45748</c:v>
                </c:pt>
                <c:pt idx="274">
                  <c:v>45778</c:v>
                </c:pt>
                <c:pt idx="275">
                  <c:v>45809</c:v>
                </c:pt>
                <c:pt idx="276">
                  <c:v>45839</c:v>
                </c:pt>
                <c:pt idx="277">
                  <c:v>45870</c:v>
                </c:pt>
                <c:pt idx="278">
                  <c:v>45901</c:v>
                </c:pt>
                <c:pt idx="279">
                  <c:v>45931</c:v>
                </c:pt>
                <c:pt idx="280">
                  <c:v>45962</c:v>
                </c:pt>
                <c:pt idx="281">
                  <c:v>45992</c:v>
                </c:pt>
                <c:pt idx="282">
                  <c:v>46023</c:v>
                </c:pt>
                <c:pt idx="283">
                  <c:v>46054</c:v>
                </c:pt>
                <c:pt idx="284">
                  <c:v>46082</c:v>
                </c:pt>
                <c:pt idx="285">
                  <c:v>46113</c:v>
                </c:pt>
                <c:pt idx="286">
                  <c:v>46143</c:v>
                </c:pt>
              </c:numCache>
            </c:numRef>
          </c:cat>
          <c:val>
            <c:numRef>
              <c:f>US!$B$78:$B$374</c:f>
              <c:numCache>
                <c:formatCode>0.0</c:formatCode>
                <c:ptCount val="297"/>
                <c:pt idx="0">
                  <c:v>49.3</c:v>
                </c:pt>
                <c:pt idx="1">
                  <c:v>55.9</c:v>
                </c:pt>
                <c:pt idx="2">
                  <c:v>55.7</c:v>
                </c:pt>
                <c:pt idx="3">
                  <c:v>56.7</c:v>
                </c:pt>
                <c:pt idx="4">
                  <c:v>53.3</c:v>
                </c:pt>
                <c:pt idx="5">
                  <c:v>55.3</c:v>
                </c:pt>
                <c:pt idx="6">
                  <c:v>55</c:v>
                </c:pt>
                <c:pt idx="7">
                  <c:v>58</c:v>
                </c:pt>
                <c:pt idx="8">
                  <c:v>61</c:v>
                </c:pt>
                <c:pt idx="9">
                  <c:v>60.8</c:v>
                </c:pt>
                <c:pt idx="10">
                  <c:v>59.5</c:v>
                </c:pt>
                <c:pt idx="11">
                  <c:v>58.9</c:v>
                </c:pt>
                <c:pt idx="12">
                  <c:v>57.1</c:v>
                </c:pt>
                <c:pt idx="150">
                  <c:v>56.7</c:v>
                </c:pt>
                <c:pt idx="151">
                  <c:v>56.7</c:v>
                </c:pt>
                <c:pt idx="152">
                  <c:v>56.7</c:v>
                </c:pt>
                <c:pt idx="153">
                  <c:v>57.5</c:v>
                </c:pt>
                <c:pt idx="154">
                  <c:v>55.9</c:v>
                </c:pt>
                <c:pt idx="155">
                  <c:v>56.2</c:v>
                </c:pt>
                <c:pt idx="156">
                  <c:v>59.6</c:v>
                </c:pt>
                <c:pt idx="157">
                  <c:v>59.6</c:v>
                </c:pt>
                <c:pt idx="158">
                  <c:v>56.7</c:v>
                </c:pt>
                <c:pt idx="159">
                  <c:v>58.3</c:v>
                </c:pt>
                <c:pt idx="160">
                  <c:v>58.3</c:v>
                </c:pt>
                <c:pt idx="161">
                  <c:v>55.8</c:v>
                </c:pt>
                <c:pt idx="162">
                  <c:v>53.5</c:v>
                </c:pt>
                <c:pt idx="163">
                  <c:v>53.4</c:v>
                </c:pt>
                <c:pt idx="164">
                  <c:v>54.5</c:v>
                </c:pt>
                <c:pt idx="165">
                  <c:v>55.7</c:v>
                </c:pt>
                <c:pt idx="166">
                  <c:v>55.7</c:v>
                </c:pt>
                <c:pt idx="167">
                  <c:v>52</c:v>
                </c:pt>
                <c:pt idx="168">
                  <c:v>51.8</c:v>
                </c:pt>
                <c:pt idx="169">
                  <c:v>51.7</c:v>
                </c:pt>
                <c:pt idx="170">
                  <c:v>56.6</c:v>
                </c:pt>
                <c:pt idx="171">
                  <c:v>56.6</c:v>
                </c:pt>
                <c:pt idx="172">
                  <c:v>56.2</c:v>
                </c:pt>
                <c:pt idx="173">
                  <c:v>56.6</c:v>
                </c:pt>
                <c:pt idx="174">
                  <c:v>56.6</c:v>
                </c:pt>
                <c:pt idx="175">
                  <c:v>57.6</c:v>
                </c:pt>
                <c:pt idx="176">
                  <c:v>55.2</c:v>
                </c:pt>
                <c:pt idx="177">
                  <c:v>55.2</c:v>
                </c:pt>
                <c:pt idx="178">
                  <c:v>56.9</c:v>
                </c:pt>
                <c:pt idx="179">
                  <c:v>57.4</c:v>
                </c:pt>
                <c:pt idx="180">
                  <c:v>57.4</c:v>
                </c:pt>
                <c:pt idx="181">
                  <c:v>57.4</c:v>
                </c:pt>
                <c:pt idx="182">
                  <c:v>55.3</c:v>
                </c:pt>
                <c:pt idx="183">
                  <c:v>55.3</c:v>
                </c:pt>
                <c:pt idx="184">
                  <c:v>57.4</c:v>
                </c:pt>
                <c:pt idx="185">
                  <c:v>55.9</c:v>
                </c:pt>
                <c:pt idx="186">
                  <c:v>59.9</c:v>
                </c:pt>
                <c:pt idx="187">
                  <c:v>59.5</c:v>
                </c:pt>
                <c:pt idx="188">
                  <c:v>58.8</c:v>
                </c:pt>
                <c:pt idx="189">
                  <c:v>58.8</c:v>
                </c:pt>
                <c:pt idx="190">
                  <c:v>58.6</c:v>
                </c:pt>
                <c:pt idx="191">
                  <c:v>59.1</c:v>
                </c:pt>
                <c:pt idx="192">
                  <c:v>59.1</c:v>
                </c:pt>
                <c:pt idx="193">
                  <c:v>58.5</c:v>
                </c:pt>
                <c:pt idx="194">
                  <c:v>58.5</c:v>
                </c:pt>
                <c:pt idx="195">
                  <c:v>60.3</c:v>
                </c:pt>
                <c:pt idx="196">
                  <c:v>60.7</c:v>
                </c:pt>
                <c:pt idx="197">
                  <c:v>60.7</c:v>
                </c:pt>
                <c:pt idx="198">
                  <c:v>56.7</c:v>
                </c:pt>
                <c:pt idx="199">
                  <c:v>59.7</c:v>
                </c:pt>
                <c:pt idx="200">
                  <c:v>56.1</c:v>
                </c:pt>
                <c:pt idx="201">
                  <c:v>55.5</c:v>
                </c:pt>
                <c:pt idx="202">
                  <c:v>56.9</c:v>
                </c:pt>
                <c:pt idx="203">
                  <c:v>56.9</c:v>
                </c:pt>
                <c:pt idx="204">
                  <c:v>53.7</c:v>
                </c:pt>
                <c:pt idx="205">
                  <c:v>56.4</c:v>
                </c:pt>
                <c:pt idx="206">
                  <c:v>56.4</c:v>
                </c:pt>
                <c:pt idx="207">
                  <c:v>54.7</c:v>
                </c:pt>
                <c:pt idx="208">
                  <c:v>53.9</c:v>
                </c:pt>
                <c:pt idx="209">
                  <c:v>53.9</c:v>
                </c:pt>
                <c:pt idx="210">
                  <c:v>55.5</c:v>
                </c:pt>
                <c:pt idx="211">
                  <c:v>55.5</c:v>
                </c:pt>
                <c:pt idx="212">
                  <c:v>55.5</c:v>
                </c:pt>
                <c:pt idx="213">
                  <c:v>41.8</c:v>
                </c:pt>
                <c:pt idx="214">
                  <c:v>45.4</c:v>
                </c:pt>
                <c:pt idx="215">
                  <c:v>57.1</c:v>
                </c:pt>
                <c:pt idx="216">
                  <c:v>58.1</c:v>
                </c:pt>
                <c:pt idx="217">
                  <c:v>58.1</c:v>
                </c:pt>
                <c:pt idx="218">
                  <c:v>57.8</c:v>
                </c:pt>
                <c:pt idx="219">
                  <c:v>56.6</c:v>
                </c:pt>
                <c:pt idx="220">
                  <c:v>56.6</c:v>
                </c:pt>
                <c:pt idx="221">
                  <c:v>57.7</c:v>
                </c:pt>
                <c:pt idx="222">
                  <c:v>58.7</c:v>
                </c:pt>
                <c:pt idx="223">
                  <c:v>55.3</c:v>
                </c:pt>
                <c:pt idx="224">
                  <c:v>63.7</c:v>
                </c:pt>
                <c:pt idx="225">
                  <c:v>62.7</c:v>
                </c:pt>
                <c:pt idx="226">
                  <c:v>62.7</c:v>
                </c:pt>
                <c:pt idx="227">
                  <c:v>60.1</c:v>
                </c:pt>
                <c:pt idx="228">
                  <c:v>64.099999999999994</c:v>
                </c:pt>
                <c:pt idx="229">
                  <c:v>64.099999999999994</c:v>
                </c:pt>
                <c:pt idx="230">
                  <c:v>61.9</c:v>
                </c:pt>
                <c:pt idx="231">
                  <c:v>66.7</c:v>
                </c:pt>
                <c:pt idx="232">
                  <c:v>67.599999999999994</c:v>
                </c:pt>
                <c:pt idx="233">
                  <c:v>62.3</c:v>
                </c:pt>
                <c:pt idx="234">
                  <c:v>62.3</c:v>
                </c:pt>
                <c:pt idx="235">
                  <c:v>56.5</c:v>
                </c:pt>
                <c:pt idx="236">
                  <c:v>58.3</c:v>
                </c:pt>
                <c:pt idx="237">
                  <c:v>57.1</c:v>
                </c:pt>
                <c:pt idx="238">
                  <c:v>57.1</c:v>
                </c:pt>
                <c:pt idx="239">
                  <c:v>55.3</c:v>
                </c:pt>
                <c:pt idx="240">
                  <c:v>56.7</c:v>
                </c:pt>
                <c:pt idx="241">
                  <c:v>56.9</c:v>
                </c:pt>
                <c:pt idx="242">
                  <c:v>56.7</c:v>
                </c:pt>
                <c:pt idx="243">
                  <c:v>56.7</c:v>
                </c:pt>
                <c:pt idx="244">
                  <c:v>56.5</c:v>
                </c:pt>
                <c:pt idx="245">
                  <c:v>49.2</c:v>
                </c:pt>
                <c:pt idx="246">
                  <c:v>49.2</c:v>
                </c:pt>
                <c:pt idx="247">
                  <c:v>55.1</c:v>
                </c:pt>
                <c:pt idx="248">
                  <c:v>51.2</c:v>
                </c:pt>
                <c:pt idx="249">
                  <c:v>51.2</c:v>
                </c:pt>
                <c:pt idx="250">
                  <c:v>50.3</c:v>
                </c:pt>
                <c:pt idx="251">
                  <c:v>53.9</c:v>
                </c:pt>
                <c:pt idx="252">
                  <c:v>53.9</c:v>
                </c:pt>
                <c:pt idx="253">
                  <c:v>54.5</c:v>
                </c:pt>
                <c:pt idx="254">
                  <c:v>53.6</c:v>
                </c:pt>
                <c:pt idx="255">
                  <c:v>53.6</c:v>
                </c:pt>
                <c:pt idx="256">
                  <c:v>52.7</c:v>
                </c:pt>
                <c:pt idx="257">
                  <c:v>50.5</c:v>
                </c:pt>
                <c:pt idx="258">
                  <c:v>53.4</c:v>
                </c:pt>
                <c:pt idx="259">
                  <c:v>52.6</c:v>
                </c:pt>
                <c:pt idx="260">
                  <c:v>51.4</c:v>
                </c:pt>
                <c:pt idx="261">
                  <c:v>49.4</c:v>
                </c:pt>
                <c:pt idx="262">
                  <c:v>53.8</c:v>
                </c:pt>
                <c:pt idx="263">
                  <c:v>53.8</c:v>
                </c:pt>
                <c:pt idx="264">
                  <c:v>51.4</c:v>
                </c:pt>
                <c:pt idx="265">
                  <c:v>51.5</c:v>
                </c:pt>
                <c:pt idx="266">
                  <c:v>51.5</c:v>
                </c:pt>
                <c:pt idx="267">
                  <c:v>56</c:v>
                </c:pt>
                <c:pt idx="268">
                  <c:v>52.1</c:v>
                </c:pt>
                <c:pt idx="269">
                  <c:v>52.1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51.6</c:v>
                </c:pt>
                <c:pt idx="274">
                  <c:v>49.9</c:v>
                </c:pt>
                <c:pt idx="275">
                  <c:v>49.9</c:v>
                </c:pt>
                <c:pt idx="276">
                  <c:v>50.1</c:v>
                </c:pt>
                <c:pt idx="277">
                  <c:v>52</c:v>
                </c:pt>
                <c:pt idx="278">
                  <c:v>50</c:v>
                </c:pt>
                <c:pt idx="279">
                  <c:v>52.4</c:v>
                </c:pt>
                <c:pt idx="280">
                  <c:v>52.4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51</c:v>
                </c:pt>
                <c:pt idx="286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2-45D5-A10E-099AA9DA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770880"/>
        <c:axId val="369772416"/>
      </c:areaChart>
      <c:barChart>
        <c:barDir val="col"/>
        <c:grouping val="clustered"/>
        <c:varyColors val="0"/>
        <c:ser>
          <c:idx val="2"/>
          <c:order val="2"/>
          <c:tx>
            <c:strRef>
              <c:f>US!$D$1</c:f>
              <c:strCache>
                <c:ptCount val="1"/>
                <c:pt idx="0">
                  <c:v>US GDP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US!$D$78:$D$235</c:f>
              <c:numCache>
                <c:formatCode>0.0%</c:formatCode>
                <c:ptCount val="158"/>
                <c:pt idx="2">
                  <c:v>6.4999999999999997E-3</c:v>
                </c:pt>
                <c:pt idx="5">
                  <c:v>-7.4999999999999997E-3</c:v>
                </c:pt>
                <c:pt idx="8">
                  <c:v>1.0500000000000001E-2</c:v>
                </c:pt>
                <c:pt idx="11">
                  <c:v>9.6105657459020222E-3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2-45D5-A10E-099AA9DA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779840"/>
        <c:axId val="36977395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US!$B$78:$B$374</c:f>
              <c:numCache>
                <c:formatCode>0.0</c:formatCode>
                <c:ptCount val="297"/>
                <c:pt idx="0">
                  <c:v>49.3</c:v>
                </c:pt>
                <c:pt idx="1">
                  <c:v>55.9</c:v>
                </c:pt>
                <c:pt idx="2">
                  <c:v>55.7</c:v>
                </c:pt>
                <c:pt idx="3">
                  <c:v>56.7</c:v>
                </c:pt>
                <c:pt idx="4">
                  <c:v>53.3</c:v>
                </c:pt>
                <c:pt idx="5">
                  <c:v>55.3</c:v>
                </c:pt>
                <c:pt idx="6">
                  <c:v>55</c:v>
                </c:pt>
                <c:pt idx="7">
                  <c:v>58</c:v>
                </c:pt>
                <c:pt idx="8">
                  <c:v>61</c:v>
                </c:pt>
                <c:pt idx="9">
                  <c:v>60.8</c:v>
                </c:pt>
                <c:pt idx="10">
                  <c:v>59.5</c:v>
                </c:pt>
                <c:pt idx="11">
                  <c:v>58.9</c:v>
                </c:pt>
                <c:pt idx="12">
                  <c:v>57.1</c:v>
                </c:pt>
                <c:pt idx="150">
                  <c:v>56.7</c:v>
                </c:pt>
                <c:pt idx="151">
                  <c:v>56.7</c:v>
                </c:pt>
                <c:pt idx="152">
                  <c:v>56.7</c:v>
                </c:pt>
                <c:pt idx="153">
                  <c:v>57.5</c:v>
                </c:pt>
                <c:pt idx="154">
                  <c:v>55.9</c:v>
                </c:pt>
                <c:pt idx="155">
                  <c:v>56.2</c:v>
                </c:pt>
                <c:pt idx="156">
                  <c:v>59.6</c:v>
                </c:pt>
                <c:pt idx="157">
                  <c:v>59.6</c:v>
                </c:pt>
                <c:pt idx="158">
                  <c:v>56.7</c:v>
                </c:pt>
                <c:pt idx="159">
                  <c:v>58.3</c:v>
                </c:pt>
                <c:pt idx="160">
                  <c:v>58.3</c:v>
                </c:pt>
                <c:pt idx="161">
                  <c:v>55.8</c:v>
                </c:pt>
                <c:pt idx="162">
                  <c:v>53.5</c:v>
                </c:pt>
                <c:pt idx="163">
                  <c:v>53.4</c:v>
                </c:pt>
                <c:pt idx="164">
                  <c:v>54.5</c:v>
                </c:pt>
                <c:pt idx="165">
                  <c:v>55.7</c:v>
                </c:pt>
                <c:pt idx="166">
                  <c:v>55.7</c:v>
                </c:pt>
                <c:pt idx="167">
                  <c:v>52</c:v>
                </c:pt>
                <c:pt idx="168">
                  <c:v>51.8</c:v>
                </c:pt>
                <c:pt idx="169">
                  <c:v>51.7</c:v>
                </c:pt>
                <c:pt idx="170">
                  <c:v>56.6</c:v>
                </c:pt>
                <c:pt idx="171">
                  <c:v>56.6</c:v>
                </c:pt>
                <c:pt idx="172">
                  <c:v>56.2</c:v>
                </c:pt>
                <c:pt idx="173">
                  <c:v>56.6</c:v>
                </c:pt>
                <c:pt idx="174">
                  <c:v>56.6</c:v>
                </c:pt>
                <c:pt idx="175">
                  <c:v>57.6</c:v>
                </c:pt>
                <c:pt idx="176">
                  <c:v>55.2</c:v>
                </c:pt>
                <c:pt idx="177">
                  <c:v>55.2</c:v>
                </c:pt>
                <c:pt idx="178">
                  <c:v>56.9</c:v>
                </c:pt>
                <c:pt idx="179">
                  <c:v>57.4</c:v>
                </c:pt>
                <c:pt idx="180">
                  <c:v>57.4</c:v>
                </c:pt>
                <c:pt idx="181">
                  <c:v>57.4</c:v>
                </c:pt>
                <c:pt idx="182">
                  <c:v>55.3</c:v>
                </c:pt>
                <c:pt idx="183">
                  <c:v>55.3</c:v>
                </c:pt>
                <c:pt idx="184">
                  <c:v>57.4</c:v>
                </c:pt>
                <c:pt idx="185">
                  <c:v>55.9</c:v>
                </c:pt>
                <c:pt idx="186">
                  <c:v>59.9</c:v>
                </c:pt>
                <c:pt idx="187">
                  <c:v>59.5</c:v>
                </c:pt>
                <c:pt idx="188">
                  <c:v>58.8</c:v>
                </c:pt>
                <c:pt idx="189">
                  <c:v>58.8</c:v>
                </c:pt>
                <c:pt idx="190">
                  <c:v>58.6</c:v>
                </c:pt>
                <c:pt idx="191">
                  <c:v>59.1</c:v>
                </c:pt>
                <c:pt idx="192">
                  <c:v>59.1</c:v>
                </c:pt>
                <c:pt idx="193">
                  <c:v>58.5</c:v>
                </c:pt>
                <c:pt idx="194">
                  <c:v>58.5</c:v>
                </c:pt>
                <c:pt idx="195">
                  <c:v>60.3</c:v>
                </c:pt>
                <c:pt idx="196">
                  <c:v>60.7</c:v>
                </c:pt>
                <c:pt idx="197">
                  <c:v>60.7</c:v>
                </c:pt>
                <c:pt idx="198">
                  <c:v>56.7</c:v>
                </c:pt>
                <c:pt idx="199">
                  <c:v>59.7</c:v>
                </c:pt>
                <c:pt idx="200">
                  <c:v>56.1</c:v>
                </c:pt>
                <c:pt idx="201">
                  <c:v>55.5</c:v>
                </c:pt>
                <c:pt idx="202">
                  <c:v>56.9</c:v>
                </c:pt>
                <c:pt idx="203">
                  <c:v>56.9</c:v>
                </c:pt>
                <c:pt idx="204">
                  <c:v>53.7</c:v>
                </c:pt>
                <c:pt idx="205">
                  <c:v>56.4</c:v>
                </c:pt>
                <c:pt idx="206">
                  <c:v>56.4</c:v>
                </c:pt>
                <c:pt idx="207">
                  <c:v>54.7</c:v>
                </c:pt>
                <c:pt idx="208">
                  <c:v>53.9</c:v>
                </c:pt>
                <c:pt idx="209">
                  <c:v>53.9</c:v>
                </c:pt>
                <c:pt idx="210">
                  <c:v>55.5</c:v>
                </c:pt>
                <c:pt idx="211">
                  <c:v>55.5</c:v>
                </c:pt>
                <c:pt idx="212">
                  <c:v>55.5</c:v>
                </c:pt>
                <c:pt idx="213">
                  <c:v>41.8</c:v>
                </c:pt>
                <c:pt idx="214">
                  <c:v>45.4</c:v>
                </c:pt>
                <c:pt idx="215">
                  <c:v>57.1</c:v>
                </c:pt>
                <c:pt idx="216">
                  <c:v>58.1</c:v>
                </c:pt>
                <c:pt idx="217">
                  <c:v>58.1</c:v>
                </c:pt>
                <c:pt idx="218">
                  <c:v>57.8</c:v>
                </c:pt>
                <c:pt idx="219">
                  <c:v>56.6</c:v>
                </c:pt>
                <c:pt idx="220">
                  <c:v>56.6</c:v>
                </c:pt>
                <c:pt idx="221">
                  <c:v>57.7</c:v>
                </c:pt>
                <c:pt idx="222">
                  <c:v>58.7</c:v>
                </c:pt>
                <c:pt idx="223">
                  <c:v>55.3</c:v>
                </c:pt>
                <c:pt idx="224">
                  <c:v>63.7</c:v>
                </c:pt>
                <c:pt idx="225">
                  <c:v>62.7</c:v>
                </c:pt>
                <c:pt idx="226">
                  <c:v>62.7</c:v>
                </c:pt>
                <c:pt idx="227">
                  <c:v>60.1</c:v>
                </c:pt>
                <c:pt idx="228">
                  <c:v>64.099999999999994</c:v>
                </c:pt>
                <c:pt idx="229">
                  <c:v>64.099999999999994</c:v>
                </c:pt>
                <c:pt idx="230">
                  <c:v>61.9</c:v>
                </c:pt>
                <c:pt idx="231">
                  <c:v>66.7</c:v>
                </c:pt>
                <c:pt idx="232">
                  <c:v>67.599999999999994</c:v>
                </c:pt>
                <c:pt idx="233">
                  <c:v>62.3</c:v>
                </c:pt>
                <c:pt idx="234">
                  <c:v>62.3</c:v>
                </c:pt>
                <c:pt idx="235">
                  <c:v>56.5</c:v>
                </c:pt>
                <c:pt idx="236">
                  <c:v>58.3</c:v>
                </c:pt>
                <c:pt idx="237">
                  <c:v>57.1</c:v>
                </c:pt>
                <c:pt idx="238">
                  <c:v>57.1</c:v>
                </c:pt>
                <c:pt idx="239">
                  <c:v>55.3</c:v>
                </c:pt>
                <c:pt idx="240">
                  <c:v>56.7</c:v>
                </c:pt>
                <c:pt idx="241">
                  <c:v>56.9</c:v>
                </c:pt>
                <c:pt idx="242">
                  <c:v>56.7</c:v>
                </c:pt>
                <c:pt idx="243">
                  <c:v>56.7</c:v>
                </c:pt>
                <c:pt idx="244">
                  <c:v>56.5</c:v>
                </c:pt>
                <c:pt idx="245">
                  <c:v>49.2</c:v>
                </c:pt>
                <c:pt idx="246">
                  <c:v>49.2</c:v>
                </c:pt>
                <c:pt idx="247">
                  <c:v>55.1</c:v>
                </c:pt>
                <c:pt idx="248">
                  <c:v>51.2</c:v>
                </c:pt>
                <c:pt idx="249">
                  <c:v>51.2</c:v>
                </c:pt>
                <c:pt idx="250">
                  <c:v>50.3</c:v>
                </c:pt>
                <c:pt idx="251">
                  <c:v>53.9</c:v>
                </c:pt>
                <c:pt idx="252">
                  <c:v>53.9</c:v>
                </c:pt>
                <c:pt idx="253">
                  <c:v>54.5</c:v>
                </c:pt>
                <c:pt idx="254">
                  <c:v>53.6</c:v>
                </c:pt>
                <c:pt idx="255">
                  <c:v>53.6</c:v>
                </c:pt>
                <c:pt idx="256">
                  <c:v>52.7</c:v>
                </c:pt>
                <c:pt idx="257">
                  <c:v>50.5</c:v>
                </c:pt>
                <c:pt idx="258">
                  <c:v>53.4</c:v>
                </c:pt>
                <c:pt idx="259">
                  <c:v>52.6</c:v>
                </c:pt>
                <c:pt idx="260">
                  <c:v>51.4</c:v>
                </c:pt>
                <c:pt idx="261">
                  <c:v>49.4</c:v>
                </c:pt>
                <c:pt idx="262">
                  <c:v>53.8</c:v>
                </c:pt>
                <c:pt idx="263">
                  <c:v>53.8</c:v>
                </c:pt>
                <c:pt idx="264">
                  <c:v>51.4</c:v>
                </c:pt>
                <c:pt idx="265">
                  <c:v>51.5</c:v>
                </c:pt>
                <c:pt idx="266">
                  <c:v>51.5</c:v>
                </c:pt>
                <c:pt idx="267">
                  <c:v>56</c:v>
                </c:pt>
                <c:pt idx="268">
                  <c:v>52.1</c:v>
                </c:pt>
                <c:pt idx="269">
                  <c:v>52.1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51.6</c:v>
                </c:pt>
                <c:pt idx="274">
                  <c:v>49.9</c:v>
                </c:pt>
                <c:pt idx="275">
                  <c:v>49.9</c:v>
                </c:pt>
                <c:pt idx="276">
                  <c:v>50.1</c:v>
                </c:pt>
                <c:pt idx="277">
                  <c:v>52</c:v>
                </c:pt>
                <c:pt idx="278">
                  <c:v>50</c:v>
                </c:pt>
                <c:pt idx="279">
                  <c:v>52.4</c:v>
                </c:pt>
                <c:pt idx="280">
                  <c:v>52.4</c:v>
                </c:pt>
                <c:pt idx="281">
                  <c:v>53.8</c:v>
                </c:pt>
                <c:pt idx="282">
                  <c:v>53.8</c:v>
                </c:pt>
                <c:pt idx="283">
                  <c:v>53.8</c:v>
                </c:pt>
                <c:pt idx="284">
                  <c:v>53.8</c:v>
                </c:pt>
                <c:pt idx="285">
                  <c:v>51</c:v>
                </c:pt>
                <c:pt idx="286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2-45D5-A10E-099AA9DA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770880"/>
        <c:axId val="369772416"/>
      </c:lineChart>
      <c:dateAx>
        <c:axId val="36977088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772416"/>
        <c:crossesAt val="50"/>
        <c:auto val="1"/>
        <c:lblOffset val="100"/>
        <c:baseTimeUnit val="months"/>
        <c:majorUnit val="1"/>
        <c:majorTimeUnit val="years"/>
      </c:dateAx>
      <c:valAx>
        <c:axId val="369772416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770880"/>
        <c:crosses val="autoZero"/>
        <c:crossBetween val="between"/>
        <c:majorUnit val="6"/>
      </c:valAx>
      <c:valAx>
        <c:axId val="369773952"/>
        <c:scaling>
          <c:orientation val="minMax"/>
          <c:max val="2.0000000000000007E-2"/>
          <c:min val="-1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69779840"/>
        <c:crosses val="max"/>
        <c:crossBetween val="between"/>
      </c:valAx>
      <c:catAx>
        <c:axId val="369779840"/>
        <c:scaling>
          <c:orientation val="minMax"/>
        </c:scaling>
        <c:delete val="1"/>
        <c:axPos val="b"/>
        <c:majorTickMark val="out"/>
        <c:minorTickMark val="none"/>
        <c:tickLblPos val="none"/>
        <c:crossAx val="36977395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08892651398E-2"/>
          <c:y val="0.7525726064133289"/>
          <c:w val="0.1269003403684128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UK Service PMI</a:t>
            </a:r>
            <a:r>
              <a:rPr lang="en-US" baseline="0"/>
              <a:t> 2005-2014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UK!$B$40</c:f>
              <c:strCache>
                <c:ptCount val="1"/>
                <c:pt idx="0">
                  <c:v>UK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UK!$A$41:$A$238</c:f>
              <c:numCache>
                <c:formatCode>mmm\-yy</c:formatCode>
                <c:ptCount val="198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42005</c:v>
                </c:pt>
                <c:pt idx="51">
                  <c:v>42036</c:v>
                </c:pt>
                <c:pt idx="52">
                  <c:v>42064</c:v>
                </c:pt>
                <c:pt idx="53">
                  <c:v>42095</c:v>
                </c:pt>
                <c:pt idx="54">
                  <c:v>42125</c:v>
                </c:pt>
                <c:pt idx="55">
                  <c:v>42156</c:v>
                </c:pt>
                <c:pt idx="56">
                  <c:v>42186</c:v>
                </c:pt>
                <c:pt idx="57">
                  <c:v>42217</c:v>
                </c:pt>
                <c:pt idx="58">
                  <c:v>42248</c:v>
                </c:pt>
                <c:pt idx="59">
                  <c:v>42278</c:v>
                </c:pt>
                <c:pt idx="60">
                  <c:v>42309</c:v>
                </c:pt>
                <c:pt idx="61">
                  <c:v>42339</c:v>
                </c:pt>
                <c:pt idx="62">
                  <c:v>42370</c:v>
                </c:pt>
                <c:pt idx="63">
                  <c:v>42401</c:v>
                </c:pt>
                <c:pt idx="64">
                  <c:v>42430</c:v>
                </c:pt>
                <c:pt idx="65">
                  <c:v>42461</c:v>
                </c:pt>
                <c:pt idx="66">
                  <c:v>42491</c:v>
                </c:pt>
                <c:pt idx="67">
                  <c:v>42522</c:v>
                </c:pt>
                <c:pt idx="68">
                  <c:v>42552</c:v>
                </c:pt>
                <c:pt idx="69">
                  <c:v>42583</c:v>
                </c:pt>
                <c:pt idx="70">
                  <c:v>42614</c:v>
                </c:pt>
                <c:pt idx="71">
                  <c:v>42644</c:v>
                </c:pt>
                <c:pt idx="72">
                  <c:v>42675</c:v>
                </c:pt>
                <c:pt idx="73">
                  <c:v>42705</c:v>
                </c:pt>
                <c:pt idx="74">
                  <c:v>42736</c:v>
                </c:pt>
                <c:pt idx="75">
                  <c:v>42767</c:v>
                </c:pt>
                <c:pt idx="76">
                  <c:v>42795</c:v>
                </c:pt>
                <c:pt idx="77">
                  <c:v>42826</c:v>
                </c:pt>
                <c:pt idx="78">
                  <c:v>42856</c:v>
                </c:pt>
                <c:pt idx="79">
                  <c:v>42887</c:v>
                </c:pt>
                <c:pt idx="80">
                  <c:v>42917</c:v>
                </c:pt>
                <c:pt idx="81">
                  <c:v>42948</c:v>
                </c:pt>
                <c:pt idx="82">
                  <c:v>42979</c:v>
                </c:pt>
                <c:pt idx="83">
                  <c:v>43009</c:v>
                </c:pt>
                <c:pt idx="84">
                  <c:v>43040</c:v>
                </c:pt>
                <c:pt idx="85">
                  <c:v>43070</c:v>
                </c:pt>
                <c:pt idx="86">
                  <c:v>43101</c:v>
                </c:pt>
                <c:pt idx="87">
                  <c:v>43132</c:v>
                </c:pt>
                <c:pt idx="88">
                  <c:v>43160</c:v>
                </c:pt>
                <c:pt idx="89">
                  <c:v>43191</c:v>
                </c:pt>
                <c:pt idx="90">
                  <c:v>43221</c:v>
                </c:pt>
                <c:pt idx="91">
                  <c:v>43252</c:v>
                </c:pt>
                <c:pt idx="92">
                  <c:v>43282</c:v>
                </c:pt>
                <c:pt idx="93">
                  <c:v>43313</c:v>
                </c:pt>
                <c:pt idx="94">
                  <c:v>43344</c:v>
                </c:pt>
                <c:pt idx="95">
                  <c:v>43374</c:v>
                </c:pt>
                <c:pt idx="96">
                  <c:v>43405</c:v>
                </c:pt>
                <c:pt idx="97">
                  <c:v>43435</c:v>
                </c:pt>
                <c:pt idx="98">
                  <c:v>43466</c:v>
                </c:pt>
                <c:pt idx="99">
                  <c:v>43497</c:v>
                </c:pt>
                <c:pt idx="100">
                  <c:v>43525</c:v>
                </c:pt>
                <c:pt idx="101">
                  <c:v>43556</c:v>
                </c:pt>
                <c:pt idx="102">
                  <c:v>43586</c:v>
                </c:pt>
                <c:pt idx="103">
                  <c:v>43617</c:v>
                </c:pt>
                <c:pt idx="104">
                  <c:v>43647</c:v>
                </c:pt>
                <c:pt idx="105">
                  <c:v>43678</c:v>
                </c:pt>
                <c:pt idx="106">
                  <c:v>43709</c:v>
                </c:pt>
                <c:pt idx="107">
                  <c:v>43739</c:v>
                </c:pt>
                <c:pt idx="108">
                  <c:v>43770</c:v>
                </c:pt>
                <c:pt idx="109">
                  <c:v>43800</c:v>
                </c:pt>
                <c:pt idx="110">
                  <c:v>43831</c:v>
                </c:pt>
                <c:pt idx="111">
                  <c:v>43862</c:v>
                </c:pt>
                <c:pt idx="112">
                  <c:v>43891</c:v>
                </c:pt>
                <c:pt idx="113">
                  <c:v>43922</c:v>
                </c:pt>
                <c:pt idx="114">
                  <c:v>43952</c:v>
                </c:pt>
                <c:pt idx="115">
                  <c:v>43983</c:v>
                </c:pt>
                <c:pt idx="116">
                  <c:v>44013</c:v>
                </c:pt>
                <c:pt idx="117">
                  <c:v>44044</c:v>
                </c:pt>
                <c:pt idx="118">
                  <c:v>44075</c:v>
                </c:pt>
                <c:pt idx="119">
                  <c:v>44105</c:v>
                </c:pt>
                <c:pt idx="120">
                  <c:v>44136</c:v>
                </c:pt>
                <c:pt idx="121">
                  <c:v>44166</c:v>
                </c:pt>
                <c:pt idx="122">
                  <c:v>44197</c:v>
                </c:pt>
                <c:pt idx="123">
                  <c:v>44228</c:v>
                </c:pt>
                <c:pt idx="124">
                  <c:v>44256</c:v>
                </c:pt>
                <c:pt idx="125">
                  <c:v>44287</c:v>
                </c:pt>
                <c:pt idx="126">
                  <c:v>44317</c:v>
                </c:pt>
                <c:pt idx="127">
                  <c:v>44348</c:v>
                </c:pt>
                <c:pt idx="128">
                  <c:v>44378</c:v>
                </c:pt>
                <c:pt idx="129">
                  <c:v>44409</c:v>
                </c:pt>
                <c:pt idx="130">
                  <c:v>44440</c:v>
                </c:pt>
                <c:pt idx="131">
                  <c:v>44470</c:v>
                </c:pt>
                <c:pt idx="132">
                  <c:v>44501</c:v>
                </c:pt>
                <c:pt idx="133">
                  <c:v>44531</c:v>
                </c:pt>
                <c:pt idx="134">
                  <c:v>44562</c:v>
                </c:pt>
                <c:pt idx="135">
                  <c:v>44593</c:v>
                </c:pt>
                <c:pt idx="136">
                  <c:v>44621</c:v>
                </c:pt>
                <c:pt idx="137">
                  <c:v>44652</c:v>
                </c:pt>
                <c:pt idx="138">
                  <c:v>44682</c:v>
                </c:pt>
                <c:pt idx="139">
                  <c:v>44713</c:v>
                </c:pt>
                <c:pt idx="140">
                  <c:v>44743</c:v>
                </c:pt>
                <c:pt idx="141">
                  <c:v>44774</c:v>
                </c:pt>
                <c:pt idx="142">
                  <c:v>44805</c:v>
                </c:pt>
                <c:pt idx="143">
                  <c:v>44835</c:v>
                </c:pt>
                <c:pt idx="144">
                  <c:v>44866</c:v>
                </c:pt>
                <c:pt idx="145">
                  <c:v>44896</c:v>
                </c:pt>
                <c:pt idx="146">
                  <c:v>44927</c:v>
                </c:pt>
                <c:pt idx="147">
                  <c:v>44958</c:v>
                </c:pt>
                <c:pt idx="148">
                  <c:v>44986</c:v>
                </c:pt>
                <c:pt idx="149">
                  <c:v>45017</c:v>
                </c:pt>
                <c:pt idx="150">
                  <c:v>45047</c:v>
                </c:pt>
                <c:pt idx="151">
                  <c:v>45078</c:v>
                </c:pt>
                <c:pt idx="152">
                  <c:v>45108</c:v>
                </c:pt>
                <c:pt idx="153">
                  <c:v>45139</c:v>
                </c:pt>
                <c:pt idx="154">
                  <c:v>45170</c:v>
                </c:pt>
                <c:pt idx="155">
                  <c:v>45200</c:v>
                </c:pt>
                <c:pt idx="156">
                  <c:v>45231</c:v>
                </c:pt>
                <c:pt idx="157">
                  <c:v>45261</c:v>
                </c:pt>
                <c:pt idx="158">
                  <c:v>45292</c:v>
                </c:pt>
                <c:pt idx="159">
                  <c:v>45323</c:v>
                </c:pt>
                <c:pt idx="160">
                  <c:v>45352</c:v>
                </c:pt>
                <c:pt idx="161">
                  <c:v>45383</c:v>
                </c:pt>
                <c:pt idx="162">
                  <c:v>45413</c:v>
                </c:pt>
                <c:pt idx="163">
                  <c:v>45444</c:v>
                </c:pt>
                <c:pt idx="164">
                  <c:v>45474</c:v>
                </c:pt>
                <c:pt idx="165">
                  <c:v>45505</c:v>
                </c:pt>
                <c:pt idx="166">
                  <c:v>45536</c:v>
                </c:pt>
                <c:pt idx="167">
                  <c:v>45566</c:v>
                </c:pt>
                <c:pt idx="168">
                  <c:v>45597</c:v>
                </c:pt>
                <c:pt idx="169">
                  <c:v>45627</c:v>
                </c:pt>
                <c:pt idx="170">
                  <c:v>45658</c:v>
                </c:pt>
                <c:pt idx="171">
                  <c:v>45689</c:v>
                </c:pt>
                <c:pt idx="172">
                  <c:v>45717</c:v>
                </c:pt>
                <c:pt idx="173">
                  <c:v>45748</c:v>
                </c:pt>
                <c:pt idx="174">
                  <c:v>45778</c:v>
                </c:pt>
                <c:pt idx="175">
                  <c:v>45809</c:v>
                </c:pt>
                <c:pt idx="176">
                  <c:v>45839</c:v>
                </c:pt>
                <c:pt idx="177">
                  <c:v>45870</c:v>
                </c:pt>
                <c:pt idx="178">
                  <c:v>45901</c:v>
                </c:pt>
                <c:pt idx="179">
                  <c:v>45931</c:v>
                </c:pt>
                <c:pt idx="180">
                  <c:v>45962</c:v>
                </c:pt>
                <c:pt idx="181">
                  <c:v>45992</c:v>
                </c:pt>
                <c:pt idx="182">
                  <c:v>46023</c:v>
                </c:pt>
                <c:pt idx="183">
                  <c:v>46054</c:v>
                </c:pt>
                <c:pt idx="184">
                  <c:v>46082</c:v>
                </c:pt>
                <c:pt idx="185">
                  <c:v>46113</c:v>
                </c:pt>
                <c:pt idx="186">
                  <c:v>46143</c:v>
                </c:pt>
                <c:pt idx="187">
                  <c:v>46174</c:v>
                </c:pt>
              </c:numCache>
            </c:numRef>
          </c:cat>
          <c:val>
            <c:numRef>
              <c:f>UK!$B$41:$B$238</c:f>
              <c:numCache>
                <c:formatCode>0.0</c:formatCode>
                <c:ptCount val="198"/>
                <c:pt idx="0">
                  <c:v>53.2</c:v>
                </c:pt>
                <c:pt idx="1">
                  <c:v>53</c:v>
                </c:pt>
                <c:pt idx="2">
                  <c:v>53.9</c:v>
                </c:pt>
                <c:pt idx="3">
                  <c:v>54.5</c:v>
                </c:pt>
                <c:pt idx="4">
                  <c:v>52.6</c:v>
                </c:pt>
                <c:pt idx="5">
                  <c:v>57.1</c:v>
                </c:pt>
                <c:pt idx="6">
                  <c:v>54.3</c:v>
                </c:pt>
                <c:pt idx="7">
                  <c:v>53.8</c:v>
                </c:pt>
                <c:pt idx="8">
                  <c:v>53.9</c:v>
                </c:pt>
                <c:pt idx="9">
                  <c:v>55.4</c:v>
                </c:pt>
                <c:pt idx="10">
                  <c:v>51.1</c:v>
                </c:pt>
                <c:pt idx="11">
                  <c:v>52.9</c:v>
                </c:pt>
                <c:pt idx="12">
                  <c:v>51.3</c:v>
                </c:pt>
                <c:pt idx="13">
                  <c:v>52.1</c:v>
                </c:pt>
                <c:pt idx="14">
                  <c:v>54</c:v>
                </c:pt>
                <c:pt idx="15">
                  <c:v>56</c:v>
                </c:pt>
                <c:pt idx="16">
                  <c:v>53.8</c:v>
                </c:pt>
                <c:pt idx="17">
                  <c:v>55.3</c:v>
                </c:pt>
                <c:pt idx="18">
                  <c:v>53.3</c:v>
                </c:pt>
                <c:pt idx="19">
                  <c:v>53.3</c:v>
                </c:pt>
                <c:pt idx="20">
                  <c:v>51.3</c:v>
                </c:pt>
                <c:pt idx="21">
                  <c:v>51.3</c:v>
                </c:pt>
                <c:pt idx="22">
                  <c:v>51</c:v>
                </c:pt>
                <c:pt idx="23">
                  <c:v>53.7</c:v>
                </c:pt>
                <c:pt idx="24">
                  <c:v>52.2</c:v>
                </c:pt>
                <c:pt idx="25">
                  <c:v>50.6</c:v>
                </c:pt>
                <c:pt idx="26">
                  <c:v>50.2</c:v>
                </c:pt>
                <c:pt idx="27">
                  <c:v>51.5</c:v>
                </c:pt>
                <c:pt idx="28">
                  <c:v>51.8</c:v>
                </c:pt>
                <c:pt idx="29">
                  <c:v>52.4</c:v>
                </c:pt>
                <c:pt idx="30">
                  <c:v>52.9</c:v>
                </c:pt>
                <c:pt idx="31">
                  <c:v>54.9</c:v>
                </c:pt>
                <c:pt idx="32">
                  <c:v>56.9</c:v>
                </c:pt>
                <c:pt idx="33">
                  <c:v>60.2</c:v>
                </c:pt>
                <c:pt idx="34">
                  <c:v>60.5</c:v>
                </c:pt>
                <c:pt idx="35">
                  <c:v>60.3</c:v>
                </c:pt>
                <c:pt idx="36">
                  <c:v>62.5</c:v>
                </c:pt>
                <c:pt idx="37">
                  <c:v>60</c:v>
                </c:pt>
                <c:pt idx="38">
                  <c:v>58.8</c:v>
                </c:pt>
                <c:pt idx="39">
                  <c:v>58.3</c:v>
                </c:pt>
                <c:pt idx="40">
                  <c:v>58.2</c:v>
                </c:pt>
                <c:pt idx="41">
                  <c:v>57.6</c:v>
                </c:pt>
                <c:pt idx="42">
                  <c:v>58.7</c:v>
                </c:pt>
                <c:pt idx="43">
                  <c:v>58.6</c:v>
                </c:pt>
                <c:pt idx="44">
                  <c:v>57.7</c:v>
                </c:pt>
                <c:pt idx="45">
                  <c:v>59.1</c:v>
                </c:pt>
                <c:pt idx="46">
                  <c:v>60.5</c:v>
                </c:pt>
                <c:pt idx="47">
                  <c:v>58.7</c:v>
                </c:pt>
                <c:pt idx="48">
                  <c:v>56.2</c:v>
                </c:pt>
                <c:pt idx="49">
                  <c:v>58.6</c:v>
                </c:pt>
                <c:pt idx="50">
                  <c:v>57.2</c:v>
                </c:pt>
                <c:pt idx="51">
                  <c:v>56.7</c:v>
                </c:pt>
                <c:pt idx="52">
                  <c:v>58.9</c:v>
                </c:pt>
                <c:pt idx="53">
                  <c:v>59.5</c:v>
                </c:pt>
                <c:pt idx="54">
                  <c:v>56.5</c:v>
                </c:pt>
                <c:pt idx="55">
                  <c:v>58.5</c:v>
                </c:pt>
                <c:pt idx="56">
                  <c:v>57.4</c:v>
                </c:pt>
                <c:pt idx="57">
                  <c:v>55.6</c:v>
                </c:pt>
                <c:pt idx="58">
                  <c:v>53.3</c:v>
                </c:pt>
                <c:pt idx="59">
                  <c:v>54.9</c:v>
                </c:pt>
                <c:pt idx="60">
                  <c:v>55.9</c:v>
                </c:pt>
                <c:pt idx="61">
                  <c:v>55.5</c:v>
                </c:pt>
                <c:pt idx="62">
                  <c:v>55.6</c:v>
                </c:pt>
                <c:pt idx="63">
                  <c:v>52.7</c:v>
                </c:pt>
                <c:pt idx="64">
                  <c:v>53.7</c:v>
                </c:pt>
                <c:pt idx="65">
                  <c:v>52.3</c:v>
                </c:pt>
                <c:pt idx="66">
                  <c:v>53.5</c:v>
                </c:pt>
                <c:pt idx="67">
                  <c:v>52.3</c:v>
                </c:pt>
                <c:pt idx="68">
                  <c:v>47.4</c:v>
                </c:pt>
                <c:pt idx="69">
                  <c:v>52.9</c:v>
                </c:pt>
                <c:pt idx="70">
                  <c:v>52.6</c:v>
                </c:pt>
                <c:pt idx="71">
                  <c:v>54.5</c:v>
                </c:pt>
                <c:pt idx="72">
                  <c:v>55.2</c:v>
                </c:pt>
                <c:pt idx="73">
                  <c:v>56.2</c:v>
                </c:pt>
                <c:pt idx="74">
                  <c:v>54.5</c:v>
                </c:pt>
                <c:pt idx="75">
                  <c:v>53.3</c:v>
                </c:pt>
                <c:pt idx="76">
                  <c:v>55</c:v>
                </c:pt>
                <c:pt idx="77">
                  <c:v>55.8</c:v>
                </c:pt>
                <c:pt idx="78">
                  <c:v>53.8</c:v>
                </c:pt>
                <c:pt idx="79">
                  <c:v>53.4</c:v>
                </c:pt>
                <c:pt idx="80">
                  <c:v>53.8</c:v>
                </c:pt>
                <c:pt idx="81">
                  <c:v>53.2</c:v>
                </c:pt>
                <c:pt idx="82">
                  <c:v>53.6</c:v>
                </c:pt>
                <c:pt idx="83">
                  <c:v>55.6</c:v>
                </c:pt>
                <c:pt idx="84">
                  <c:v>53.8</c:v>
                </c:pt>
                <c:pt idx="85">
                  <c:v>54.2</c:v>
                </c:pt>
                <c:pt idx="86">
                  <c:v>53</c:v>
                </c:pt>
                <c:pt idx="87">
                  <c:v>54.5</c:v>
                </c:pt>
                <c:pt idx="88">
                  <c:v>51.7</c:v>
                </c:pt>
                <c:pt idx="89">
                  <c:v>52.8</c:v>
                </c:pt>
                <c:pt idx="90">
                  <c:v>54</c:v>
                </c:pt>
                <c:pt idx="91">
                  <c:v>55.1</c:v>
                </c:pt>
                <c:pt idx="92">
                  <c:v>53.5</c:v>
                </c:pt>
                <c:pt idx="93">
                  <c:v>54.3</c:v>
                </c:pt>
                <c:pt idx="94">
                  <c:v>53.9</c:v>
                </c:pt>
                <c:pt idx="95">
                  <c:v>52.2</c:v>
                </c:pt>
                <c:pt idx="96">
                  <c:v>50.4</c:v>
                </c:pt>
                <c:pt idx="97">
                  <c:v>51.2</c:v>
                </c:pt>
                <c:pt idx="98">
                  <c:v>50.1</c:v>
                </c:pt>
                <c:pt idx="99">
                  <c:v>51.3</c:v>
                </c:pt>
                <c:pt idx="100">
                  <c:v>48.9</c:v>
                </c:pt>
                <c:pt idx="101">
                  <c:v>50.4</c:v>
                </c:pt>
                <c:pt idx="102">
                  <c:v>51</c:v>
                </c:pt>
                <c:pt idx="103">
                  <c:v>50.2</c:v>
                </c:pt>
                <c:pt idx="104">
                  <c:v>51.4</c:v>
                </c:pt>
                <c:pt idx="105">
                  <c:v>50.6</c:v>
                </c:pt>
                <c:pt idx="106">
                  <c:v>49.5</c:v>
                </c:pt>
                <c:pt idx="107">
                  <c:v>50</c:v>
                </c:pt>
                <c:pt idx="108">
                  <c:v>49.3</c:v>
                </c:pt>
                <c:pt idx="109">
                  <c:v>50</c:v>
                </c:pt>
                <c:pt idx="110">
                  <c:v>53.9</c:v>
                </c:pt>
                <c:pt idx="111">
                  <c:v>53.2</c:v>
                </c:pt>
                <c:pt idx="112">
                  <c:v>34.5</c:v>
                </c:pt>
                <c:pt idx="113">
                  <c:v>13.4</c:v>
                </c:pt>
                <c:pt idx="114">
                  <c:v>29</c:v>
                </c:pt>
                <c:pt idx="115">
                  <c:v>47.1</c:v>
                </c:pt>
                <c:pt idx="116">
                  <c:v>56.5</c:v>
                </c:pt>
                <c:pt idx="117">
                  <c:v>58.8</c:v>
                </c:pt>
                <c:pt idx="118">
                  <c:v>56.1</c:v>
                </c:pt>
                <c:pt idx="119">
                  <c:v>51.4</c:v>
                </c:pt>
                <c:pt idx="120">
                  <c:v>47.6</c:v>
                </c:pt>
                <c:pt idx="121">
                  <c:v>49.4</c:v>
                </c:pt>
                <c:pt idx="122">
                  <c:v>39.5</c:v>
                </c:pt>
                <c:pt idx="123">
                  <c:v>49.5</c:v>
                </c:pt>
                <c:pt idx="124">
                  <c:v>56.3</c:v>
                </c:pt>
                <c:pt idx="125">
                  <c:v>61</c:v>
                </c:pt>
                <c:pt idx="126">
                  <c:v>62.9</c:v>
                </c:pt>
                <c:pt idx="127">
                  <c:v>62.4</c:v>
                </c:pt>
                <c:pt idx="128">
                  <c:v>59.6</c:v>
                </c:pt>
                <c:pt idx="129">
                  <c:v>55</c:v>
                </c:pt>
                <c:pt idx="130">
                  <c:v>55.4</c:v>
                </c:pt>
                <c:pt idx="131">
                  <c:v>59.1</c:v>
                </c:pt>
                <c:pt idx="132">
                  <c:v>58.5</c:v>
                </c:pt>
                <c:pt idx="133">
                  <c:v>53.6</c:v>
                </c:pt>
                <c:pt idx="134">
                  <c:v>54.1</c:v>
                </c:pt>
                <c:pt idx="135">
                  <c:v>60.5</c:v>
                </c:pt>
                <c:pt idx="136">
                  <c:v>62.6</c:v>
                </c:pt>
                <c:pt idx="137">
                  <c:v>58.9</c:v>
                </c:pt>
                <c:pt idx="138">
                  <c:v>53.4</c:v>
                </c:pt>
                <c:pt idx="139">
                  <c:v>54.3</c:v>
                </c:pt>
                <c:pt idx="140">
                  <c:v>52.6</c:v>
                </c:pt>
                <c:pt idx="141">
                  <c:v>50.9</c:v>
                </c:pt>
                <c:pt idx="142">
                  <c:v>50</c:v>
                </c:pt>
                <c:pt idx="143">
                  <c:v>48.8</c:v>
                </c:pt>
                <c:pt idx="144">
                  <c:v>48.8</c:v>
                </c:pt>
                <c:pt idx="145">
                  <c:v>49.9</c:v>
                </c:pt>
                <c:pt idx="146">
                  <c:v>48.7</c:v>
                </c:pt>
                <c:pt idx="147">
                  <c:v>53.5</c:v>
                </c:pt>
                <c:pt idx="148">
                  <c:v>52.9</c:v>
                </c:pt>
                <c:pt idx="149">
                  <c:v>55.9</c:v>
                </c:pt>
                <c:pt idx="150">
                  <c:v>55.2</c:v>
                </c:pt>
                <c:pt idx="151">
                  <c:v>53.7</c:v>
                </c:pt>
                <c:pt idx="152">
                  <c:v>51.5</c:v>
                </c:pt>
                <c:pt idx="153">
                  <c:v>49.5</c:v>
                </c:pt>
                <c:pt idx="154">
                  <c:v>49.3</c:v>
                </c:pt>
                <c:pt idx="155">
                  <c:v>49.5</c:v>
                </c:pt>
                <c:pt idx="156">
                  <c:v>50.9</c:v>
                </c:pt>
                <c:pt idx="157">
                  <c:v>53.4</c:v>
                </c:pt>
                <c:pt idx="158">
                  <c:v>54.3</c:v>
                </c:pt>
                <c:pt idx="159">
                  <c:v>53.8</c:v>
                </c:pt>
                <c:pt idx="160">
                  <c:v>53.1</c:v>
                </c:pt>
                <c:pt idx="161">
                  <c:v>55</c:v>
                </c:pt>
                <c:pt idx="162">
                  <c:v>52.9</c:v>
                </c:pt>
                <c:pt idx="163">
                  <c:v>52.1</c:v>
                </c:pt>
                <c:pt idx="164">
                  <c:v>52.5</c:v>
                </c:pt>
                <c:pt idx="165">
                  <c:v>53.7</c:v>
                </c:pt>
                <c:pt idx="166">
                  <c:v>52.4</c:v>
                </c:pt>
                <c:pt idx="167">
                  <c:v>52</c:v>
                </c:pt>
                <c:pt idx="168">
                  <c:v>50.8</c:v>
                </c:pt>
                <c:pt idx="169">
                  <c:v>51.1</c:v>
                </c:pt>
                <c:pt idx="170">
                  <c:v>50.8</c:v>
                </c:pt>
                <c:pt idx="171">
                  <c:v>51</c:v>
                </c:pt>
                <c:pt idx="172">
                  <c:v>52.5</c:v>
                </c:pt>
                <c:pt idx="173">
                  <c:v>49</c:v>
                </c:pt>
                <c:pt idx="174">
                  <c:v>50.9</c:v>
                </c:pt>
                <c:pt idx="175">
                  <c:v>52.8</c:v>
                </c:pt>
                <c:pt idx="176">
                  <c:v>51.8</c:v>
                </c:pt>
                <c:pt idx="177">
                  <c:v>54.2</c:v>
                </c:pt>
                <c:pt idx="178">
                  <c:v>50.8</c:v>
                </c:pt>
                <c:pt idx="179">
                  <c:v>52.3</c:v>
                </c:pt>
                <c:pt idx="180">
                  <c:v>51.3</c:v>
                </c:pt>
                <c:pt idx="181">
                  <c:v>51.4</c:v>
                </c:pt>
                <c:pt idx="182">
                  <c:v>54</c:v>
                </c:pt>
                <c:pt idx="183">
                  <c:v>53.9</c:v>
                </c:pt>
                <c:pt idx="184">
                  <c:v>50.5</c:v>
                </c:pt>
                <c:pt idx="185">
                  <c:v>52.7</c:v>
                </c:pt>
                <c:pt idx="186">
                  <c:v>49.3</c:v>
                </c:pt>
                <c:pt idx="187">
                  <c:v>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5-495E-A88C-3024E995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957504"/>
        <c:axId val="36998387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UK!$B$41:$B$238</c:f>
              <c:numCache>
                <c:formatCode>0.0</c:formatCode>
                <c:ptCount val="198"/>
                <c:pt idx="0">
                  <c:v>53.2</c:v>
                </c:pt>
                <c:pt idx="1">
                  <c:v>53</c:v>
                </c:pt>
                <c:pt idx="2">
                  <c:v>53.9</c:v>
                </c:pt>
                <c:pt idx="3">
                  <c:v>54.5</c:v>
                </c:pt>
                <c:pt idx="4">
                  <c:v>52.6</c:v>
                </c:pt>
                <c:pt idx="5">
                  <c:v>57.1</c:v>
                </c:pt>
                <c:pt idx="6">
                  <c:v>54.3</c:v>
                </c:pt>
                <c:pt idx="7">
                  <c:v>53.8</c:v>
                </c:pt>
                <c:pt idx="8">
                  <c:v>53.9</c:v>
                </c:pt>
                <c:pt idx="9">
                  <c:v>55.4</c:v>
                </c:pt>
                <c:pt idx="10">
                  <c:v>51.1</c:v>
                </c:pt>
                <c:pt idx="11">
                  <c:v>52.9</c:v>
                </c:pt>
                <c:pt idx="12">
                  <c:v>51.3</c:v>
                </c:pt>
                <c:pt idx="13">
                  <c:v>52.1</c:v>
                </c:pt>
                <c:pt idx="14">
                  <c:v>54</c:v>
                </c:pt>
                <c:pt idx="15">
                  <c:v>56</c:v>
                </c:pt>
                <c:pt idx="16">
                  <c:v>53.8</c:v>
                </c:pt>
                <c:pt idx="17">
                  <c:v>55.3</c:v>
                </c:pt>
                <c:pt idx="18">
                  <c:v>53.3</c:v>
                </c:pt>
                <c:pt idx="19">
                  <c:v>53.3</c:v>
                </c:pt>
                <c:pt idx="20">
                  <c:v>51.3</c:v>
                </c:pt>
                <c:pt idx="21">
                  <c:v>51.3</c:v>
                </c:pt>
                <c:pt idx="22">
                  <c:v>51</c:v>
                </c:pt>
                <c:pt idx="23">
                  <c:v>53.7</c:v>
                </c:pt>
                <c:pt idx="24">
                  <c:v>52.2</c:v>
                </c:pt>
                <c:pt idx="25">
                  <c:v>50.6</c:v>
                </c:pt>
                <c:pt idx="26">
                  <c:v>50.2</c:v>
                </c:pt>
                <c:pt idx="27">
                  <c:v>51.5</c:v>
                </c:pt>
                <c:pt idx="28">
                  <c:v>51.8</c:v>
                </c:pt>
                <c:pt idx="29">
                  <c:v>52.4</c:v>
                </c:pt>
                <c:pt idx="30">
                  <c:v>52.9</c:v>
                </c:pt>
                <c:pt idx="31">
                  <c:v>54.9</c:v>
                </c:pt>
                <c:pt idx="32">
                  <c:v>56.9</c:v>
                </c:pt>
                <c:pt idx="33">
                  <c:v>60.2</c:v>
                </c:pt>
                <c:pt idx="34">
                  <c:v>60.5</c:v>
                </c:pt>
                <c:pt idx="35">
                  <c:v>60.3</c:v>
                </c:pt>
                <c:pt idx="36">
                  <c:v>62.5</c:v>
                </c:pt>
                <c:pt idx="37">
                  <c:v>60</c:v>
                </c:pt>
                <c:pt idx="38">
                  <c:v>58.8</c:v>
                </c:pt>
                <c:pt idx="39">
                  <c:v>58.3</c:v>
                </c:pt>
                <c:pt idx="40">
                  <c:v>58.2</c:v>
                </c:pt>
                <c:pt idx="41">
                  <c:v>57.6</c:v>
                </c:pt>
                <c:pt idx="42">
                  <c:v>58.7</c:v>
                </c:pt>
                <c:pt idx="43">
                  <c:v>58.6</c:v>
                </c:pt>
                <c:pt idx="44">
                  <c:v>57.7</c:v>
                </c:pt>
                <c:pt idx="45">
                  <c:v>59.1</c:v>
                </c:pt>
                <c:pt idx="46">
                  <c:v>60.5</c:v>
                </c:pt>
                <c:pt idx="47">
                  <c:v>58.7</c:v>
                </c:pt>
                <c:pt idx="48">
                  <c:v>56.2</c:v>
                </c:pt>
                <c:pt idx="49">
                  <c:v>58.6</c:v>
                </c:pt>
                <c:pt idx="50">
                  <c:v>57.2</c:v>
                </c:pt>
                <c:pt idx="51">
                  <c:v>56.7</c:v>
                </c:pt>
                <c:pt idx="52">
                  <c:v>58.9</c:v>
                </c:pt>
                <c:pt idx="53">
                  <c:v>59.5</c:v>
                </c:pt>
                <c:pt idx="54">
                  <c:v>56.5</c:v>
                </c:pt>
                <c:pt idx="55">
                  <c:v>58.5</c:v>
                </c:pt>
                <c:pt idx="56">
                  <c:v>57.4</c:v>
                </c:pt>
                <c:pt idx="57">
                  <c:v>55.6</c:v>
                </c:pt>
                <c:pt idx="58">
                  <c:v>53.3</c:v>
                </c:pt>
                <c:pt idx="59">
                  <c:v>54.9</c:v>
                </c:pt>
                <c:pt idx="60">
                  <c:v>55.9</c:v>
                </c:pt>
                <c:pt idx="61">
                  <c:v>55.5</c:v>
                </c:pt>
                <c:pt idx="62">
                  <c:v>55.6</c:v>
                </c:pt>
                <c:pt idx="63">
                  <c:v>52.7</c:v>
                </c:pt>
                <c:pt idx="64">
                  <c:v>53.7</c:v>
                </c:pt>
                <c:pt idx="65">
                  <c:v>52.3</c:v>
                </c:pt>
                <c:pt idx="66">
                  <c:v>53.5</c:v>
                </c:pt>
                <c:pt idx="67">
                  <c:v>52.3</c:v>
                </c:pt>
                <c:pt idx="68">
                  <c:v>47.4</c:v>
                </c:pt>
                <c:pt idx="69">
                  <c:v>52.9</c:v>
                </c:pt>
                <c:pt idx="70">
                  <c:v>52.6</c:v>
                </c:pt>
                <c:pt idx="71">
                  <c:v>54.5</c:v>
                </c:pt>
                <c:pt idx="72">
                  <c:v>55.2</c:v>
                </c:pt>
                <c:pt idx="73">
                  <c:v>56.2</c:v>
                </c:pt>
                <c:pt idx="74">
                  <c:v>54.5</c:v>
                </c:pt>
                <c:pt idx="75">
                  <c:v>53.3</c:v>
                </c:pt>
                <c:pt idx="76">
                  <c:v>55</c:v>
                </c:pt>
                <c:pt idx="77">
                  <c:v>55.8</c:v>
                </c:pt>
                <c:pt idx="78">
                  <c:v>53.8</c:v>
                </c:pt>
                <c:pt idx="79">
                  <c:v>53.4</c:v>
                </c:pt>
                <c:pt idx="80">
                  <c:v>53.8</c:v>
                </c:pt>
                <c:pt idx="81">
                  <c:v>53.2</c:v>
                </c:pt>
                <c:pt idx="82">
                  <c:v>53.6</c:v>
                </c:pt>
                <c:pt idx="83">
                  <c:v>55.6</c:v>
                </c:pt>
                <c:pt idx="84">
                  <c:v>53.8</c:v>
                </c:pt>
                <c:pt idx="85">
                  <c:v>54.2</c:v>
                </c:pt>
                <c:pt idx="86">
                  <c:v>53</c:v>
                </c:pt>
                <c:pt idx="87">
                  <c:v>54.5</c:v>
                </c:pt>
                <c:pt idx="88">
                  <c:v>51.7</c:v>
                </c:pt>
                <c:pt idx="89">
                  <c:v>52.8</c:v>
                </c:pt>
                <c:pt idx="90">
                  <c:v>54</c:v>
                </c:pt>
                <c:pt idx="91">
                  <c:v>55.1</c:v>
                </c:pt>
                <c:pt idx="92">
                  <c:v>53.5</c:v>
                </c:pt>
                <c:pt idx="93">
                  <c:v>54.3</c:v>
                </c:pt>
                <c:pt idx="94">
                  <c:v>53.9</c:v>
                </c:pt>
                <c:pt idx="95">
                  <c:v>52.2</c:v>
                </c:pt>
                <c:pt idx="96">
                  <c:v>50.4</c:v>
                </c:pt>
                <c:pt idx="97">
                  <c:v>51.2</c:v>
                </c:pt>
                <c:pt idx="98">
                  <c:v>50.1</c:v>
                </c:pt>
                <c:pt idx="99">
                  <c:v>51.3</c:v>
                </c:pt>
                <c:pt idx="100">
                  <c:v>48.9</c:v>
                </c:pt>
                <c:pt idx="101">
                  <c:v>50.4</c:v>
                </c:pt>
                <c:pt idx="102">
                  <c:v>51</c:v>
                </c:pt>
                <c:pt idx="103">
                  <c:v>50.2</c:v>
                </c:pt>
                <c:pt idx="104">
                  <c:v>51.4</c:v>
                </c:pt>
                <c:pt idx="105">
                  <c:v>50.6</c:v>
                </c:pt>
                <c:pt idx="106">
                  <c:v>49.5</c:v>
                </c:pt>
                <c:pt idx="107">
                  <c:v>50</c:v>
                </c:pt>
                <c:pt idx="108">
                  <c:v>49.3</c:v>
                </c:pt>
                <c:pt idx="109">
                  <c:v>50</c:v>
                </c:pt>
                <c:pt idx="110">
                  <c:v>53.9</c:v>
                </c:pt>
                <c:pt idx="111">
                  <c:v>53.2</c:v>
                </c:pt>
                <c:pt idx="112">
                  <c:v>34.5</c:v>
                </c:pt>
                <c:pt idx="113">
                  <c:v>13.4</c:v>
                </c:pt>
                <c:pt idx="114">
                  <c:v>29</c:v>
                </c:pt>
                <c:pt idx="115">
                  <c:v>47.1</c:v>
                </c:pt>
                <c:pt idx="116">
                  <c:v>56.5</c:v>
                </c:pt>
                <c:pt idx="117">
                  <c:v>58.8</c:v>
                </c:pt>
                <c:pt idx="118">
                  <c:v>56.1</c:v>
                </c:pt>
                <c:pt idx="119">
                  <c:v>51.4</c:v>
                </c:pt>
                <c:pt idx="120">
                  <c:v>47.6</c:v>
                </c:pt>
                <c:pt idx="121">
                  <c:v>49.4</c:v>
                </c:pt>
                <c:pt idx="122">
                  <c:v>39.5</c:v>
                </c:pt>
                <c:pt idx="123">
                  <c:v>49.5</c:v>
                </c:pt>
                <c:pt idx="124">
                  <c:v>56.3</c:v>
                </c:pt>
                <c:pt idx="125">
                  <c:v>61</c:v>
                </c:pt>
                <c:pt idx="126">
                  <c:v>62.9</c:v>
                </c:pt>
                <c:pt idx="127">
                  <c:v>62.4</c:v>
                </c:pt>
                <c:pt idx="128">
                  <c:v>59.6</c:v>
                </c:pt>
                <c:pt idx="129">
                  <c:v>55</c:v>
                </c:pt>
                <c:pt idx="130">
                  <c:v>55.4</c:v>
                </c:pt>
                <c:pt idx="131">
                  <c:v>59.1</c:v>
                </c:pt>
                <c:pt idx="132">
                  <c:v>58.5</c:v>
                </c:pt>
                <c:pt idx="133">
                  <c:v>53.6</c:v>
                </c:pt>
                <c:pt idx="134">
                  <c:v>54.1</c:v>
                </c:pt>
                <c:pt idx="135">
                  <c:v>60.5</c:v>
                </c:pt>
                <c:pt idx="136">
                  <c:v>62.6</c:v>
                </c:pt>
                <c:pt idx="137">
                  <c:v>58.9</c:v>
                </c:pt>
                <c:pt idx="138">
                  <c:v>53.4</c:v>
                </c:pt>
                <c:pt idx="139">
                  <c:v>54.3</c:v>
                </c:pt>
                <c:pt idx="140">
                  <c:v>52.6</c:v>
                </c:pt>
                <c:pt idx="141">
                  <c:v>50.9</c:v>
                </c:pt>
                <c:pt idx="142">
                  <c:v>50</c:v>
                </c:pt>
                <c:pt idx="143">
                  <c:v>48.8</c:v>
                </c:pt>
                <c:pt idx="144">
                  <c:v>48.8</c:v>
                </c:pt>
                <c:pt idx="145">
                  <c:v>49.9</c:v>
                </c:pt>
                <c:pt idx="146">
                  <c:v>48.7</c:v>
                </c:pt>
                <c:pt idx="147">
                  <c:v>53.5</c:v>
                </c:pt>
                <c:pt idx="148">
                  <c:v>52.9</c:v>
                </c:pt>
                <c:pt idx="149">
                  <c:v>55.9</c:v>
                </c:pt>
                <c:pt idx="150">
                  <c:v>55.2</c:v>
                </c:pt>
                <c:pt idx="151">
                  <c:v>53.7</c:v>
                </c:pt>
                <c:pt idx="152">
                  <c:v>51.5</c:v>
                </c:pt>
                <c:pt idx="153">
                  <c:v>49.5</c:v>
                </c:pt>
                <c:pt idx="154">
                  <c:v>49.3</c:v>
                </c:pt>
                <c:pt idx="155">
                  <c:v>49.5</c:v>
                </c:pt>
                <c:pt idx="156">
                  <c:v>50.9</c:v>
                </c:pt>
                <c:pt idx="157">
                  <c:v>53.4</c:v>
                </c:pt>
                <c:pt idx="158">
                  <c:v>54.3</c:v>
                </c:pt>
                <c:pt idx="159">
                  <c:v>53.8</c:v>
                </c:pt>
                <c:pt idx="160">
                  <c:v>53.1</c:v>
                </c:pt>
                <c:pt idx="161">
                  <c:v>55</c:v>
                </c:pt>
                <c:pt idx="162">
                  <c:v>52.9</c:v>
                </c:pt>
                <c:pt idx="163">
                  <c:v>52.1</c:v>
                </c:pt>
                <c:pt idx="164">
                  <c:v>52.5</c:v>
                </c:pt>
                <c:pt idx="165">
                  <c:v>53.7</c:v>
                </c:pt>
                <c:pt idx="166">
                  <c:v>52.4</c:v>
                </c:pt>
                <c:pt idx="167">
                  <c:v>52</c:v>
                </c:pt>
                <c:pt idx="168">
                  <c:v>50.8</c:v>
                </c:pt>
                <c:pt idx="169">
                  <c:v>51.1</c:v>
                </c:pt>
                <c:pt idx="170">
                  <c:v>50.8</c:v>
                </c:pt>
                <c:pt idx="171">
                  <c:v>51</c:v>
                </c:pt>
                <c:pt idx="172">
                  <c:v>52.5</c:v>
                </c:pt>
                <c:pt idx="173">
                  <c:v>49</c:v>
                </c:pt>
                <c:pt idx="174">
                  <c:v>50.9</c:v>
                </c:pt>
                <c:pt idx="175">
                  <c:v>52.8</c:v>
                </c:pt>
                <c:pt idx="176">
                  <c:v>51.8</c:v>
                </c:pt>
                <c:pt idx="177">
                  <c:v>54.2</c:v>
                </c:pt>
                <c:pt idx="178">
                  <c:v>50.8</c:v>
                </c:pt>
                <c:pt idx="179">
                  <c:v>52.3</c:v>
                </c:pt>
                <c:pt idx="180">
                  <c:v>51.3</c:v>
                </c:pt>
                <c:pt idx="181">
                  <c:v>51.4</c:v>
                </c:pt>
                <c:pt idx="182">
                  <c:v>54</c:v>
                </c:pt>
                <c:pt idx="183">
                  <c:v>53.9</c:v>
                </c:pt>
                <c:pt idx="184">
                  <c:v>50.5</c:v>
                </c:pt>
                <c:pt idx="185">
                  <c:v>52.7</c:v>
                </c:pt>
                <c:pt idx="186">
                  <c:v>49.3</c:v>
                </c:pt>
                <c:pt idx="1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5-495E-A88C-3024E995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957504"/>
        <c:axId val="369983872"/>
      </c:lineChart>
      <c:dateAx>
        <c:axId val="3699575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983872"/>
        <c:crossesAt val="50"/>
        <c:auto val="1"/>
        <c:lblOffset val="100"/>
        <c:baseTimeUnit val="months"/>
        <c:majorUnit val="1"/>
      </c:dateAx>
      <c:valAx>
        <c:axId val="369983872"/>
        <c:scaling>
          <c:orientation val="minMax"/>
          <c:max val="65"/>
          <c:min val="45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957504"/>
        <c:crosses val="autoZero"/>
        <c:crossBetween val="between"/>
        <c:majorUnit val="5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97E-2"/>
          <c:y val="0.76045636133995953"/>
          <c:w val="0.14977843094955595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UK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UK!$B$40</c:f>
              <c:strCache>
                <c:ptCount val="1"/>
                <c:pt idx="0">
                  <c:v>UK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UK!$A$41:$A$238</c:f>
              <c:numCache>
                <c:formatCode>mmm\-yy</c:formatCode>
                <c:ptCount val="198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42005</c:v>
                </c:pt>
                <c:pt idx="51">
                  <c:v>42036</c:v>
                </c:pt>
                <c:pt idx="52">
                  <c:v>42064</c:v>
                </c:pt>
                <c:pt idx="53">
                  <c:v>42095</c:v>
                </c:pt>
                <c:pt idx="54">
                  <c:v>42125</c:v>
                </c:pt>
                <c:pt idx="55">
                  <c:v>42156</c:v>
                </c:pt>
                <c:pt idx="56">
                  <c:v>42186</c:v>
                </c:pt>
                <c:pt idx="57">
                  <c:v>42217</c:v>
                </c:pt>
                <c:pt idx="58">
                  <c:v>42248</c:v>
                </c:pt>
                <c:pt idx="59">
                  <c:v>42278</c:v>
                </c:pt>
                <c:pt idx="60">
                  <c:v>42309</c:v>
                </c:pt>
                <c:pt idx="61">
                  <c:v>42339</c:v>
                </c:pt>
                <c:pt idx="62">
                  <c:v>42370</c:v>
                </c:pt>
                <c:pt idx="63">
                  <c:v>42401</c:v>
                </c:pt>
                <c:pt idx="64">
                  <c:v>42430</c:v>
                </c:pt>
                <c:pt idx="65">
                  <c:v>42461</c:v>
                </c:pt>
                <c:pt idx="66">
                  <c:v>42491</c:v>
                </c:pt>
                <c:pt idx="67">
                  <c:v>42522</c:v>
                </c:pt>
                <c:pt idx="68">
                  <c:v>42552</c:v>
                </c:pt>
                <c:pt idx="69">
                  <c:v>42583</c:v>
                </c:pt>
                <c:pt idx="70">
                  <c:v>42614</c:v>
                </c:pt>
                <c:pt idx="71">
                  <c:v>42644</c:v>
                </c:pt>
                <c:pt idx="72">
                  <c:v>42675</c:v>
                </c:pt>
                <c:pt idx="73">
                  <c:v>42705</c:v>
                </c:pt>
                <c:pt idx="74">
                  <c:v>42736</c:v>
                </c:pt>
                <c:pt idx="75">
                  <c:v>42767</c:v>
                </c:pt>
                <c:pt idx="76">
                  <c:v>42795</c:v>
                </c:pt>
                <c:pt idx="77">
                  <c:v>42826</c:v>
                </c:pt>
                <c:pt idx="78">
                  <c:v>42856</c:v>
                </c:pt>
                <c:pt idx="79">
                  <c:v>42887</c:v>
                </c:pt>
                <c:pt idx="80">
                  <c:v>42917</c:v>
                </c:pt>
                <c:pt idx="81">
                  <c:v>42948</c:v>
                </c:pt>
                <c:pt idx="82">
                  <c:v>42979</c:v>
                </c:pt>
                <c:pt idx="83">
                  <c:v>43009</c:v>
                </c:pt>
                <c:pt idx="84">
                  <c:v>43040</c:v>
                </c:pt>
                <c:pt idx="85">
                  <c:v>43070</c:v>
                </c:pt>
                <c:pt idx="86">
                  <c:v>43101</c:v>
                </c:pt>
                <c:pt idx="87">
                  <c:v>43132</c:v>
                </c:pt>
                <c:pt idx="88">
                  <c:v>43160</c:v>
                </c:pt>
                <c:pt idx="89">
                  <c:v>43191</c:v>
                </c:pt>
                <c:pt idx="90">
                  <c:v>43221</c:v>
                </c:pt>
                <c:pt idx="91">
                  <c:v>43252</c:v>
                </c:pt>
                <c:pt idx="92">
                  <c:v>43282</c:v>
                </c:pt>
                <c:pt idx="93">
                  <c:v>43313</c:v>
                </c:pt>
                <c:pt idx="94">
                  <c:v>43344</c:v>
                </c:pt>
                <c:pt idx="95">
                  <c:v>43374</c:v>
                </c:pt>
                <c:pt idx="96">
                  <c:v>43405</c:v>
                </c:pt>
                <c:pt idx="97">
                  <c:v>43435</c:v>
                </c:pt>
                <c:pt idx="98">
                  <c:v>43466</c:v>
                </c:pt>
                <c:pt idx="99">
                  <c:v>43497</c:v>
                </c:pt>
                <c:pt idx="100">
                  <c:v>43525</c:v>
                </c:pt>
                <c:pt idx="101">
                  <c:v>43556</c:v>
                </c:pt>
                <c:pt idx="102">
                  <c:v>43586</c:v>
                </c:pt>
                <c:pt idx="103">
                  <c:v>43617</c:v>
                </c:pt>
                <c:pt idx="104">
                  <c:v>43647</c:v>
                </c:pt>
                <c:pt idx="105">
                  <c:v>43678</c:v>
                </c:pt>
                <c:pt idx="106">
                  <c:v>43709</c:v>
                </c:pt>
                <c:pt idx="107">
                  <c:v>43739</c:v>
                </c:pt>
                <c:pt idx="108">
                  <c:v>43770</c:v>
                </c:pt>
                <c:pt idx="109">
                  <c:v>43800</c:v>
                </c:pt>
                <c:pt idx="110">
                  <c:v>43831</c:v>
                </c:pt>
                <c:pt idx="111">
                  <c:v>43862</c:v>
                </c:pt>
                <c:pt idx="112">
                  <c:v>43891</c:v>
                </c:pt>
                <c:pt idx="113">
                  <c:v>43922</c:v>
                </c:pt>
                <c:pt idx="114">
                  <c:v>43952</c:v>
                </c:pt>
                <c:pt idx="115">
                  <c:v>43983</c:v>
                </c:pt>
                <c:pt idx="116">
                  <c:v>44013</c:v>
                </c:pt>
                <c:pt idx="117">
                  <c:v>44044</c:v>
                </c:pt>
                <c:pt idx="118">
                  <c:v>44075</c:v>
                </c:pt>
                <c:pt idx="119">
                  <c:v>44105</c:v>
                </c:pt>
                <c:pt idx="120">
                  <c:v>44136</c:v>
                </c:pt>
                <c:pt idx="121">
                  <c:v>44166</c:v>
                </c:pt>
                <c:pt idx="122">
                  <c:v>44197</c:v>
                </c:pt>
                <c:pt idx="123">
                  <c:v>44228</c:v>
                </c:pt>
                <c:pt idx="124">
                  <c:v>44256</c:v>
                </c:pt>
                <c:pt idx="125">
                  <c:v>44287</c:v>
                </c:pt>
                <c:pt idx="126">
                  <c:v>44317</c:v>
                </c:pt>
                <c:pt idx="127">
                  <c:v>44348</c:v>
                </c:pt>
                <c:pt idx="128">
                  <c:v>44378</c:v>
                </c:pt>
                <c:pt idx="129">
                  <c:v>44409</c:v>
                </c:pt>
                <c:pt idx="130">
                  <c:v>44440</c:v>
                </c:pt>
                <c:pt idx="131">
                  <c:v>44470</c:v>
                </c:pt>
                <c:pt idx="132">
                  <c:v>44501</c:v>
                </c:pt>
                <c:pt idx="133">
                  <c:v>44531</c:v>
                </c:pt>
                <c:pt idx="134">
                  <c:v>44562</c:v>
                </c:pt>
                <c:pt idx="135">
                  <c:v>44593</c:v>
                </c:pt>
                <c:pt idx="136">
                  <c:v>44621</c:v>
                </c:pt>
                <c:pt idx="137">
                  <c:v>44652</c:v>
                </c:pt>
                <c:pt idx="138">
                  <c:v>44682</c:v>
                </c:pt>
                <c:pt idx="139">
                  <c:v>44713</c:v>
                </c:pt>
                <c:pt idx="140">
                  <c:v>44743</c:v>
                </c:pt>
                <c:pt idx="141">
                  <c:v>44774</c:v>
                </c:pt>
                <c:pt idx="142">
                  <c:v>44805</c:v>
                </c:pt>
                <c:pt idx="143">
                  <c:v>44835</c:v>
                </c:pt>
                <c:pt idx="144">
                  <c:v>44866</c:v>
                </c:pt>
                <c:pt idx="145">
                  <c:v>44896</c:v>
                </c:pt>
                <c:pt idx="146">
                  <c:v>44927</c:v>
                </c:pt>
                <c:pt idx="147">
                  <c:v>44958</c:v>
                </c:pt>
                <c:pt idx="148">
                  <c:v>44986</c:v>
                </c:pt>
                <c:pt idx="149">
                  <c:v>45017</c:v>
                </c:pt>
                <c:pt idx="150">
                  <c:v>45047</c:v>
                </c:pt>
                <c:pt idx="151">
                  <c:v>45078</c:v>
                </c:pt>
                <c:pt idx="152">
                  <c:v>45108</c:v>
                </c:pt>
                <c:pt idx="153">
                  <c:v>45139</c:v>
                </c:pt>
                <c:pt idx="154">
                  <c:v>45170</c:v>
                </c:pt>
                <c:pt idx="155">
                  <c:v>45200</c:v>
                </c:pt>
                <c:pt idx="156">
                  <c:v>45231</c:v>
                </c:pt>
                <c:pt idx="157">
                  <c:v>45261</c:v>
                </c:pt>
                <c:pt idx="158">
                  <c:v>45292</c:v>
                </c:pt>
                <c:pt idx="159">
                  <c:v>45323</c:v>
                </c:pt>
                <c:pt idx="160">
                  <c:v>45352</c:v>
                </c:pt>
                <c:pt idx="161">
                  <c:v>45383</c:v>
                </c:pt>
                <c:pt idx="162">
                  <c:v>45413</c:v>
                </c:pt>
                <c:pt idx="163">
                  <c:v>45444</c:v>
                </c:pt>
                <c:pt idx="164">
                  <c:v>45474</c:v>
                </c:pt>
                <c:pt idx="165">
                  <c:v>45505</c:v>
                </c:pt>
                <c:pt idx="166">
                  <c:v>45536</c:v>
                </c:pt>
                <c:pt idx="167">
                  <c:v>45566</c:v>
                </c:pt>
                <c:pt idx="168">
                  <c:v>45597</c:v>
                </c:pt>
                <c:pt idx="169">
                  <c:v>45627</c:v>
                </c:pt>
                <c:pt idx="170">
                  <c:v>45658</c:v>
                </c:pt>
                <c:pt idx="171">
                  <c:v>45689</c:v>
                </c:pt>
                <c:pt idx="172">
                  <c:v>45717</c:v>
                </c:pt>
                <c:pt idx="173">
                  <c:v>45748</c:v>
                </c:pt>
                <c:pt idx="174">
                  <c:v>45778</c:v>
                </c:pt>
                <c:pt idx="175">
                  <c:v>45809</c:v>
                </c:pt>
                <c:pt idx="176">
                  <c:v>45839</c:v>
                </c:pt>
                <c:pt idx="177">
                  <c:v>45870</c:v>
                </c:pt>
                <c:pt idx="178">
                  <c:v>45901</c:v>
                </c:pt>
                <c:pt idx="179">
                  <c:v>45931</c:v>
                </c:pt>
                <c:pt idx="180">
                  <c:v>45962</c:v>
                </c:pt>
                <c:pt idx="181">
                  <c:v>45992</c:v>
                </c:pt>
                <c:pt idx="182">
                  <c:v>46023</c:v>
                </c:pt>
                <c:pt idx="183">
                  <c:v>46054</c:v>
                </c:pt>
                <c:pt idx="184">
                  <c:v>46082</c:v>
                </c:pt>
                <c:pt idx="185">
                  <c:v>46113</c:v>
                </c:pt>
                <c:pt idx="186">
                  <c:v>46143</c:v>
                </c:pt>
                <c:pt idx="187">
                  <c:v>46174</c:v>
                </c:pt>
              </c:numCache>
            </c:numRef>
          </c:cat>
          <c:val>
            <c:numRef>
              <c:f>UK!$B$41:$B$238</c:f>
              <c:numCache>
                <c:formatCode>0.0</c:formatCode>
                <c:ptCount val="198"/>
                <c:pt idx="0">
                  <c:v>53.2</c:v>
                </c:pt>
                <c:pt idx="1">
                  <c:v>53</c:v>
                </c:pt>
                <c:pt idx="2">
                  <c:v>53.9</c:v>
                </c:pt>
                <c:pt idx="3">
                  <c:v>54.5</c:v>
                </c:pt>
                <c:pt idx="4">
                  <c:v>52.6</c:v>
                </c:pt>
                <c:pt idx="5">
                  <c:v>57.1</c:v>
                </c:pt>
                <c:pt idx="6">
                  <c:v>54.3</c:v>
                </c:pt>
                <c:pt idx="7">
                  <c:v>53.8</c:v>
                </c:pt>
                <c:pt idx="8">
                  <c:v>53.9</c:v>
                </c:pt>
                <c:pt idx="9">
                  <c:v>55.4</c:v>
                </c:pt>
                <c:pt idx="10">
                  <c:v>51.1</c:v>
                </c:pt>
                <c:pt idx="11">
                  <c:v>52.9</c:v>
                </c:pt>
                <c:pt idx="12">
                  <c:v>51.3</c:v>
                </c:pt>
                <c:pt idx="13">
                  <c:v>52.1</c:v>
                </c:pt>
                <c:pt idx="14">
                  <c:v>54</c:v>
                </c:pt>
                <c:pt idx="15">
                  <c:v>56</c:v>
                </c:pt>
                <c:pt idx="16">
                  <c:v>53.8</c:v>
                </c:pt>
                <c:pt idx="17">
                  <c:v>55.3</c:v>
                </c:pt>
                <c:pt idx="18">
                  <c:v>53.3</c:v>
                </c:pt>
                <c:pt idx="19">
                  <c:v>53.3</c:v>
                </c:pt>
                <c:pt idx="20">
                  <c:v>51.3</c:v>
                </c:pt>
                <c:pt idx="21">
                  <c:v>51.3</c:v>
                </c:pt>
                <c:pt idx="22">
                  <c:v>51</c:v>
                </c:pt>
                <c:pt idx="23">
                  <c:v>53.7</c:v>
                </c:pt>
                <c:pt idx="24">
                  <c:v>52.2</c:v>
                </c:pt>
                <c:pt idx="25">
                  <c:v>50.6</c:v>
                </c:pt>
                <c:pt idx="26">
                  <c:v>50.2</c:v>
                </c:pt>
                <c:pt idx="27">
                  <c:v>51.5</c:v>
                </c:pt>
                <c:pt idx="28">
                  <c:v>51.8</c:v>
                </c:pt>
                <c:pt idx="29">
                  <c:v>52.4</c:v>
                </c:pt>
                <c:pt idx="30">
                  <c:v>52.9</c:v>
                </c:pt>
                <c:pt idx="31">
                  <c:v>54.9</c:v>
                </c:pt>
                <c:pt idx="32">
                  <c:v>56.9</c:v>
                </c:pt>
                <c:pt idx="33">
                  <c:v>60.2</c:v>
                </c:pt>
                <c:pt idx="34">
                  <c:v>60.5</c:v>
                </c:pt>
                <c:pt idx="35">
                  <c:v>60.3</c:v>
                </c:pt>
                <c:pt idx="36">
                  <c:v>62.5</c:v>
                </c:pt>
                <c:pt idx="37">
                  <c:v>60</c:v>
                </c:pt>
                <c:pt idx="38">
                  <c:v>58.8</c:v>
                </c:pt>
                <c:pt idx="39">
                  <c:v>58.3</c:v>
                </c:pt>
                <c:pt idx="40">
                  <c:v>58.2</c:v>
                </c:pt>
                <c:pt idx="41">
                  <c:v>57.6</c:v>
                </c:pt>
                <c:pt idx="42">
                  <c:v>58.7</c:v>
                </c:pt>
                <c:pt idx="43">
                  <c:v>58.6</c:v>
                </c:pt>
                <c:pt idx="44">
                  <c:v>57.7</c:v>
                </c:pt>
                <c:pt idx="45">
                  <c:v>59.1</c:v>
                </c:pt>
                <c:pt idx="46">
                  <c:v>60.5</c:v>
                </c:pt>
                <c:pt idx="47">
                  <c:v>58.7</c:v>
                </c:pt>
                <c:pt idx="48">
                  <c:v>56.2</c:v>
                </c:pt>
                <c:pt idx="49">
                  <c:v>58.6</c:v>
                </c:pt>
                <c:pt idx="50">
                  <c:v>57.2</c:v>
                </c:pt>
                <c:pt idx="51">
                  <c:v>56.7</c:v>
                </c:pt>
                <c:pt idx="52">
                  <c:v>58.9</c:v>
                </c:pt>
                <c:pt idx="53">
                  <c:v>59.5</c:v>
                </c:pt>
                <c:pt idx="54">
                  <c:v>56.5</c:v>
                </c:pt>
                <c:pt idx="55">
                  <c:v>58.5</c:v>
                </c:pt>
                <c:pt idx="56">
                  <c:v>57.4</c:v>
                </c:pt>
                <c:pt idx="57">
                  <c:v>55.6</c:v>
                </c:pt>
                <c:pt idx="58">
                  <c:v>53.3</c:v>
                </c:pt>
                <c:pt idx="59">
                  <c:v>54.9</c:v>
                </c:pt>
                <c:pt idx="60">
                  <c:v>55.9</c:v>
                </c:pt>
                <c:pt idx="61">
                  <c:v>55.5</c:v>
                </c:pt>
                <c:pt idx="62">
                  <c:v>55.6</c:v>
                </c:pt>
                <c:pt idx="63">
                  <c:v>52.7</c:v>
                </c:pt>
                <c:pt idx="64">
                  <c:v>53.7</c:v>
                </c:pt>
                <c:pt idx="65">
                  <c:v>52.3</c:v>
                </c:pt>
                <c:pt idx="66">
                  <c:v>53.5</c:v>
                </c:pt>
                <c:pt idx="67">
                  <c:v>52.3</c:v>
                </c:pt>
                <c:pt idx="68">
                  <c:v>47.4</c:v>
                </c:pt>
                <c:pt idx="69">
                  <c:v>52.9</c:v>
                </c:pt>
                <c:pt idx="70">
                  <c:v>52.6</c:v>
                </c:pt>
                <c:pt idx="71">
                  <c:v>54.5</c:v>
                </c:pt>
                <c:pt idx="72">
                  <c:v>55.2</c:v>
                </c:pt>
                <c:pt idx="73">
                  <c:v>56.2</c:v>
                </c:pt>
                <c:pt idx="74">
                  <c:v>54.5</c:v>
                </c:pt>
                <c:pt idx="75">
                  <c:v>53.3</c:v>
                </c:pt>
                <c:pt idx="76">
                  <c:v>55</c:v>
                </c:pt>
                <c:pt idx="77">
                  <c:v>55.8</c:v>
                </c:pt>
                <c:pt idx="78">
                  <c:v>53.8</c:v>
                </c:pt>
                <c:pt idx="79">
                  <c:v>53.4</c:v>
                </c:pt>
                <c:pt idx="80">
                  <c:v>53.8</c:v>
                </c:pt>
                <c:pt idx="81">
                  <c:v>53.2</c:v>
                </c:pt>
                <c:pt idx="82">
                  <c:v>53.6</c:v>
                </c:pt>
                <c:pt idx="83">
                  <c:v>55.6</c:v>
                </c:pt>
                <c:pt idx="84">
                  <c:v>53.8</c:v>
                </c:pt>
                <c:pt idx="85">
                  <c:v>54.2</c:v>
                </c:pt>
                <c:pt idx="86">
                  <c:v>53</c:v>
                </c:pt>
                <c:pt idx="87">
                  <c:v>54.5</c:v>
                </c:pt>
                <c:pt idx="88">
                  <c:v>51.7</c:v>
                </c:pt>
                <c:pt idx="89">
                  <c:v>52.8</c:v>
                </c:pt>
                <c:pt idx="90">
                  <c:v>54</c:v>
                </c:pt>
                <c:pt idx="91">
                  <c:v>55.1</c:v>
                </c:pt>
                <c:pt idx="92">
                  <c:v>53.5</c:v>
                </c:pt>
                <c:pt idx="93">
                  <c:v>54.3</c:v>
                </c:pt>
                <c:pt idx="94">
                  <c:v>53.9</c:v>
                </c:pt>
                <c:pt idx="95">
                  <c:v>52.2</c:v>
                </c:pt>
                <c:pt idx="96">
                  <c:v>50.4</c:v>
                </c:pt>
                <c:pt idx="97">
                  <c:v>51.2</c:v>
                </c:pt>
                <c:pt idx="98">
                  <c:v>50.1</c:v>
                </c:pt>
                <c:pt idx="99">
                  <c:v>51.3</c:v>
                </c:pt>
                <c:pt idx="100">
                  <c:v>48.9</c:v>
                </c:pt>
                <c:pt idx="101">
                  <c:v>50.4</c:v>
                </c:pt>
                <c:pt idx="102">
                  <c:v>51</c:v>
                </c:pt>
                <c:pt idx="103">
                  <c:v>50.2</c:v>
                </c:pt>
                <c:pt idx="104">
                  <c:v>51.4</c:v>
                </c:pt>
                <c:pt idx="105">
                  <c:v>50.6</c:v>
                </c:pt>
                <c:pt idx="106">
                  <c:v>49.5</c:v>
                </c:pt>
                <c:pt idx="107">
                  <c:v>50</c:v>
                </c:pt>
                <c:pt idx="108">
                  <c:v>49.3</c:v>
                </c:pt>
                <c:pt idx="109">
                  <c:v>50</c:v>
                </c:pt>
                <c:pt idx="110">
                  <c:v>53.9</c:v>
                </c:pt>
                <c:pt idx="111">
                  <c:v>53.2</c:v>
                </c:pt>
                <c:pt idx="112">
                  <c:v>34.5</c:v>
                </c:pt>
                <c:pt idx="113">
                  <c:v>13.4</c:v>
                </c:pt>
                <c:pt idx="114">
                  <c:v>29</c:v>
                </c:pt>
                <c:pt idx="115">
                  <c:v>47.1</c:v>
                </c:pt>
                <c:pt idx="116">
                  <c:v>56.5</c:v>
                </c:pt>
                <c:pt idx="117">
                  <c:v>58.8</c:v>
                </c:pt>
                <c:pt idx="118">
                  <c:v>56.1</c:v>
                </c:pt>
                <c:pt idx="119">
                  <c:v>51.4</c:v>
                </c:pt>
                <c:pt idx="120">
                  <c:v>47.6</c:v>
                </c:pt>
                <c:pt idx="121">
                  <c:v>49.4</c:v>
                </c:pt>
                <c:pt idx="122">
                  <c:v>39.5</c:v>
                </c:pt>
                <c:pt idx="123">
                  <c:v>49.5</c:v>
                </c:pt>
                <c:pt idx="124">
                  <c:v>56.3</c:v>
                </c:pt>
                <c:pt idx="125">
                  <c:v>61</c:v>
                </c:pt>
                <c:pt idx="126">
                  <c:v>62.9</c:v>
                </c:pt>
                <c:pt idx="127">
                  <c:v>62.4</c:v>
                </c:pt>
                <c:pt idx="128">
                  <c:v>59.6</c:v>
                </c:pt>
                <c:pt idx="129">
                  <c:v>55</c:v>
                </c:pt>
                <c:pt idx="130">
                  <c:v>55.4</c:v>
                </c:pt>
                <c:pt idx="131">
                  <c:v>59.1</c:v>
                </c:pt>
                <c:pt idx="132">
                  <c:v>58.5</c:v>
                </c:pt>
                <c:pt idx="133">
                  <c:v>53.6</c:v>
                </c:pt>
                <c:pt idx="134">
                  <c:v>54.1</c:v>
                </c:pt>
                <c:pt idx="135">
                  <c:v>60.5</c:v>
                </c:pt>
                <c:pt idx="136">
                  <c:v>62.6</c:v>
                </c:pt>
                <c:pt idx="137">
                  <c:v>58.9</c:v>
                </c:pt>
                <c:pt idx="138">
                  <c:v>53.4</c:v>
                </c:pt>
                <c:pt idx="139">
                  <c:v>54.3</c:v>
                </c:pt>
                <c:pt idx="140">
                  <c:v>52.6</c:v>
                </c:pt>
                <c:pt idx="141">
                  <c:v>50.9</c:v>
                </c:pt>
                <c:pt idx="142">
                  <c:v>50</c:v>
                </c:pt>
                <c:pt idx="143">
                  <c:v>48.8</c:v>
                </c:pt>
                <c:pt idx="144">
                  <c:v>48.8</c:v>
                </c:pt>
                <c:pt idx="145">
                  <c:v>49.9</c:v>
                </c:pt>
                <c:pt idx="146">
                  <c:v>48.7</c:v>
                </c:pt>
                <c:pt idx="147">
                  <c:v>53.5</c:v>
                </c:pt>
                <c:pt idx="148">
                  <c:v>52.9</c:v>
                </c:pt>
                <c:pt idx="149">
                  <c:v>55.9</c:v>
                </c:pt>
                <c:pt idx="150">
                  <c:v>55.2</c:v>
                </c:pt>
                <c:pt idx="151">
                  <c:v>53.7</c:v>
                </c:pt>
                <c:pt idx="152">
                  <c:v>51.5</c:v>
                </c:pt>
                <c:pt idx="153">
                  <c:v>49.5</c:v>
                </c:pt>
                <c:pt idx="154">
                  <c:v>49.3</c:v>
                </c:pt>
                <c:pt idx="155">
                  <c:v>49.5</c:v>
                </c:pt>
                <c:pt idx="156">
                  <c:v>50.9</c:v>
                </c:pt>
                <c:pt idx="157">
                  <c:v>53.4</c:v>
                </c:pt>
                <c:pt idx="158">
                  <c:v>54.3</c:v>
                </c:pt>
                <c:pt idx="159">
                  <c:v>53.8</c:v>
                </c:pt>
                <c:pt idx="160">
                  <c:v>53.1</c:v>
                </c:pt>
                <c:pt idx="161">
                  <c:v>55</c:v>
                </c:pt>
                <c:pt idx="162">
                  <c:v>52.9</c:v>
                </c:pt>
                <c:pt idx="163">
                  <c:v>52.1</c:v>
                </c:pt>
                <c:pt idx="164">
                  <c:v>52.5</c:v>
                </c:pt>
                <c:pt idx="165">
                  <c:v>53.7</c:v>
                </c:pt>
                <c:pt idx="166">
                  <c:v>52.4</c:v>
                </c:pt>
                <c:pt idx="167">
                  <c:v>52</c:v>
                </c:pt>
                <c:pt idx="168">
                  <c:v>50.8</c:v>
                </c:pt>
                <c:pt idx="169">
                  <c:v>51.1</c:v>
                </c:pt>
                <c:pt idx="170">
                  <c:v>50.8</c:v>
                </c:pt>
                <c:pt idx="171">
                  <c:v>51</c:v>
                </c:pt>
                <c:pt idx="172">
                  <c:v>52.5</c:v>
                </c:pt>
                <c:pt idx="173">
                  <c:v>49</c:v>
                </c:pt>
                <c:pt idx="174">
                  <c:v>50.9</c:v>
                </c:pt>
                <c:pt idx="175">
                  <c:v>52.8</c:v>
                </c:pt>
                <c:pt idx="176">
                  <c:v>51.8</c:v>
                </c:pt>
                <c:pt idx="177">
                  <c:v>54.2</c:v>
                </c:pt>
                <c:pt idx="178">
                  <c:v>50.8</c:v>
                </c:pt>
                <c:pt idx="179">
                  <c:v>52.3</c:v>
                </c:pt>
                <c:pt idx="180">
                  <c:v>51.3</c:v>
                </c:pt>
                <c:pt idx="181">
                  <c:v>51.4</c:v>
                </c:pt>
                <c:pt idx="182">
                  <c:v>54</c:v>
                </c:pt>
                <c:pt idx="183">
                  <c:v>53.9</c:v>
                </c:pt>
                <c:pt idx="184">
                  <c:v>50.5</c:v>
                </c:pt>
                <c:pt idx="185">
                  <c:v>52.7</c:v>
                </c:pt>
                <c:pt idx="186">
                  <c:v>49.3</c:v>
                </c:pt>
                <c:pt idx="187">
                  <c:v>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9-4B2A-8DD2-306676A5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028928"/>
        <c:axId val="370030464"/>
      </c:areaChart>
      <c:barChart>
        <c:barDir val="col"/>
        <c:grouping val="clustered"/>
        <c:varyColors val="0"/>
        <c:ser>
          <c:idx val="2"/>
          <c:order val="2"/>
          <c:tx>
            <c:strRef>
              <c:f>UK!$D$40</c:f>
              <c:strCache>
                <c:ptCount val="1"/>
                <c:pt idx="0">
                  <c:v>UK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UK!$D$41:$D$238</c:f>
              <c:numCache>
                <c:formatCode>0.0%</c:formatCode>
                <c:ptCount val="198"/>
                <c:pt idx="2">
                  <c:v>-2E-3</c:v>
                </c:pt>
                <c:pt idx="5">
                  <c:v>5.0000000000000001E-3</c:v>
                </c:pt>
                <c:pt idx="8">
                  <c:v>1E-3</c:v>
                </c:pt>
                <c:pt idx="11">
                  <c:v>6.0000000000000001E-3</c:v>
                </c:pt>
                <c:pt idx="14">
                  <c:v>-1E-3</c:v>
                </c:pt>
                <c:pt idx="17">
                  <c:v>0</c:v>
                </c:pt>
                <c:pt idx="20">
                  <c:v>-4.0000000000000001E-3</c:v>
                </c:pt>
                <c:pt idx="23">
                  <c:v>8.0000000000000002E-3</c:v>
                </c:pt>
                <c:pt idx="26">
                  <c:v>-1E-3</c:v>
                </c:pt>
                <c:pt idx="29">
                  <c:v>5.0000000000000001E-3</c:v>
                </c:pt>
                <c:pt idx="32">
                  <c:v>8.0000000000000002E-3</c:v>
                </c:pt>
                <c:pt idx="35">
                  <c:v>8.0000000000000002E-3</c:v>
                </c:pt>
                <c:pt idx="38">
                  <c:v>6.9999999999999993E-3</c:v>
                </c:pt>
                <c:pt idx="41">
                  <c:v>8.0000000000000002E-3</c:v>
                </c:pt>
                <c:pt idx="44">
                  <c:v>8.0000000000000002E-3</c:v>
                </c:pt>
                <c:pt idx="47">
                  <c:v>6.9999999999999993E-3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9-4B2A-8DD2-306676A5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058368"/>
        <c:axId val="37003200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UK!$B$41:$B$238</c:f>
              <c:numCache>
                <c:formatCode>0.0</c:formatCode>
                <c:ptCount val="198"/>
                <c:pt idx="0">
                  <c:v>53.2</c:v>
                </c:pt>
                <c:pt idx="1">
                  <c:v>53</c:v>
                </c:pt>
                <c:pt idx="2">
                  <c:v>53.9</c:v>
                </c:pt>
                <c:pt idx="3">
                  <c:v>54.5</c:v>
                </c:pt>
                <c:pt idx="4">
                  <c:v>52.6</c:v>
                </c:pt>
                <c:pt idx="5">
                  <c:v>57.1</c:v>
                </c:pt>
                <c:pt idx="6">
                  <c:v>54.3</c:v>
                </c:pt>
                <c:pt idx="7">
                  <c:v>53.8</c:v>
                </c:pt>
                <c:pt idx="8">
                  <c:v>53.9</c:v>
                </c:pt>
                <c:pt idx="9">
                  <c:v>55.4</c:v>
                </c:pt>
                <c:pt idx="10">
                  <c:v>51.1</c:v>
                </c:pt>
                <c:pt idx="11">
                  <c:v>52.9</c:v>
                </c:pt>
                <c:pt idx="12">
                  <c:v>51.3</c:v>
                </c:pt>
                <c:pt idx="13">
                  <c:v>52.1</c:v>
                </c:pt>
                <c:pt idx="14">
                  <c:v>54</c:v>
                </c:pt>
                <c:pt idx="15">
                  <c:v>56</c:v>
                </c:pt>
                <c:pt idx="16">
                  <c:v>53.8</c:v>
                </c:pt>
                <c:pt idx="17">
                  <c:v>55.3</c:v>
                </c:pt>
                <c:pt idx="18">
                  <c:v>53.3</c:v>
                </c:pt>
                <c:pt idx="19">
                  <c:v>53.3</c:v>
                </c:pt>
                <c:pt idx="20">
                  <c:v>51.3</c:v>
                </c:pt>
                <c:pt idx="21">
                  <c:v>51.3</c:v>
                </c:pt>
                <c:pt idx="22">
                  <c:v>51</c:v>
                </c:pt>
                <c:pt idx="23">
                  <c:v>53.7</c:v>
                </c:pt>
                <c:pt idx="24">
                  <c:v>52.2</c:v>
                </c:pt>
                <c:pt idx="25">
                  <c:v>50.6</c:v>
                </c:pt>
                <c:pt idx="26">
                  <c:v>50.2</c:v>
                </c:pt>
                <c:pt idx="27">
                  <c:v>51.5</c:v>
                </c:pt>
                <c:pt idx="28">
                  <c:v>51.8</c:v>
                </c:pt>
                <c:pt idx="29">
                  <c:v>52.4</c:v>
                </c:pt>
                <c:pt idx="30">
                  <c:v>52.9</c:v>
                </c:pt>
                <c:pt idx="31">
                  <c:v>54.9</c:v>
                </c:pt>
                <c:pt idx="32">
                  <c:v>56.9</c:v>
                </c:pt>
                <c:pt idx="33">
                  <c:v>60.2</c:v>
                </c:pt>
                <c:pt idx="34">
                  <c:v>60.5</c:v>
                </c:pt>
                <c:pt idx="35">
                  <c:v>60.3</c:v>
                </c:pt>
                <c:pt idx="36">
                  <c:v>62.5</c:v>
                </c:pt>
                <c:pt idx="37">
                  <c:v>60</c:v>
                </c:pt>
                <c:pt idx="38">
                  <c:v>58.8</c:v>
                </c:pt>
                <c:pt idx="39">
                  <c:v>58.3</c:v>
                </c:pt>
                <c:pt idx="40">
                  <c:v>58.2</c:v>
                </c:pt>
                <c:pt idx="41">
                  <c:v>57.6</c:v>
                </c:pt>
                <c:pt idx="42">
                  <c:v>58.7</c:v>
                </c:pt>
                <c:pt idx="43">
                  <c:v>58.6</c:v>
                </c:pt>
                <c:pt idx="44">
                  <c:v>57.7</c:v>
                </c:pt>
                <c:pt idx="45">
                  <c:v>59.1</c:v>
                </c:pt>
                <c:pt idx="46">
                  <c:v>60.5</c:v>
                </c:pt>
                <c:pt idx="47">
                  <c:v>58.7</c:v>
                </c:pt>
                <c:pt idx="48">
                  <c:v>56.2</c:v>
                </c:pt>
                <c:pt idx="49">
                  <c:v>58.6</c:v>
                </c:pt>
                <c:pt idx="50">
                  <c:v>57.2</c:v>
                </c:pt>
                <c:pt idx="51">
                  <c:v>56.7</c:v>
                </c:pt>
                <c:pt idx="52">
                  <c:v>58.9</c:v>
                </c:pt>
                <c:pt idx="53">
                  <c:v>59.5</c:v>
                </c:pt>
                <c:pt idx="54">
                  <c:v>56.5</c:v>
                </c:pt>
                <c:pt idx="55">
                  <c:v>58.5</c:v>
                </c:pt>
                <c:pt idx="56">
                  <c:v>57.4</c:v>
                </c:pt>
                <c:pt idx="57">
                  <c:v>55.6</c:v>
                </c:pt>
                <c:pt idx="58">
                  <c:v>53.3</c:v>
                </c:pt>
                <c:pt idx="59">
                  <c:v>54.9</c:v>
                </c:pt>
                <c:pt idx="60">
                  <c:v>55.9</c:v>
                </c:pt>
                <c:pt idx="61">
                  <c:v>55.5</c:v>
                </c:pt>
                <c:pt idx="62">
                  <c:v>55.6</c:v>
                </c:pt>
                <c:pt idx="63">
                  <c:v>52.7</c:v>
                </c:pt>
                <c:pt idx="64">
                  <c:v>53.7</c:v>
                </c:pt>
                <c:pt idx="65">
                  <c:v>52.3</c:v>
                </c:pt>
                <c:pt idx="66">
                  <c:v>53.5</c:v>
                </c:pt>
                <c:pt idx="67">
                  <c:v>52.3</c:v>
                </c:pt>
                <c:pt idx="68">
                  <c:v>47.4</c:v>
                </c:pt>
                <c:pt idx="69">
                  <c:v>52.9</c:v>
                </c:pt>
                <c:pt idx="70">
                  <c:v>52.6</c:v>
                </c:pt>
                <c:pt idx="71">
                  <c:v>54.5</c:v>
                </c:pt>
                <c:pt idx="72">
                  <c:v>55.2</c:v>
                </c:pt>
                <c:pt idx="73">
                  <c:v>56.2</c:v>
                </c:pt>
                <c:pt idx="74">
                  <c:v>54.5</c:v>
                </c:pt>
                <c:pt idx="75">
                  <c:v>53.3</c:v>
                </c:pt>
                <c:pt idx="76">
                  <c:v>55</c:v>
                </c:pt>
                <c:pt idx="77">
                  <c:v>55.8</c:v>
                </c:pt>
                <c:pt idx="78">
                  <c:v>53.8</c:v>
                </c:pt>
                <c:pt idx="79">
                  <c:v>53.4</c:v>
                </c:pt>
                <c:pt idx="80">
                  <c:v>53.8</c:v>
                </c:pt>
                <c:pt idx="81">
                  <c:v>53.2</c:v>
                </c:pt>
                <c:pt idx="82">
                  <c:v>53.6</c:v>
                </c:pt>
                <c:pt idx="83">
                  <c:v>55.6</c:v>
                </c:pt>
                <c:pt idx="84">
                  <c:v>53.8</c:v>
                </c:pt>
                <c:pt idx="85">
                  <c:v>54.2</c:v>
                </c:pt>
                <c:pt idx="86">
                  <c:v>53</c:v>
                </c:pt>
                <c:pt idx="87">
                  <c:v>54.5</c:v>
                </c:pt>
                <c:pt idx="88">
                  <c:v>51.7</c:v>
                </c:pt>
                <c:pt idx="89">
                  <c:v>52.8</c:v>
                </c:pt>
                <c:pt idx="90">
                  <c:v>54</c:v>
                </c:pt>
                <c:pt idx="91">
                  <c:v>55.1</c:v>
                </c:pt>
                <c:pt idx="92">
                  <c:v>53.5</c:v>
                </c:pt>
                <c:pt idx="93">
                  <c:v>54.3</c:v>
                </c:pt>
                <c:pt idx="94">
                  <c:v>53.9</c:v>
                </c:pt>
                <c:pt idx="95">
                  <c:v>52.2</c:v>
                </c:pt>
                <c:pt idx="96">
                  <c:v>50.4</c:v>
                </c:pt>
                <c:pt idx="97">
                  <c:v>51.2</c:v>
                </c:pt>
                <c:pt idx="98">
                  <c:v>50.1</c:v>
                </c:pt>
                <c:pt idx="99">
                  <c:v>51.3</c:v>
                </c:pt>
                <c:pt idx="100">
                  <c:v>48.9</c:v>
                </c:pt>
                <c:pt idx="101">
                  <c:v>50.4</c:v>
                </c:pt>
                <c:pt idx="102">
                  <c:v>51</c:v>
                </c:pt>
                <c:pt idx="103">
                  <c:v>50.2</c:v>
                </c:pt>
                <c:pt idx="104">
                  <c:v>51.4</c:v>
                </c:pt>
                <c:pt idx="105">
                  <c:v>50.6</c:v>
                </c:pt>
                <c:pt idx="106">
                  <c:v>49.5</c:v>
                </c:pt>
                <c:pt idx="107">
                  <c:v>50</c:v>
                </c:pt>
                <c:pt idx="108">
                  <c:v>49.3</c:v>
                </c:pt>
                <c:pt idx="109">
                  <c:v>50</c:v>
                </c:pt>
                <c:pt idx="110">
                  <c:v>53.9</c:v>
                </c:pt>
                <c:pt idx="111">
                  <c:v>53.2</c:v>
                </c:pt>
                <c:pt idx="112">
                  <c:v>34.5</c:v>
                </c:pt>
                <c:pt idx="113">
                  <c:v>13.4</c:v>
                </c:pt>
                <c:pt idx="114">
                  <c:v>29</c:v>
                </c:pt>
                <c:pt idx="115">
                  <c:v>47.1</c:v>
                </c:pt>
                <c:pt idx="116">
                  <c:v>56.5</c:v>
                </c:pt>
                <c:pt idx="117">
                  <c:v>58.8</c:v>
                </c:pt>
                <c:pt idx="118">
                  <c:v>56.1</c:v>
                </c:pt>
                <c:pt idx="119">
                  <c:v>51.4</c:v>
                </c:pt>
                <c:pt idx="120">
                  <c:v>47.6</c:v>
                </c:pt>
                <c:pt idx="121">
                  <c:v>49.4</c:v>
                </c:pt>
                <c:pt idx="122">
                  <c:v>39.5</c:v>
                </c:pt>
                <c:pt idx="123">
                  <c:v>49.5</c:v>
                </c:pt>
                <c:pt idx="124">
                  <c:v>56.3</c:v>
                </c:pt>
                <c:pt idx="125">
                  <c:v>61</c:v>
                </c:pt>
                <c:pt idx="126">
                  <c:v>62.9</c:v>
                </c:pt>
                <c:pt idx="127">
                  <c:v>62.4</c:v>
                </c:pt>
                <c:pt idx="128">
                  <c:v>59.6</c:v>
                </c:pt>
                <c:pt idx="129">
                  <c:v>55</c:v>
                </c:pt>
                <c:pt idx="130">
                  <c:v>55.4</c:v>
                </c:pt>
                <c:pt idx="131">
                  <c:v>59.1</c:v>
                </c:pt>
                <c:pt idx="132">
                  <c:v>58.5</c:v>
                </c:pt>
                <c:pt idx="133">
                  <c:v>53.6</c:v>
                </c:pt>
                <c:pt idx="134">
                  <c:v>54.1</c:v>
                </c:pt>
                <c:pt idx="135">
                  <c:v>60.5</c:v>
                </c:pt>
                <c:pt idx="136">
                  <c:v>62.6</c:v>
                </c:pt>
                <c:pt idx="137">
                  <c:v>58.9</c:v>
                </c:pt>
                <c:pt idx="138">
                  <c:v>53.4</c:v>
                </c:pt>
                <c:pt idx="139">
                  <c:v>54.3</c:v>
                </c:pt>
                <c:pt idx="140">
                  <c:v>52.6</c:v>
                </c:pt>
                <c:pt idx="141">
                  <c:v>50.9</c:v>
                </c:pt>
                <c:pt idx="142">
                  <c:v>50</c:v>
                </c:pt>
                <c:pt idx="143">
                  <c:v>48.8</c:v>
                </c:pt>
                <c:pt idx="144">
                  <c:v>48.8</c:v>
                </c:pt>
                <c:pt idx="145">
                  <c:v>49.9</c:v>
                </c:pt>
                <c:pt idx="146">
                  <c:v>48.7</c:v>
                </c:pt>
                <c:pt idx="147">
                  <c:v>53.5</c:v>
                </c:pt>
                <c:pt idx="148">
                  <c:v>52.9</c:v>
                </c:pt>
                <c:pt idx="149">
                  <c:v>55.9</c:v>
                </c:pt>
                <c:pt idx="150">
                  <c:v>55.2</c:v>
                </c:pt>
                <c:pt idx="151">
                  <c:v>53.7</c:v>
                </c:pt>
                <c:pt idx="152">
                  <c:v>51.5</c:v>
                </c:pt>
                <c:pt idx="153">
                  <c:v>49.5</c:v>
                </c:pt>
                <c:pt idx="154">
                  <c:v>49.3</c:v>
                </c:pt>
                <c:pt idx="155">
                  <c:v>49.5</c:v>
                </c:pt>
                <c:pt idx="156">
                  <c:v>50.9</c:v>
                </c:pt>
                <c:pt idx="157">
                  <c:v>53.4</c:v>
                </c:pt>
                <c:pt idx="158">
                  <c:v>54.3</c:v>
                </c:pt>
                <c:pt idx="159">
                  <c:v>53.8</c:v>
                </c:pt>
                <c:pt idx="160">
                  <c:v>53.1</c:v>
                </c:pt>
                <c:pt idx="161">
                  <c:v>55</c:v>
                </c:pt>
                <c:pt idx="162">
                  <c:v>52.9</c:v>
                </c:pt>
                <c:pt idx="163">
                  <c:v>52.1</c:v>
                </c:pt>
                <c:pt idx="164">
                  <c:v>52.5</c:v>
                </c:pt>
                <c:pt idx="165">
                  <c:v>53.7</c:v>
                </c:pt>
                <c:pt idx="166">
                  <c:v>52.4</c:v>
                </c:pt>
                <c:pt idx="167">
                  <c:v>52</c:v>
                </c:pt>
                <c:pt idx="168">
                  <c:v>50.8</c:v>
                </c:pt>
                <c:pt idx="169">
                  <c:v>51.1</c:v>
                </c:pt>
                <c:pt idx="170">
                  <c:v>50.8</c:v>
                </c:pt>
                <c:pt idx="171">
                  <c:v>51</c:v>
                </c:pt>
                <c:pt idx="172">
                  <c:v>52.5</c:v>
                </c:pt>
                <c:pt idx="173">
                  <c:v>49</c:v>
                </c:pt>
                <c:pt idx="174">
                  <c:v>50.9</c:v>
                </c:pt>
                <c:pt idx="175">
                  <c:v>52.8</c:v>
                </c:pt>
                <c:pt idx="176">
                  <c:v>51.8</c:v>
                </c:pt>
                <c:pt idx="177">
                  <c:v>54.2</c:v>
                </c:pt>
                <c:pt idx="178">
                  <c:v>50.8</c:v>
                </c:pt>
                <c:pt idx="179">
                  <c:v>52.3</c:v>
                </c:pt>
                <c:pt idx="180">
                  <c:v>51.3</c:v>
                </c:pt>
                <c:pt idx="181">
                  <c:v>51.4</c:v>
                </c:pt>
                <c:pt idx="182">
                  <c:v>54</c:v>
                </c:pt>
                <c:pt idx="183">
                  <c:v>53.9</c:v>
                </c:pt>
                <c:pt idx="184">
                  <c:v>50.5</c:v>
                </c:pt>
                <c:pt idx="185">
                  <c:v>52.7</c:v>
                </c:pt>
                <c:pt idx="186">
                  <c:v>49.3</c:v>
                </c:pt>
                <c:pt idx="1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9-4B2A-8DD2-306676A5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028928"/>
        <c:axId val="370030464"/>
      </c:lineChart>
      <c:dateAx>
        <c:axId val="3700289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30464"/>
        <c:crossesAt val="50"/>
        <c:auto val="1"/>
        <c:lblOffset val="100"/>
        <c:baseTimeUnit val="months"/>
        <c:majorUnit val="1"/>
      </c:dateAx>
      <c:valAx>
        <c:axId val="370030464"/>
        <c:scaling>
          <c:orientation val="minMax"/>
          <c:max val="65"/>
          <c:min val="40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28928"/>
        <c:crosses val="autoZero"/>
        <c:crossBetween val="between"/>
        <c:majorUnit val="5"/>
      </c:valAx>
      <c:valAx>
        <c:axId val="370032000"/>
        <c:scaling>
          <c:orientation val="minMax"/>
          <c:max val="1.5000000000000005E-2"/>
          <c:min val="-1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70058368"/>
        <c:crosses val="max"/>
        <c:crossBetween val="between"/>
        <c:majorUnit val="5.0000000000000018E-3"/>
      </c:valAx>
      <c:catAx>
        <c:axId val="370058368"/>
        <c:scaling>
          <c:orientation val="minMax"/>
        </c:scaling>
        <c:delete val="1"/>
        <c:axPos val="b"/>
        <c:majorTickMark val="out"/>
        <c:minorTickMark val="none"/>
        <c:tickLblPos val="none"/>
        <c:crossAx val="37003200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97E-2"/>
          <c:y val="0.76045636133995953"/>
          <c:w val="0.15963398410815088"/>
          <c:h val="9.8158918378253968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Service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EZ!$B$1</c:f>
              <c:strCache>
                <c:ptCount val="1"/>
                <c:pt idx="0">
                  <c:v>Euro-Zone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EZ!$A$2:$A$200</c:f>
              <c:numCache>
                <c:formatCode>mmm\-yy</c:formatCode>
                <c:ptCount val="199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  <c:pt idx="32">
                  <c:v>40238</c:v>
                </c:pt>
                <c:pt idx="33">
                  <c:v>40269</c:v>
                </c:pt>
                <c:pt idx="34">
                  <c:v>40299</c:v>
                </c:pt>
                <c:pt idx="35">
                  <c:v>40330</c:v>
                </c:pt>
                <c:pt idx="36">
                  <c:v>40360</c:v>
                </c:pt>
                <c:pt idx="37">
                  <c:v>40391</c:v>
                </c:pt>
                <c:pt idx="38">
                  <c:v>40422</c:v>
                </c:pt>
                <c:pt idx="39">
                  <c:v>40452</c:v>
                </c:pt>
                <c:pt idx="40">
                  <c:v>40483</c:v>
                </c:pt>
                <c:pt idx="41">
                  <c:v>40513</c:v>
                </c:pt>
                <c:pt idx="42">
                  <c:v>40544</c:v>
                </c:pt>
                <c:pt idx="43">
                  <c:v>40575</c:v>
                </c:pt>
                <c:pt idx="44">
                  <c:v>40603</c:v>
                </c:pt>
                <c:pt idx="45">
                  <c:v>40634</c:v>
                </c:pt>
                <c:pt idx="46">
                  <c:v>40664</c:v>
                </c:pt>
                <c:pt idx="47">
                  <c:v>40695</c:v>
                </c:pt>
                <c:pt idx="48">
                  <c:v>40725</c:v>
                </c:pt>
                <c:pt idx="49">
                  <c:v>40756</c:v>
                </c:pt>
                <c:pt idx="50">
                  <c:v>40787</c:v>
                </c:pt>
                <c:pt idx="51">
                  <c:v>40817</c:v>
                </c:pt>
                <c:pt idx="52">
                  <c:v>40848</c:v>
                </c:pt>
                <c:pt idx="53">
                  <c:v>40878</c:v>
                </c:pt>
                <c:pt idx="54">
                  <c:v>40909</c:v>
                </c:pt>
                <c:pt idx="55">
                  <c:v>40940</c:v>
                </c:pt>
                <c:pt idx="56">
                  <c:v>40969</c:v>
                </c:pt>
                <c:pt idx="57">
                  <c:v>41000</c:v>
                </c:pt>
                <c:pt idx="58">
                  <c:v>41030</c:v>
                </c:pt>
                <c:pt idx="59">
                  <c:v>41061</c:v>
                </c:pt>
                <c:pt idx="60">
                  <c:v>41091</c:v>
                </c:pt>
                <c:pt idx="61">
                  <c:v>41122</c:v>
                </c:pt>
                <c:pt idx="62">
                  <c:v>41153</c:v>
                </c:pt>
                <c:pt idx="63">
                  <c:v>41183</c:v>
                </c:pt>
                <c:pt idx="64">
                  <c:v>41214</c:v>
                </c:pt>
                <c:pt idx="65">
                  <c:v>41244</c:v>
                </c:pt>
                <c:pt idx="66">
                  <c:v>41275</c:v>
                </c:pt>
                <c:pt idx="67">
                  <c:v>41306</c:v>
                </c:pt>
                <c:pt idx="68">
                  <c:v>41334</c:v>
                </c:pt>
                <c:pt idx="69">
                  <c:v>41365</c:v>
                </c:pt>
                <c:pt idx="70">
                  <c:v>41395</c:v>
                </c:pt>
                <c:pt idx="71">
                  <c:v>41426</c:v>
                </c:pt>
                <c:pt idx="72">
                  <c:v>41456</c:v>
                </c:pt>
                <c:pt idx="73">
                  <c:v>41487</c:v>
                </c:pt>
                <c:pt idx="74">
                  <c:v>41518</c:v>
                </c:pt>
                <c:pt idx="75">
                  <c:v>41548</c:v>
                </c:pt>
                <c:pt idx="76">
                  <c:v>41579</c:v>
                </c:pt>
                <c:pt idx="77">
                  <c:v>41609</c:v>
                </c:pt>
                <c:pt idx="78">
                  <c:v>41640</c:v>
                </c:pt>
                <c:pt idx="79">
                  <c:v>41671</c:v>
                </c:pt>
                <c:pt idx="80">
                  <c:v>41699</c:v>
                </c:pt>
                <c:pt idx="81">
                  <c:v>41730</c:v>
                </c:pt>
                <c:pt idx="82">
                  <c:v>41760</c:v>
                </c:pt>
                <c:pt idx="83">
                  <c:v>41791</c:v>
                </c:pt>
                <c:pt idx="84">
                  <c:v>41821</c:v>
                </c:pt>
                <c:pt idx="85">
                  <c:v>41852</c:v>
                </c:pt>
                <c:pt idx="86">
                  <c:v>41883</c:v>
                </c:pt>
                <c:pt idx="87">
                  <c:v>41913</c:v>
                </c:pt>
                <c:pt idx="88">
                  <c:v>41944</c:v>
                </c:pt>
                <c:pt idx="89">
                  <c:v>41974</c:v>
                </c:pt>
                <c:pt idx="90">
                  <c:v>42005</c:v>
                </c:pt>
                <c:pt idx="91">
                  <c:v>42036</c:v>
                </c:pt>
                <c:pt idx="92">
                  <c:v>42064</c:v>
                </c:pt>
                <c:pt idx="93">
                  <c:v>42095</c:v>
                </c:pt>
                <c:pt idx="94">
                  <c:v>42125</c:v>
                </c:pt>
                <c:pt idx="95">
                  <c:v>42156</c:v>
                </c:pt>
                <c:pt idx="96">
                  <c:v>42186</c:v>
                </c:pt>
                <c:pt idx="97">
                  <c:v>42217</c:v>
                </c:pt>
                <c:pt idx="98">
                  <c:v>42248</c:v>
                </c:pt>
                <c:pt idx="99">
                  <c:v>42278</c:v>
                </c:pt>
                <c:pt idx="100">
                  <c:v>42309</c:v>
                </c:pt>
                <c:pt idx="101">
                  <c:v>42339</c:v>
                </c:pt>
                <c:pt idx="102">
                  <c:v>42370</c:v>
                </c:pt>
                <c:pt idx="103">
                  <c:v>42401</c:v>
                </c:pt>
                <c:pt idx="104">
                  <c:v>42430</c:v>
                </c:pt>
                <c:pt idx="105">
                  <c:v>42461</c:v>
                </c:pt>
                <c:pt idx="106">
                  <c:v>42491</c:v>
                </c:pt>
                <c:pt idx="107">
                  <c:v>42522</c:v>
                </c:pt>
                <c:pt idx="108">
                  <c:v>42552</c:v>
                </c:pt>
                <c:pt idx="109">
                  <c:v>42583</c:v>
                </c:pt>
                <c:pt idx="110">
                  <c:v>42614</c:v>
                </c:pt>
                <c:pt idx="111">
                  <c:v>42644</c:v>
                </c:pt>
                <c:pt idx="112">
                  <c:v>42675</c:v>
                </c:pt>
                <c:pt idx="113">
                  <c:v>42705</c:v>
                </c:pt>
                <c:pt idx="114">
                  <c:v>42736</c:v>
                </c:pt>
                <c:pt idx="115">
                  <c:v>42767</c:v>
                </c:pt>
                <c:pt idx="116">
                  <c:v>42795</c:v>
                </c:pt>
                <c:pt idx="117">
                  <c:v>42826</c:v>
                </c:pt>
                <c:pt idx="118">
                  <c:v>42856</c:v>
                </c:pt>
                <c:pt idx="119">
                  <c:v>42887</c:v>
                </c:pt>
                <c:pt idx="120">
                  <c:v>42917</c:v>
                </c:pt>
                <c:pt idx="121">
                  <c:v>42948</c:v>
                </c:pt>
                <c:pt idx="122">
                  <c:v>42979</c:v>
                </c:pt>
                <c:pt idx="123">
                  <c:v>43009</c:v>
                </c:pt>
                <c:pt idx="124">
                  <c:v>43040</c:v>
                </c:pt>
                <c:pt idx="125">
                  <c:v>43070</c:v>
                </c:pt>
                <c:pt idx="126">
                  <c:v>43101</c:v>
                </c:pt>
                <c:pt idx="127">
                  <c:v>43132</c:v>
                </c:pt>
                <c:pt idx="128">
                  <c:v>43160</c:v>
                </c:pt>
                <c:pt idx="129">
                  <c:v>43191</c:v>
                </c:pt>
                <c:pt idx="130">
                  <c:v>43221</c:v>
                </c:pt>
                <c:pt idx="131">
                  <c:v>43252</c:v>
                </c:pt>
                <c:pt idx="132">
                  <c:v>43282</c:v>
                </c:pt>
                <c:pt idx="133">
                  <c:v>43313</c:v>
                </c:pt>
                <c:pt idx="134">
                  <c:v>43344</c:v>
                </c:pt>
                <c:pt idx="135">
                  <c:v>43374</c:v>
                </c:pt>
                <c:pt idx="136">
                  <c:v>43405</c:v>
                </c:pt>
                <c:pt idx="137">
                  <c:v>43435</c:v>
                </c:pt>
                <c:pt idx="138">
                  <c:v>43466</c:v>
                </c:pt>
                <c:pt idx="139">
                  <c:v>43497</c:v>
                </c:pt>
                <c:pt idx="140">
                  <c:v>43525</c:v>
                </c:pt>
                <c:pt idx="141">
                  <c:v>43556</c:v>
                </c:pt>
                <c:pt idx="142">
                  <c:v>43586</c:v>
                </c:pt>
                <c:pt idx="143">
                  <c:v>43617</c:v>
                </c:pt>
                <c:pt idx="144">
                  <c:v>43647</c:v>
                </c:pt>
                <c:pt idx="145">
                  <c:v>43678</c:v>
                </c:pt>
                <c:pt idx="146">
                  <c:v>43709</c:v>
                </c:pt>
                <c:pt idx="147">
                  <c:v>43739</c:v>
                </c:pt>
                <c:pt idx="148">
                  <c:v>43770</c:v>
                </c:pt>
                <c:pt idx="149">
                  <c:v>43800</c:v>
                </c:pt>
                <c:pt idx="150">
                  <c:v>43831</c:v>
                </c:pt>
                <c:pt idx="151">
                  <c:v>43862</c:v>
                </c:pt>
                <c:pt idx="152">
                  <c:v>43891</c:v>
                </c:pt>
                <c:pt idx="153">
                  <c:v>43922</c:v>
                </c:pt>
                <c:pt idx="154">
                  <c:v>43952</c:v>
                </c:pt>
                <c:pt idx="155">
                  <c:v>43983</c:v>
                </c:pt>
                <c:pt idx="156">
                  <c:v>44013</c:v>
                </c:pt>
                <c:pt idx="157">
                  <c:v>44044</c:v>
                </c:pt>
                <c:pt idx="158">
                  <c:v>44075</c:v>
                </c:pt>
                <c:pt idx="159">
                  <c:v>44105</c:v>
                </c:pt>
                <c:pt idx="160">
                  <c:v>44136</c:v>
                </c:pt>
                <c:pt idx="161">
                  <c:v>44166</c:v>
                </c:pt>
                <c:pt idx="162">
                  <c:v>44197</c:v>
                </c:pt>
                <c:pt idx="163">
                  <c:v>44228</c:v>
                </c:pt>
                <c:pt idx="164">
                  <c:v>44256</c:v>
                </c:pt>
                <c:pt idx="165">
                  <c:v>44287</c:v>
                </c:pt>
                <c:pt idx="166">
                  <c:v>44317</c:v>
                </c:pt>
                <c:pt idx="167">
                  <c:v>44348</c:v>
                </c:pt>
                <c:pt idx="168">
                  <c:v>44378</c:v>
                </c:pt>
                <c:pt idx="169">
                  <c:v>44409</c:v>
                </c:pt>
                <c:pt idx="170">
                  <c:v>44440</c:v>
                </c:pt>
                <c:pt idx="171">
                  <c:v>44470</c:v>
                </c:pt>
                <c:pt idx="172">
                  <c:v>44501</c:v>
                </c:pt>
                <c:pt idx="173">
                  <c:v>44531</c:v>
                </c:pt>
                <c:pt idx="174">
                  <c:v>44562</c:v>
                </c:pt>
                <c:pt idx="175">
                  <c:v>44593</c:v>
                </c:pt>
                <c:pt idx="176">
                  <c:v>44621</c:v>
                </c:pt>
                <c:pt idx="177">
                  <c:v>44652</c:v>
                </c:pt>
                <c:pt idx="178">
                  <c:v>44682</c:v>
                </c:pt>
                <c:pt idx="179">
                  <c:v>44713</c:v>
                </c:pt>
                <c:pt idx="180">
                  <c:v>44743</c:v>
                </c:pt>
                <c:pt idx="181">
                  <c:v>44774</c:v>
                </c:pt>
                <c:pt idx="182">
                  <c:v>44805</c:v>
                </c:pt>
                <c:pt idx="183">
                  <c:v>44835</c:v>
                </c:pt>
                <c:pt idx="184">
                  <c:v>44866</c:v>
                </c:pt>
                <c:pt idx="185">
                  <c:v>44896</c:v>
                </c:pt>
                <c:pt idx="186">
                  <c:v>44927</c:v>
                </c:pt>
                <c:pt idx="187">
                  <c:v>44958</c:v>
                </c:pt>
                <c:pt idx="188">
                  <c:v>44986</c:v>
                </c:pt>
                <c:pt idx="189">
                  <c:v>45017</c:v>
                </c:pt>
                <c:pt idx="190">
                  <c:v>45047</c:v>
                </c:pt>
                <c:pt idx="191">
                  <c:v>45078</c:v>
                </c:pt>
                <c:pt idx="192">
                  <c:v>45108</c:v>
                </c:pt>
                <c:pt idx="193">
                  <c:v>45139</c:v>
                </c:pt>
                <c:pt idx="194">
                  <c:v>45170</c:v>
                </c:pt>
                <c:pt idx="195">
                  <c:v>45200</c:v>
                </c:pt>
                <c:pt idx="196">
                  <c:v>45231</c:v>
                </c:pt>
                <c:pt idx="197">
                  <c:v>45261</c:v>
                </c:pt>
                <c:pt idx="198">
                  <c:v>45292</c:v>
                </c:pt>
              </c:numCache>
            </c:numRef>
          </c:cat>
          <c:val>
            <c:numRef>
              <c:f>EZ!$B$2:$B$200</c:f>
              <c:numCache>
                <c:formatCode>0.0</c:formatCode>
                <c:ptCount val="199"/>
                <c:pt idx="0">
                  <c:v>58.3</c:v>
                </c:pt>
                <c:pt idx="1">
                  <c:v>58</c:v>
                </c:pt>
                <c:pt idx="2">
                  <c:v>54.2</c:v>
                </c:pt>
                <c:pt idx="3">
                  <c:v>55.8</c:v>
                </c:pt>
                <c:pt idx="4">
                  <c:v>54.1</c:v>
                </c:pt>
                <c:pt idx="5">
                  <c:v>53.1</c:v>
                </c:pt>
                <c:pt idx="6">
                  <c:v>50.6</c:v>
                </c:pt>
                <c:pt idx="7">
                  <c:v>51.7</c:v>
                </c:pt>
                <c:pt idx="8">
                  <c:v>51.6</c:v>
                </c:pt>
                <c:pt idx="9">
                  <c:v>52</c:v>
                </c:pt>
                <c:pt idx="10">
                  <c:v>50.6</c:v>
                </c:pt>
                <c:pt idx="11">
                  <c:v>49.1</c:v>
                </c:pt>
                <c:pt idx="12">
                  <c:v>48.3</c:v>
                </c:pt>
                <c:pt idx="13">
                  <c:v>48.5</c:v>
                </c:pt>
                <c:pt idx="14">
                  <c:v>48.4</c:v>
                </c:pt>
                <c:pt idx="15">
                  <c:v>45.8</c:v>
                </c:pt>
                <c:pt idx="16">
                  <c:v>42.5</c:v>
                </c:pt>
                <c:pt idx="17">
                  <c:v>42.3</c:v>
                </c:pt>
                <c:pt idx="18">
                  <c:v>42.2</c:v>
                </c:pt>
                <c:pt idx="19">
                  <c:v>39.200000000000003</c:v>
                </c:pt>
                <c:pt idx="20">
                  <c:v>40.9</c:v>
                </c:pt>
                <c:pt idx="21">
                  <c:v>43.8</c:v>
                </c:pt>
                <c:pt idx="22">
                  <c:v>44.8</c:v>
                </c:pt>
                <c:pt idx="23">
                  <c:v>44.7</c:v>
                </c:pt>
                <c:pt idx="24">
                  <c:v>45.7</c:v>
                </c:pt>
                <c:pt idx="25">
                  <c:v>49.9</c:v>
                </c:pt>
                <c:pt idx="26">
                  <c:v>50.9</c:v>
                </c:pt>
                <c:pt idx="27">
                  <c:v>52.6</c:v>
                </c:pt>
                <c:pt idx="28">
                  <c:v>53</c:v>
                </c:pt>
                <c:pt idx="29">
                  <c:v>52.9</c:v>
                </c:pt>
                <c:pt idx="30">
                  <c:v>52.5</c:v>
                </c:pt>
                <c:pt idx="31">
                  <c:v>51.8</c:v>
                </c:pt>
                <c:pt idx="32">
                  <c:v>54.1</c:v>
                </c:pt>
                <c:pt idx="33">
                  <c:v>55.6</c:v>
                </c:pt>
                <c:pt idx="34">
                  <c:v>56.2</c:v>
                </c:pt>
                <c:pt idx="35">
                  <c:v>55.5</c:v>
                </c:pt>
                <c:pt idx="36">
                  <c:v>55.8</c:v>
                </c:pt>
                <c:pt idx="37">
                  <c:v>55.9</c:v>
                </c:pt>
                <c:pt idx="38">
                  <c:v>54.1</c:v>
                </c:pt>
                <c:pt idx="39">
                  <c:v>53.3</c:v>
                </c:pt>
                <c:pt idx="40">
                  <c:v>55.4</c:v>
                </c:pt>
                <c:pt idx="41">
                  <c:v>56.5</c:v>
                </c:pt>
                <c:pt idx="42">
                  <c:v>55.9</c:v>
                </c:pt>
                <c:pt idx="43">
                  <c:v>56.8</c:v>
                </c:pt>
                <c:pt idx="44">
                  <c:v>57.2</c:v>
                </c:pt>
                <c:pt idx="45">
                  <c:v>56.7</c:v>
                </c:pt>
                <c:pt idx="46">
                  <c:v>55.4</c:v>
                </c:pt>
                <c:pt idx="47">
                  <c:v>53.7</c:v>
                </c:pt>
                <c:pt idx="48">
                  <c:v>51.6</c:v>
                </c:pt>
                <c:pt idx="49">
                  <c:v>51.5</c:v>
                </c:pt>
                <c:pt idx="50">
                  <c:v>48.8</c:v>
                </c:pt>
                <c:pt idx="51">
                  <c:v>46.4</c:v>
                </c:pt>
                <c:pt idx="52">
                  <c:v>47.5</c:v>
                </c:pt>
                <c:pt idx="53">
                  <c:v>48.8</c:v>
                </c:pt>
                <c:pt idx="54">
                  <c:v>50.4</c:v>
                </c:pt>
                <c:pt idx="55">
                  <c:v>48.8</c:v>
                </c:pt>
                <c:pt idx="56">
                  <c:v>47.9</c:v>
                </c:pt>
                <c:pt idx="57">
                  <c:v>46.9</c:v>
                </c:pt>
                <c:pt idx="58">
                  <c:v>46.7</c:v>
                </c:pt>
                <c:pt idx="59">
                  <c:v>47.1</c:v>
                </c:pt>
                <c:pt idx="60">
                  <c:v>47.9</c:v>
                </c:pt>
                <c:pt idx="61">
                  <c:v>47.2</c:v>
                </c:pt>
                <c:pt idx="62">
                  <c:v>46.1</c:v>
                </c:pt>
                <c:pt idx="63">
                  <c:v>46</c:v>
                </c:pt>
                <c:pt idx="64">
                  <c:v>46.7</c:v>
                </c:pt>
                <c:pt idx="65">
                  <c:v>47.2</c:v>
                </c:pt>
                <c:pt idx="66">
                  <c:v>48.6</c:v>
                </c:pt>
                <c:pt idx="67">
                  <c:v>47.9</c:v>
                </c:pt>
                <c:pt idx="68">
                  <c:v>46.4</c:v>
                </c:pt>
                <c:pt idx="69">
                  <c:v>47</c:v>
                </c:pt>
                <c:pt idx="70">
                  <c:v>47.2</c:v>
                </c:pt>
                <c:pt idx="71">
                  <c:v>48.3</c:v>
                </c:pt>
                <c:pt idx="72">
                  <c:v>49.8</c:v>
                </c:pt>
                <c:pt idx="73">
                  <c:v>50.7</c:v>
                </c:pt>
                <c:pt idx="74">
                  <c:v>52.2</c:v>
                </c:pt>
                <c:pt idx="75">
                  <c:v>51.6</c:v>
                </c:pt>
                <c:pt idx="76">
                  <c:v>51.2</c:v>
                </c:pt>
                <c:pt idx="77">
                  <c:v>51</c:v>
                </c:pt>
                <c:pt idx="78">
                  <c:v>51.6</c:v>
                </c:pt>
                <c:pt idx="79">
                  <c:v>52.6</c:v>
                </c:pt>
                <c:pt idx="80">
                  <c:v>52.2</c:v>
                </c:pt>
                <c:pt idx="81">
                  <c:v>53.1</c:v>
                </c:pt>
                <c:pt idx="82">
                  <c:v>53.2</c:v>
                </c:pt>
                <c:pt idx="83">
                  <c:v>52.8</c:v>
                </c:pt>
                <c:pt idx="84">
                  <c:v>54.2</c:v>
                </c:pt>
                <c:pt idx="85">
                  <c:v>53.1</c:v>
                </c:pt>
                <c:pt idx="86">
                  <c:v>52.4</c:v>
                </c:pt>
                <c:pt idx="87">
                  <c:v>52.3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5-45FC-A0CA-160A02B2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0896"/>
        <c:axId val="37035328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EZ!$B$2:$B$200</c:f>
              <c:numCache>
                <c:formatCode>0.0</c:formatCode>
                <c:ptCount val="199"/>
                <c:pt idx="0">
                  <c:v>58.3</c:v>
                </c:pt>
                <c:pt idx="1">
                  <c:v>58</c:v>
                </c:pt>
                <c:pt idx="2">
                  <c:v>54.2</c:v>
                </c:pt>
                <c:pt idx="3">
                  <c:v>55.8</c:v>
                </c:pt>
                <c:pt idx="4">
                  <c:v>54.1</c:v>
                </c:pt>
                <c:pt idx="5">
                  <c:v>53.1</c:v>
                </c:pt>
                <c:pt idx="6">
                  <c:v>50.6</c:v>
                </c:pt>
                <c:pt idx="7">
                  <c:v>51.7</c:v>
                </c:pt>
                <c:pt idx="8">
                  <c:v>51.6</c:v>
                </c:pt>
                <c:pt idx="9">
                  <c:v>52</c:v>
                </c:pt>
                <c:pt idx="10">
                  <c:v>50.6</c:v>
                </c:pt>
                <c:pt idx="11">
                  <c:v>49.1</c:v>
                </c:pt>
                <c:pt idx="12">
                  <c:v>48.3</c:v>
                </c:pt>
                <c:pt idx="13">
                  <c:v>48.5</c:v>
                </c:pt>
                <c:pt idx="14">
                  <c:v>48.4</c:v>
                </c:pt>
                <c:pt idx="15">
                  <c:v>45.8</c:v>
                </c:pt>
                <c:pt idx="16">
                  <c:v>42.5</c:v>
                </c:pt>
                <c:pt idx="17">
                  <c:v>42.3</c:v>
                </c:pt>
                <c:pt idx="18">
                  <c:v>42.2</c:v>
                </c:pt>
                <c:pt idx="19">
                  <c:v>39.200000000000003</c:v>
                </c:pt>
                <c:pt idx="20">
                  <c:v>40.9</c:v>
                </c:pt>
                <c:pt idx="21">
                  <c:v>43.8</c:v>
                </c:pt>
                <c:pt idx="22">
                  <c:v>44.8</c:v>
                </c:pt>
                <c:pt idx="23">
                  <c:v>44.7</c:v>
                </c:pt>
                <c:pt idx="24">
                  <c:v>45.7</c:v>
                </c:pt>
                <c:pt idx="25">
                  <c:v>49.9</c:v>
                </c:pt>
                <c:pt idx="26">
                  <c:v>50.9</c:v>
                </c:pt>
                <c:pt idx="27">
                  <c:v>52.6</c:v>
                </c:pt>
                <c:pt idx="28">
                  <c:v>53</c:v>
                </c:pt>
                <c:pt idx="29">
                  <c:v>52.9</c:v>
                </c:pt>
                <c:pt idx="30">
                  <c:v>52.5</c:v>
                </c:pt>
                <c:pt idx="31">
                  <c:v>51.8</c:v>
                </c:pt>
                <c:pt idx="32">
                  <c:v>54.1</c:v>
                </c:pt>
                <c:pt idx="33">
                  <c:v>55.6</c:v>
                </c:pt>
                <c:pt idx="34">
                  <c:v>56.2</c:v>
                </c:pt>
                <c:pt idx="35">
                  <c:v>55.5</c:v>
                </c:pt>
                <c:pt idx="36">
                  <c:v>55.8</c:v>
                </c:pt>
                <c:pt idx="37">
                  <c:v>55.9</c:v>
                </c:pt>
                <c:pt idx="38">
                  <c:v>54.1</c:v>
                </c:pt>
                <c:pt idx="39">
                  <c:v>53.3</c:v>
                </c:pt>
                <c:pt idx="40">
                  <c:v>55.4</c:v>
                </c:pt>
                <c:pt idx="41">
                  <c:v>56.5</c:v>
                </c:pt>
                <c:pt idx="42">
                  <c:v>55.9</c:v>
                </c:pt>
                <c:pt idx="43">
                  <c:v>56.8</c:v>
                </c:pt>
                <c:pt idx="44">
                  <c:v>57.2</c:v>
                </c:pt>
                <c:pt idx="45">
                  <c:v>56.7</c:v>
                </c:pt>
                <c:pt idx="46">
                  <c:v>55.4</c:v>
                </c:pt>
                <c:pt idx="47">
                  <c:v>53.7</c:v>
                </c:pt>
                <c:pt idx="48">
                  <c:v>51.6</c:v>
                </c:pt>
                <c:pt idx="49">
                  <c:v>51.5</c:v>
                </c:pt>
                <c:pt idx="50">
                  <c:v>48.8</c:v>
                </c:pt>
                <c:pt idx="51">
                  <c:v>46.4</c:v>
                </c:pt>
                <c:pt idx="52">
                  <c:v>47.5</c:v>
                </c:pt>
                <c:pt idx="53">
                  <c:v>48.8</c:v>
                </c:pt>
                <c:pt idx="54">
                  <c:v>50.4</c:v>
                </c:pt>
                <c:pt idx="55">
                  <c:v>48.8</c:v>
                </c:pt>
                <c:pt idx="56">
                  <c:v>47.9</c:v>
                </c:pt>
                <c:pt idx="57">
                  <c:v>46.9</c:v>
                </c:pt>
                <c:pt idx="58">
                  <c:v>46.7</c:v>
                </c:pt>
                <c:pt idx="59">
                  <c:v>47.1</c:v>
                </c:pt>
                <c:pt idx="60">
                  <c:v>47.9</c:v>
                </c:pt>
                <c:pt idx="61">
                  <c:v>47.2</c:v>
                </c:pt>
                <c:pt idx="62">
                  <c:v>46.1</c:v>
                </c:pt>
                <c:pt idx="63">
                  <c:v>46</c:v>
                </c:pt>
                <c:pt idx="64">
                  <c:v>46.7</c:v>
                </c:pt>
                <c:pt idx="65">
                  <c:v>47.2</c:v>
                </c:pt>
                <c:pt idx="66">
                  <c:v>48.6</c:v>
                </c:pt>
                <c:pt idx="67">
                  <c:v>47.9</c:v>
                </c:pt>
                <c:pt idx="68">
                  <c:v>46.4</c:v>
                </c:pt>
                <c:pt idx="69">
                  <c:v>47</c:v>
                </c:pt>
                <c:pt idx="70">
                  <c:v>47.2</c:v>
                </c:pt>
                <c:pt idx="71">
                  <c:v>48.3</c:v>
                </c:pt>
                <c:pt idx="72">
                  <c:v>49.8</c:v>
                </c:pt>
                <c:pt idx="73">
                  <c:v>50.7</c:v>
                </c:pt>
                <c:pt idx="74">
                  <c:v>52.2</c:v>
                </c:pt>
                <c:pt idx="75">
                  <c:v>51.6</c:v>
                </c:pt>
                <c:pt idx="76">
                  <c:v>51.2</c:v>
                </c:pt>
                <c:pt idx="77">
                  <c:v>51</c:v>
                </c:pt>
                <c:pt idx="78">
                  <c:v>51.6</c:v>
                </c:pt>
                <c:pt idx="79">
                  <c:v>52.6</c:v>
                </c:pt>
                <c:pt idx="80">
                  <c:v>52.2</c:v>
                </c:pt>
                <c:pt idx="81">
                  <c:v>53.1</c:v>
                </c:pt>
                <c:pt idx="82">
                  <c:v>53.2</c:v>
                </c:pt>
                <c:pt idx="83">
                  <c:v>52.8</c:v>
                </c:pt>
                <c:pt idx="84">
                  <c:v>54.2</c:v>
                </c:pt>
                <c:pt idx="85">
                  <c:v>53.1</c:v>
                </c:pt>
                <c:pt idx="86">
                  <c:v>52.4</c:v>
                </c:pt>
                <c:pt idx="87">
                  <c:v>52.3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5-45FC-A0CA-160A02B2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40896"/>
        <c:axId val="370353280"/>
      </c:lineChart>
      <c:dateAx>
        <c:axId val="370240896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353280"/>
        <c:crossesAt val="50"/>
        <c:auto val="1"/>
        <c:lblOffset val="100"/>
        <c:baseTimeUnit val="months"/>
        <c:majorUnit val="1"/>
        <c:majorTimeUnit val="years"/>
      </c:dateAx>
      <c:valAx>
        <c:axId val="370353280"/>
        <c:scaling>
          <c:orientation val="minMax"/>
          <c:max val="60"/>
          <c:min val="3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40896"/>
        <c:crosses val="autoZero"/>
        <c:crossBetween val="between"/>
        <c:majorUnit val="5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81E-2"/>
          <c:y val="0.13663060292737222"/>
          <c:w val="0.2370180345947939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Service PMI</a:t>
            </a:r>
            <a:r>
              <a:rPr lang="en-US" baseline="0"/>
              <a:t> vs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EZ!$B$1</c:f>
              <c:strCache>
                <c:ptCount val="1"/>
                <c:pt idx="0">
                  <c:v>Euro-Zone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EZ!$A$2:$A$200</c:f>
              <c:numCache>
                <c:formatCode>mmm\-yy</c:formatCode>
                <c:ptCount val="199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  <c:pt idx="32">
                  <c:v>40238</c:v>
                </c:pt>
                <c:pt idx="33">
                  <c:v>40269</c:v>
                </c:pt>
                <c:pt idx="34">
                  <c:v>40299</c:v>
                </c:pt>
                <c:pt idx="35">
                  <c:v>40330</c:v>
                </c:pt>
                <c:pt idx="36">
                  <c:v>40360</c:v>
                </c:pt>
                <c:pt idx="37">
                  <c:v>40391</c:v>
                </c:pt>
                <c:pt idx="38">
                  <c:v>40422</c:v>
                </c:pt>
                <c:pt idx="39">
                  <c:v>40452</c:v>
                </c:pt>
                <c:pt idx="40">
                  <c:v>40483</c:v>
                </c:pt>
                <c:pt idx="41">
                  <c:v>40513</c:v>
                </c:pt>
                <c:pt idx="42">
                  <c:v>40544</c:v>
                </c:pt>
                <c:pt idx="43">
                  <c:v>40575</c:v>
                </c:pt>
                <c:pt idx="44">
                  <c:v>40603</c:v>
                </c:pt>
                <c:pt idx="45">
                  <c:v>40634</c:v>
                </c:pt>
                <c:pt idx="46">
                  <c:v>40664</c:v>
                </c:pt>
                <c:pt idx="47">
                  <c:v>40695</c:v>
                </c:pt>
                <c:pt idx="48">
                  <c:v>40725</c:v>
                </c:pt>
                <c:pt idx="49">
                  <c:v>40756</c:v>
                </c:pt>
                <c:pt idx="50">
                  <c:v>40787</c:v>
                </c:pt>
                <c:pt idx="51">
                  <c:v>40817</c:v>
                </c:pt>
                <c:pt idx="52">
                  <c:v>40848</c:v>
                </c:pt>
                <c:pt idx="53">
                  <c:v>40878</c:v>
                </c:pt>
                <c:pt idx="54">
                  <c:v>40909</c:v>
                </c:pt>
                <c:pt idx="55">
                  <c:v>40940</c:v>
                </c:pt>
                <c:pt idx="56">
                  <c:v>40969</c:v>
                </c:pt>
                <c:pt idx="57">
                  <c:v>41000</c:v>
                </c:pt>
                <c:pt idx="58">
                  <c:v>41030</c:v>
                </c:pt>
                <c:pt idx="59">
                  <c:v>41061</c:v>
                </c:pt>
                <c:pt idx="60">
                  <c:v>41091</c:v>
                </c:pt>
                <c:pt idx="61">
                  <c:v>41122</c:v>
                </c:pt>
                <c:pt idx="62">
                  <c:v>41153</c:v>
                </c:pt>
                <c:pt idx="63">
                  <c:v>41183</c:v>
                </c:pt>
                <c:pt idx="64">
                  <c:v>41214</c:v>
                </c:pt>
                <c:pt idx="65">
                  <c:v>41244</c:v>
                </c:pt>
                <c:pt idx="66">
                  <c:v>41275</c:v>
                </c:pt>
                <c:pt idx="67">
                  <c:v>41306</c:v>
                </c:pt>
                <c:pt idx="68">
                  <c:v>41334</c:v>
                </c:pt>
                <c:pt idx="69">
                  <c:v>41365</c:v>
                </c:pt>
                <c:pt idx="70">
                  <c:v>41395</c:v>
                </c:pt>
                <c:pt idx="71">
                  <c:v>41426</c:v>
                </c:pt>
                <c:pt idx="72">
                  <c:v>41456</c:v>
                </c:pt>
                <c:pt idx="73">
                  <c:v>41487</c:v>
                </c:pt>
                <c:pt idx="74">
                  <c:v>41518</c:v>
                </c:pt>
                <c:pt idx="75">
                  <c:v>41548</c:v>
                </c:pt>
                <c:pt idx="76">
                  <c:v>41579</c:v>
                </c:pt>
                <c:pt idx="77">
                  <c:v>41609</c:v>
                </c:pt>
                <c:pt idx="78">
                  <c:v>41640</c:v>
                </c:pt>
                <c:pt idx="79">
                  <c:v>41671</c:v>
                </c:pt>
                <c:pt idx="80">
                  <c:v>41699</c:v>
                </c:pt>
                <c:pt idx="81">
                  <c:v>41730</c:v>
                </c:pt>
                <c:pt idx="82">
                  <c:v>41760</c:v>
                </c:pt>
                <c:pt idx="83">
                  <c:v>41791</c:v>
                </c:pt>
                <c:pt idx="84">
                  <c:v>41821</c:v>
                </c:pt>
                <c:pt idx="85">
                  <c:v>41852</c:v>
                </c:pt>
                <c:pt idx="86">
                  <c:v>41883</c:v>
                </c:pt>
                <c:pt idx="87">
                  <c:v>41913</c:v>
                </c:pt>
                <c:pt idx="88">
                  <c:v>41944</c:v>
                </c:pt>
                <c:pt idx="89">
                  <c:v>41974</c:v>
                </c:pt>
                <c:pt idx="90">
                  <c:v>42005</c:v>
                </c:pt>
                <c:pt idx="91">
                  <c:v>42036</c:v>
                </c:pt>
                <c:pt idx="92">
                  <c:v>42064</c:v>
                </c:pt>
                <c:pt idx="93">
                  <c:v>42095</c:v>
                </c:pt>
                <c:pt idx="94">
                  <c:v>42125</c:v>
                </c:pt>
                <c:pt idx="95">
                  <c:v>42156</c:v>
                </c:pt>
                <c:pt idx="96">
                  <c:v>42186</c:v>
                </c:pt>
                <c:pt idx="97">
                  <c:v>42217</c:v>
                </c:pt>
                <c:pt idx="98">
                  <c:v>42248</c:v>
                </c:pt>
                <c:pt idx="99">
                  <c:v>42278</c:v>
                </c:pt>
                <c:pt idx="100">
                  <c:v>42309</c:v>
                </c:pt>
                <c:pt idx="101">
                  <c:v>42339</c:v>
                </c:pt>
                <c:pt idx="102">
                  <c:v>42370</c:v>
                </c:pt>
                <c:pt idx="103">
                  <c:v>42401</c:v>
                </c:pt>
                <c:pt idx="104">
                  <c:v>42430</c:v>
                </c:pt>
                <c:pt idx="105">
                  <c:v>42461</c:v>
                </c:pt>
                <c:pt idx="106">
                  <c:v>42491</c:v>
                </c:pt>
                <c:pt idx="107">
                  <c:v>42522</c:v>
                </c:pt>
                <c:pt idx="108">
                  <c:v>42552</c:v>
                </c:pt>
                <c:pt idx="109">
                  <c:v>42583</c:v>
                </c:pt>
                <c:pt idx="110">
                  <c:v>42614</c:v>
                </c:pt>
                <c:pt idx="111">
                  <c:v>42644</c:v>
                </c:pt>
                <c:pt idx="112">
                  <c:v>42675</c:v>
                </c:pt>
                <c:pt idx="113">
                  <c:v>42705</c:v>
                </c:pt>
                <c:pt idx="114">
                  <c:v>42736</c:v>
                </c:pt>
                <c:pt idx="115">
                  <c:v>42767</c:v>
                </c:pt>
                <c:pt idx="116">
                  <c:v>42795</c:v>
                </c:pt>
                <c:pt idx="117">
                  <c:v>42826</c:v>
                </c:pt>
                <c:pt idx="118">
                  <c:v>42856</c:v>
                </c:pt>
                <c:pt idx="119">
                  <c:v>42887</c:v>
                </c:pt>
                <c:pt idx="120">
                  <c:v>42917</c:v>
                </c:pt>
                <c:pt idx="121">
                  <c:v>42948</c:v>
                </c:pt>
                <c:pt idx="122">
                  <c:v>42979</c:v>
                </c:pt>
                <c:pt idx="123">
                  <c:v>43009</c:v>
                </c:pt>
                <c:pt idx="124">
                  <c:v>43040</c:v>
                </c:pt>
                <c:pt idx="125">
                  <c:v>43070</c:v>
                </c:pt>
                <c:pt idx="126">
                  <c:v>43101</c:v>
                </c:pt>
                <c:pt idx="127">
                  <c:v>43132</c:v>
                </c:pt>
                <c:pt idx="128">
                  <c:v>43160</c:v>
                </c:pt>
                <c:pt idx="129">
                  <c:v>43191</c:v>
                </c:pt>
                <c:pt idx="130">
                  <c:v>43221</c:v>
                </c:pt>
                <c:pt idx="131">
                  <c:v>43252</c:v>
                </c:pt>
                <c:pt idx="132">
                  <c:v>43282</c:v>
                </c:pt>
                <c:pt idx="133">
                  <c:v>43313</c:v>
                </c:pt>
                <c:pt idx="134">
                  <c:v>43344</c:v>
                </c:pt>
                <c:pt idx="135">
                  <c:v>43374</c:v>
                </c:pt>
                <c:pt idx="136">
                  <c:v>43405</c:v>
                </c:pt>
                <c:pt idx="137">
                  <c:v>43435</c:v>
                </c:pt>
                <c:pt idx="138">
                  <c:v>43466</c:v>
                </c:pt>
                <c:pt idx="139">
                  <c:v>43497</c:v>
                </c:pt>
                <c:pt idx="140">
                  <c:v>43525</c:v>
                </c:pt>
                <c:pt idx="141">
                  <c:v>43556</c:v>
                </c:pt>
                <c:pt idx="142">
                  <c:v>43586</c:v>
                </c:pt>
                <c:pt idx="143">
                  <c:v>43617</c:v>
                </c:pt>
                <c:pt idx="144">
                  <c:v>43647</c:v>
                </c:pt>
                <c:pt idx="145">
                  <c:v>43678</c:v>
                </c:pt>
                <c:pt idx="146">
                  <c:v>43709</c:v>
                </c:pt>
                <c:pt idx="147">
                  <c:v>43739</c:v>
                </c:pt>
                <c:pt idx="148">
                  <c:v>43770</c:v>
                </c:pt>
                <c:pt idx="149">
                  <c:v>43800</c:v>
                </c:pt>
                <c:pt idx="150">
                  <c:v>43831</c:v>
                </c:pt>
                <c:pt idx="151">
                  <c:v>43862</c:v>
                </c:pt>
                <c:pt idx="152">
                  <c:v>43891</c:v>
                </c:pt>
                <c:pt idx="153">
                  <c:v>43922</c:v>
                </c:pt>
                <c:pt idx="154">
                  <c:v>43952</c:v>
                </c:pt>
                <c:pt idx="155">
                  <c:v>43983</c:v>
                </c:pt>
                <c:pt idx="156">
                  <c:v>44013</c:v>
                </c:pt>
                <c:pt idx="157">
                  <c:v>44044</c:v>
                </c:pt>
                <c:pt idx="158">
                  <c:v>44075</c:v>
                </c:pt>
                <c:pt idx="159">
                  <c:v>44105</c:v>
                </c:pt>
                <c:pt idx="160">
                  <c:v>44136</c:v>
                </c:pt>
                <c:pt idx="161">
                  <c:v>44166</c:v>
                </c:pt>
                <c:pt idx="162">
                  <c:v>44197</c:v>
                </c:pt>
                <c:pt idx="163">
                  <c:v>44228</c:v>
                </c:pt>
                <c:pt idx="164">
                  <c:v>44256</c:v>
                </c:pt>
                <c:pt idx="165">
                  <c:v>44287</c:v>
                </c:pt>
                <c:pt idx="166">
                  <c:v>44317</c:v>
                </c:pt>
                <c:pt idx="167">
                  <c:v>44348</c:v>
                </c:pt>
                <c:pt idx="168">
                  <c:v>44378</c:v>
                </c:pt>
                <c:pt idx="169">
                  <c:v>44409</c:v>
                </c:pt>
                <c:pt idx="170">
                  <c:v>44440</c:v>
                </c:pt>
                <c:pt idx="171">
                  <c:v>44470</c:v>
                </c:pt>
                <c:pt idx="172">
                  <c:v>44501</c:v>
                </c:pt>
                <c:pt idx="173">
                  <c:v>44531</c:v>
                </c:pt>
                <c:pt idx="174">
                  <c:v>44562</c:v>
                </c:pt>
                <c:pt idx="175">
                  <c:v>44593</c:v>
                </c:pt>
                <c:pt idx="176">
                  <c:v>44621</c:v>
                </c:pt>
                <c:pt idx="177">
                  <c:v>44652</c:v>
                </c:pt>
                <c:pt idx="178">
                  <c:v>44682</c:v>
                </c:pt>
                <c:pt idx="179">
                  <c:v>44713</c:v>
                </c:pt>
                <c:pt idx="180">
                  <c:v>44743</c:v>
                </c:pt>
                <c:pt idx="181">
                  <c:v>44774</c:v>
                </c:pt>
                <c:pt idx="182">
                  <c:v>44805</c:v>
                </c:pt>
                <c:pt idx="183">
                  <c:v>44835</c:v>
                </c:pt>
                <c:pt idx="184">
                  <c:v>44866</c:v>
                </c:pt>
                <c:pt idx="185">
                  <c:v>44896</c:v>
                </c:pt>
                <c:pt idx="186">
                  <c:v>44927</c:v>
                </c:pt>
                <c:pt idx="187">
                  <c:v>44958</c:v>
                </c:pt>
                <c:pt idx="188">
                  <c:v>44986</c:v>
                </c:pt>
                <c:pt idx="189">
                  <c:v>45017</c:v>
                </c:pt>
                <c:pt idx="190">
                  <c:v>45047</c:v>
                </c:pt>
                <c:pt idx="191">
                  <c:v>45078</c:v>
                </c:pt>
                <c:pt idx="192">
                  <c:v>45108</c:v>
                </c:pt>
                <c:pt idx="193">
                  <c:v>45139</c:v>
                </c:pt>
                <c:pt idx="194">
                  <c:v>45170</c:v>
                </c:pt>
                <c:pt idx="195">
                  <c:v>45200</c:v>
                </c:pt>
                <c:pt idx="196">
                  <c:v>45231</c:v>
                </c:pt>
                <c:pt idx="197">
                  <c:v>45261</c:v>
                </c:pt>
                <c:pt idx="198">
                  <c:v>45292</c:v>
                </c:pt>
              </c:numCache>
            </c:numRef>
          </c:cat>
          <c:val>
            <c:numRef>
              <c:f>EZ!$B$2:$B$200</c:f>
              <c:numCache>
                <c:formatCode>0.0</c:formatCode>
                <c:ptCount val="199"/>
                <c:pt idx="0">
                  <c:v>58.3</c:v>
                </c:pt>
                <c:pt idx="1">
                  <c:v>58</c:v>
                </c:pt>
                <c:pt idx="2">
                  <c:v>54.2</c:v>
                </c:pt>
                <c:pt idx="3">
                  <c:v>55.8</c:v>
                </c:pt>
                <c:pt idx="4">
                  <c:v>54.1</c:v>
                </c:pt>
                <c:pt idx="5">
                  <c:v>53.1</c:v>
                </c:pt>
                <c:pt idx="6">
                  <c:v>50.6</c:v>
                </c:pt>
                <c:pt idx="7">
                  <c:v>51.7</c:v>
                </c:pt>
                <c:pt idx="8">
                  <c:v>51.6</c:v>
                </c:pt>
                <c:pt idx="9">
                  <c:v>52</c:v>
                </c:pt>
                <c:pt idx="10">
                  <c:v>50.6</c:v>
                </c:pt>
                <c:pt idx="11">
                  <c:v>49.1</c:v>
                </c:pt>
                <c:pt idx="12">
                  <c:v>48.3</c:v>
                </c:pt>
                <c:pt idx="13">
                  <c:v>48.5</c:v>
                </c:pt>
                <c:pt idx="14">
                  <c:v>48.4</c:v>
                </c:pt>
                <c:pt idx="15">
                  <c:v>45.8</c:v>
                </c:pt>
                <c:pt idx="16">
                  <c:v>42.5</c:v>
                </c:pt>
                <c:pt idx="17">
                  <c:v>42.3</c:v>
                </c:pt>
                <c:pt idx="18">
                  <c:v>42.2</c:v>
                </c:pt>
                <c:pt idx="19">
                  <c:v>39.200000000000003</c:v>
                </c:pt>
                <c:pt idx="20">
                  <c:v>40.9</c:v>
                </c:pt>
                <c:pt idx="21">
                  <c:v>43.8</c:v>
                </c:pt>
                <c:pt idx="22">
                  <c:v>44.8</c:v>
                </c:pt>
                <c:pt idx="23">
                  <c:v>44.7</c:v>
                </c:pt>
                <c:pt idx="24">
                  <c:v>45.7</c:v>
                </c:pt>
                <c:pt idx="25">
                  <c:v>49.9</c:v>
                </c:pt>
                <c:pt idx="26">
                  <c:v>50.9</c:v>
                </c:pt>
                <c:pt idx="27">
                  <c:v>52.6</c:v>
                </c:pt>
                <c:pt idx="28">
                  <c:v>53</c:v>
                </c:pt>
                <c:pt idx="29">
                  <c:v>52.9</c:v>
                </c:pt>
                <c:pt idx="30">
                  <c:v>52.5</c:v>
                </c:pt>
                <c:pt idx="31">
                  <c:v>51.8</c:v>
                </c:pt>
                <c:pt idx="32">
                  <c:v>54.1</c:v>
                </c:pt>
                <c:pt idx="33">
                  <c:v>55.6</c:v>
                </c:pt>
                <c:pt idx="34">
                  <c:v>56.2</c:v>
                </c:pt>
                <c:pt idx="35">
                  <c:v>55.5</c:v>
                </c:pt>
                <c:pt idx="36">
                  <c:v>55.8</c:v>
                </c:pt>
                <c:pt idx="37">
                  <c:v>55.9</c:v>
                </c:pt>
                <c:pt idx="38">
                  <c:v>54.1</c:v>
                </c:pt>
                <c:pt idx="39">
                  <c:v>53.3</c:v>
                </c:pt>
                <c:pt idx="40">
                  <c:v>55.4</c:v>
                </c:pt>
                <c:pt idx="41">
                  <c:v>56.5</c:v>
                </c:pt>
                <c:pt idx="42">
                  <c:v>55.9</c:v>
                </c:pt>
                <c:pt idx="43">
                  <c:v>56.8</c:v>
                </c:pt>
                <c:pt idx="44">
                  <c:v>57.2</c:v>
                </c:pt>
                <c:pt idx="45">
                  <c:v>56.7</c:v>
                </c:pt>
                <c:pt idx="46">
                  <c:v>55.4</c:v>
                </c:pt>
                <c:pt idx="47">
                  <c:v>53.7</c:v>
                </c:pt>
                <c:pt idx="48">
                  <c:v>51.6</c:v>
                </c:pt>
                <c:pt idx="49">
                  <c:v>51.5</c:v>
                </c:pt>
                <c:pt idx="50">
                  <c:v>48.8</c:v>
                </c:pt>
                <c:pt idx="51">
                  <c:v>46.4</c:v>
                </c:pt>
                <c:pt idx="52">
                  <c:v>47.5</c:v>
                </c:pt>
                <c:pt idx="53">
                  <c:v>48.8</c:v>
                </c:pt>
                <c:pt idx="54">
                  <c:v>50.4</c:v>
                </c:pt>
                <c:pt idx="55">
                  <c:v>48.8</c:v>
                </c:pt>
                <c:pt idx="56">
                  <c:v>47.9</c:v>
                </c:pt>
                <c:pt idx="57">
                  <c:v>46.9</c:v>
                </c:pt>
                <c:pt idx="58">
                  <c:v>46.7</c:v>
                </c:pt>
                <c:pt idx="59">
                  <c:v>47.1</c:v>
                </c:pt>
                <c:pt idx="60">
                  <c:v>47.9</c:v>
                </c:pt>
                <c:pt idx="61">
                  <c:v>47.2</c:v>
                </c:pt>
                <c:pt idx="62">
                  <c:v>46.1</c:v>
                </c:pt>
                <c:pt idx="63">
                  <c:v>46</c:v>
                </c:pt>
                <c:pt idx="64">
                  <c:v>46.7</c:v>
                </c:pt>
                <c:pt idx="65">
                  <c:v>47.2</c:v>
                </c:pt>
                <c:pt idx="66">
                  <c:v>48.6</c:v>
                </c:pt>
                <c:pt idx="67">
                  <c:v>47.9</c:v>
                </c:pt>
                <c:pt idx="68">
                  <c:v>46.4</c:v>
                </c:pt>
                <c:pt idx="69">
                  <c:v>47</c:v>
                </c:pt>
                <c:pt idx="70">
                  <c:v>47.2</c:v>
                </c:pt>
                <c:pt idx="71">
                  <c:v>48.3</c:v>
                </c:pt>
                <c:pt idx="72">
                  <c:v>49.8</c:v>
                </c:pt>
                <c:pt idx="73">
                  <c:v>50.7</c:v>
                </c:pt>
                <c:pt idx="74">
                  <c:v>52.2</c:v>
                </c:pt>
                <c:pt idx="75">
                  <c:v>51.6</c:v>
                </c:pt>
                <c:pt idx="76">
                  <c:v>51.2</c:v>
                </c:pt>
                <c:pt idx="77">
                  <c:v>51</c:v>
                </c:pt>
                <c:pt idx="78">
                  <c:v>51.6</c:v>
                </c:pt>
                <c:pt idx="79">
                  <c:v>52.6</c:v>
                </c:pt>
                <c:pt idx="80">
                  <c:v>52.2</c:v>
                </c:pt>
                <c:pt idx="81">
                  <c:v>53.1</c:v>
                </c:pt>
                <c:pt idx="82">
                  <c:v>53.2</c:v>
                </c:pt>
                <c:pt idx="83">
                  <c:v>52.8</c:v>
                </c:pt>
                <c:pt idx="84">
                  <c:v>54.2</c:v>
                </c:pt>
                <c:pt idx="85">
                  <c:v>53.1</c:v>
                </c:pt>
                <c:pt idx="86">
                  <c:v>52.4</c:v>
                </c:pt>
                <c:pt idx="87">
                  <c:v>52.3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5-4941-A61F-7295789B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394240"/>
        <c:axId val="370395776"/>
      </c:areaChart>
      <c:barChart>
        <c:barDir val="col"/>
        <c:grouping val="clustered"/>
        <c:varyColors val="0"/>
        <c:ser>
          <c:idx val="2"/>
          <c:order val="2"/>
          <c:tx>
            <c:strRef>
              <c:f>EZ!$D$1</c:f>
              <c:strCache>
                <c:ptCount val="1"/>
                <c:pt idx="0">
                  <c:v>Euro Zone GDP q/q %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EZ!$D$2:$D$100</c:f>
              <c:numCache>
                <c:formatCode>0.0%</c:formatCode>
                <c:ptCount val="99"/>
                <c:pt idx="2">
                  <c:v>6.0000000000000001E-3</c:v>
                </c:pt>
                <c:pt idx="5">
                  <c:v>4.0000000000000001E-3</c:v>
                </c:pt>
                <c:pt idx="8">
                  <c:v>6.0000000000000001E-3</c:v>
                </c:pt>
                <c:pt idx="11">
                  <c:v>-4.0000000000000001E-3</c:v>
                </c:pt>
                <c:pt idx="14">
                  <c:v>-6.0000000000000001E-3</c:v>
                </c:pt>
                <c:pt idx="17">
                  <c:v>-1.7000000000000001E-2</c:v>
                </c:pt>
                <c:pt idx="20">
                  <c:v>-2.8000000000000001E-2</c:v>
                </c:pt>
                <c:pt idx="23">
                  <c:v>-3.0000000000000001E-3</c:v>
                </c:pt>
                <c:pt idx="26">
                  <c:v>4.0000000000000001E-3</c:v>
                </c:pt>
                <c:pt idx="29">
                  <c:v>5.0000000000000001E-3</c:v>
                </c:pt>
                <c:pt idx="32">
                  <c:v>4.0000000000000001E-3</c:v>
                </c:pt>
                <c:pt idx="35">
                  <c:v>8.9999999999999993E-3</c:v>
                </c:pt>
                <c:pt idx="38">
                  <c:v>4.0000000000000001E-3</c:v>
                </c:pt>
                <c:pt idx="41">
                  <c:v>5.0000000000000001E-3</c:v>
                </c:pt>
                <c:pt idx="44">
                  <c:v>8.0000000000000002E-3</c:v>
                </c:pt>
                <c:pt idx="47">
                  <c:v>2E-3</c:v>
                </c:pt>
                <c:pt idx="50">
                  <c:v>2E-3</c:v>
                </c:pt>
                <c:pt idx="53">
                  <c:v>-2E-3</c:v>
                </c:pt>
                <c:pt idx="56">
                  <c:v>-1E-3</c:v>
                </c:pt>
                <c:pt idx="59">
                  <c:v>-3.0000000000000001E-3</c:v>
                </c:pt>
                <c:pt idx="62">
                  <c:v>-2E-3</c:v>
                </c:pt>
                <c:pt idx="65">
                  <c:v>-5.0000000000000001E-3</c:v>
                </c:pt>
                <c:pt idx="68">
                  <c:v>-2E-3</c:v>
                </c:pt>
                <c:pt idx="71">
                  <c:v>3.0000000000000001E-3</c:v>
                </c:pt>
                <c:pt idx="74">
                  <c:v>1E-3</c:v>
                </c:pt>
                <c:pt idx="77">
                  <c:v>2E-3</c:v>
                </c:pt>
                <c:pt idx="80">
                  <c:v>2E-3</c:v>
                </c:pt>
                <c:pt idx="83" formatCode="0.00%">
                  <c:v>0</c:v>
                </c:pt>
                <c:pt idx="86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5-4941-A61F-7295789B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427776"/>
        <c:axId val="37042624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EZ!$B$2:$B$200</c:f>
              <c:numCache>
                <c:formatCode>0.0</c:formatCode>
                <c:ptCount val="199"/>
                <c:pt idx="0">
                  <c:v>58.3</c:v>
                </c:pt>
                <c:pt idx="1">
                  <c:v>58</c:v>
                </c:pt>
                <c:pt idx="2">
                  <c:v>54.2</c:v>
                </c:pt>
                <c:pt idx="3">
                  <c:v>55.8</c:v>
                </c:pt>
                <c:pt idx="4">
                  <c:v>54.1</c:v>
                </c:pt>
                <c:pt idx="5">
                  <c:v>53.1</c:v>
                </c:pt>
                <c:pt idx="6">
                  <c:v>50.6</c:v>
                </c:pt>
                <c:pt idx="7">
                  <c:v>51.7</c:v>
                </c:pt>
                <c:pt idx="8">
                  <c:v>51.6</c:v>
                </c:pt>
                <c:pt idx="9">
                  <c:v>52</c:v>
                </c:pt>
                <c:pt idx="10">
                  <c:v>50.6</c:v>
                </c:pt>
                <c:pt idx="11">
                  <c:v>49.1</c:v>
                </c:pt>
                <c:pt idx="12">
                  <c:v>48.3</c:v>
                </c:pt>
                <c:pt idx="13">
                  <c:v>48.5</c:v>
                </c:pt>
                <c:pt idx="14">
                  <c:v>48.4</c:v>
                </c:pt>
                <c:pt idx="15">
                  <c:v>45.8</c:v>
                </c:pt>
                <c:pt idx="16">
                  <c:v>42.5</c:v>
                </c:pt>
                <c:pt idx="17">
                  <c:v>42.3</c:v>
                </c:pt>
                <c:pt idx="18">
                  <c:v>42.2</c:v>
                </c:pt>
                <c:pt idx="19">
                  <c:v>39.200000000000003</c:v>
                </c:pt>
                <c:pt idx="20">
                  <c:v>40.9</c:v>
                </c:pt>
                <c:pt idx="21">
                  <c:v>43.8</c:v>
                </c:pt>
                <c:pt idx="22">
                  <c:v>44.8</c:v>
                </c:pt>
                <c:pt idx="23">
                  <c:v>44.7</c:v>
                </c:pt>
                <c:pt idx="24">
                  <c:v>45.7</c:v>
                </c:pt>
                <c:pt idx="25">
                  <c:v>49.9</c:v>
                </c:pt>
                <c:pt idx="26">
                  <c:v>50.9</c:v>
                </c:pt>
                <c:pt idx="27">
                  <c:v>52.6</c:v>
                </c:pt>
                <c:pt idx="28">
                  <c:v>53</c:v>
                </c:pt>
                <c:pt idx="29">
                  <c:v>52.9</c:v>
                </c:pt>
                <c:pt idx="30">
                  <c:v>52.5</c:v>
                </c:pt>
                <c:pt idx="31">
                  <c:v>51.8</c:v>
                </c:pt>
                <c:pt idx="32">
                  <c:v>54.1</c:v>
                </c:pt>
                <c:pt idx="33">
                  <c:v>55.6</c:v>
                </c:pt>
                <c:pt idx="34">
                  <c:v>56.2</c:v>
                </c:pt>
                <c:pt idx="35">
                  <c:v>55.5</c:v>
                </c:pt>
                <c:pt idx="36">
                  <c:v>55.8</c:v>
                </c:pt>
                <c:pt idx="37">
                  <c:v>55.9</c:v>
                </c:pt>
                <c:pt idx="38">
                  <c:v>54.1</c:v>
                </c:pt>
                <c:pt idx="39">
                  <c:v>53.3</c:v>
                </c:pt>
                <c:pt idx="40">
                  <c:v>55.4</c:v>
                </c:pt>
                <c:pt idx="41">
                  <c:v>56.5</c:v>
                </c:pt>
                <c:pt idx="42">
                  <c:v>55.9</c:v>
                </c:pt>
                <c:pt idx="43">
                  <c:v>56.8</c:v>
                </c:pt>
                <c:pt idx="44">
                  <c:v>57.2</c:v>
                </c:pt>
                <c:pt idx="45">
                  <c:v>56.7</c:v>
                </c:pt>
                <c:pt idx="46">
                  <c:v>55.4</c:v>
                </c:pt>
                <c:pt idx="47">
                  <c:v>53.7</c:v>
                </c:pt>
                <c:pt idx="48">
                  <c:v>51.6</c:v>
                </c:pt>
                <c:pt idx="49">
                  <c:v>51.5</c:v>
                </c:pt>
                <c:pt idx="50">
                  <c:v>48.8</c:v>
                </c:pt>
                <c:pt idx="51">
                  <c:v>46.4</c:v>
                </c:pt>
                <c:pt idx="52">
                  <c:v>47.5</c:v>
                </c:pt>
                <c:pt idx="53">
                  <c:v>48.8</c:v>
                </c:pt>
                <c:pt idx="54">
                  <c:v>50.4</c:v>
                </c:pt>
                <c:pt idx="55">
                  <c:v>48.8</c:v>
                </c:pt>
                <c:pt idx="56">
                  <c:v>47.9</c:v>
                </c:pt>
                <c:pt idx="57">
                  <c:v>46.9</c:v>
                </c:pt>
                <c:pt idx="58">
                  <c:v>46.7</c:v>
                </c:pt>
                <c:pt idx="59">
                  <c:v>47.1</c:v>
                </c:pt>
                <c:pt idx="60">
                  <c:v>47.9</c:v>
                </c:pt>
                <c:pt idx="61">
                  <c:v>47.2</c:v>
                </c:pt>
                <c:pt idx="62">
                  <c:v>46.1</c:v>
                </c:pt>
                <c:pt idx="63">
                  <c:v>46</c:v>
                </c:pt>
                <c:pt idx="64">
                  <c:v>46.7</c:v>
                </c:pt>
                <c:pt idx="65">
                  <c:v>47.2</c:v>
                </c:pt>
                <c:pt idx="66">
                  <c:v>48.6</c:v>
                </c:pt>
                <c:pt idx="67">
                  <c:v>47.9</c:v>
                </c:pt>
                <c:pt idx="68">
                  <c:v>46.4</c:v>
                </c:pt>
                <c:pt idx="69">
                  <c:v>47</c:v>
                </c:pt>
                <c:pt idx="70">
                  <c:v>47.2</c:v>
                </c:pt>
                <c:pt idx="71">
                  <c:v>48.3</c:v>
                </c:pt>
                <c:pt idx="72">
                  <c:v>49.8</c:v>
                </c:pt>
                <c:pt idx="73">
                  <c:v>50.7</c:v>
                </c:pt>
                <c:pt idx="74">
                  <c:v>52.2</c:v>
                </c:pt>
                <c:pt idx="75">
                  <c:v>51.6</c:v>
                </c:pt>
                <c:pt idx="76">
                  <c:v>51.2</c:v>
                </c:pt>
                <c:pt idx="77">
                  <c:v>51</c:v>
                </c:pt>
                <c:pt idx="78">
                  <c:v>51.6</c:v>
                </c:pt>
                <c:pt idx="79">
                  <c:v>52.6</c:v>
                </c:pt>
                <c:pt idx="80">
                  <c:v>52.2</c:v>
                </c:pt>
                <c:pt idx="81">
                  <c:v>53.1</c:v>
                </c:pt>
                <c:pt idx="82">
                  <c:v>53.2</c:v>
                </c:pt>
                <c:pt idx="83">
                  <c:v>52.8</c:v>
                </c:pt>
                <c:pt idx="84">
                  <c:v>54.2</c:v>
                </c:pt>
                <c:pt idx="85">
                  <c:v>53.1</c:v>
                </c:pt>
                <c:pt idx="86">
                  <c:v>52.4</c:v>
                </c:pt>
                <c:pt idx="87">
                  <c:v>52.3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5-4941-A61F-7295789B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394240"/>
        <c:axId val="370395776"/>
      </c:lineChart>
      <c:dateAx>
        <c:axId val="370394240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395776"/>
        <c:crossesAt val="50"/>
        <c:auto val="1"/>
        <c:lblOffset val="100"/>
        <c:baseTimeUnit val="months"/>
        <c:majorUnit val="1"/>
        <c:majorTimeUnit val="years"/>
      </c:dateAx>
      <c:valAx>
        <c:axId val="370395776"/>
        <c:scaling>
          <c:orientation val="minMax"/>
          <c:max val="60"/>
          <c:min val="3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394240"/>
        <c:crosses val="autoZero"/>
        <c:crossBetween val="between"/>
        <c:majorUnit val="5"/>
      </c:valAx>
      <c:valAx>
        <c:axId val="370426240"/>
        <c:scaling>
          <c:orientation val="minMax"/>
          <c:max val="2.0000000000000007E-2"/>
          <c:min val="-3.0000000000000009E-2"/>
        </c:scaling>
        <c:delete val="0"/>
        <c:axPos val="r"/>
        <c:numFmt formatCode="0.0%" sourceLinked="0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70427776"/>
        <c:crosses val="max"/>
        <c:crossBetween val="between"/>
        <c:majorUnit val="1.0000000000000004E-2"/>
      </c:valAx>
      <c:catAx>
        <c:axId val="370427776"/>
        <c:scaling>
          <c:orientation val="minMax"/>
        </c:scaling>
        <c:delete val="1"/>
        <c:axPos val="b"/>
        <c:majorTickMark val="out"/>
        <c:minorTickMark val="none"/>
        <c:tickLblPos val="none"/>
        <c:crossAx val="37042624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9154547034360437"/>
          <c:y val="0.71332139868386024"/>
          <c:w val="0.1847825899895349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Germany Service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DE!$B$1</c:f>
              <c:strCache>
                <c:ptCount val="1"/>
                <c:pt idx="0">
                  <c:v>Germany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DE!$A$2:$A$200</c:f>
              <c:numCache>
                <c:formatCode>mmm\-yy</c:formatCode>
                <c:ptCount val="199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  <c:pt idx="32">
                  <c:v>40238</c:v>
                </c:pt>
                <c:pt idx="33">
                  <c:v>40269</c:v>
                </c:pt>
                <c:pt idx="34">
                  <c:v>40299</c:v>
                </c:pt>
                <c:pt idx="35">
                  <c:v>40330</c:v>
                </c:pt>
                <c:pt idx="36">
                  <c:v>40360</c:v>
                </c:pt>
                <c:pt idx="37">
                  <c:v>40391</c:v>
                </c:pt>
                <c:pt idx="38">
                  <c:v>40422</c:v>
                </c:pt>
                <c:pt idx="39">
                  <c:v>40452</c:v>
                </c:pt>
                <c:pt idx="40">
                  <c:v>40483</c:v>
                </c:pt>
                <c:pt idx="41">
                  <c:v>40513</c:v>
                </c:pt>
                <c:pt idx="42">
                  <c:v>40544</c:v>
                </c:pt>
                <c:pt idx="43">
                  <c:v>40575</c:v>
                </c:pt>
                <c:pt idx="44">
                  <c:v>40603</c:v>
                </c:pt>
                <c:pt idx="45">
                  <c:v>40634</c:v>
                </c:pt>
                <c:pt idx="46">
                  <c:v>40664</c:v>
                </c:pt>
                <c:pt idx="47">
                  <c:v>40695</c:v>
                </c:pt>
                <c:pt idx="48">
                  <c:v>40725</c:v>
                </c:pt>
                <c:pt idx="49">
                  <c:v>40756</c:v>
                </c:pt>
                <c:pt idx="50">
                  <c:v>40787</c:v>
                </c:pt>
                <c:pt idx="51">
                  <c:v>40817</c:v>
                </c:pt>
                <c:pt idx="52">
                  <c:v>40848</c:v>
                </c:pt>
                <c:pt idx="53">
                  <c:v>40878</c:v>
                </c:pt>
                <c:pt idx="54">
                  <c:v>40909</c:v>
                </c:pt>
                <c:pt idx="55">
                  <c:v>40940</c:v>
                </c:pt>
                <c:pt idx="56">
                  <c:v>40969</c:v>
                </c:pt>
                <c:pt idx="57">
                  <c:v>41000</c:v>
                </c:pt>
                <c:pt idx="58">
                  <c:v>41030</c:v>
                </c:pt>
                <c:pt idx="59">
                  <c:v>41061</c:v>
                </c:pt>
                <c:pt idx="60">
                  <c:v>41091</c:v>
                </c:pt>
                <c:pt idx="61">
                  <c:v>41122</c:v>
                </c:pt>
                <c:pt idx="62">
                  <c:v>41153</c:v>
                </c:pt>
                <c:pt idx="63">
                  <c:v>41183</c:v>
                </c:pt>
                <c:pt idx="64">
                  <c:v>41214</c:v>
                </c:pt>
                <c:pt idx="65">
                  <c:v>41244</c:v>
                </c:pt>
                <c:pt idx="66">
                  <c:v>41275</c:v>
                </c:pt>
                <c:pt idx="67">
                  <c:v>41306</c:v>
                </c:pt>
                <c:pt idx="68">
                  <c:v>41334</c:v>
                </c:pt>
                <c:pt idx="69">
                  <c:v>41365</c:v>
                </c:pt>
                <c:pt idx="70">
                  <c:v>41395</c:v>
                </c:pt>
                <c:pt idx="71">
                  <c:v>41426</c:v>
                </c:pt>
                <c:pt idx="72">
                  <c:v>41456</c:v>
                </c:pt>
                <c:pt idx="73">
                  <c:v>41487</c:v>
                </c:pt>
                <c:pt idx="74">
                  <c:v>41518</c:v>
                </c:pt>
                <c:pt idx="75">
                  <c:v>41548</c:v>
                </c:pt>
                <c:pt idx="76">
                  <c:v>41579</c:v>
                </c:pt>
                <c:pt idx="77">
                  <c:v>41609</c:v>
                </c:pt>
                <c:pt idx="78">
                  <c:v>41640</c:v>
                </c:pt>
                <c:pt idx="79">
                  <c:v>41671</c:v>
                </c:pt>
                <c:pt idx="80">
                  <c:v>41699</c:v>
                </c:pt>
                <c:pt idx="81">
                  <c:v>41730</c:v>
                </c:pt>
                <c:pt idx="82">
                  <c:v>41760</c:v>
                </c:pt>
                <c:pt idx="83">
                  <c:v>41791</c:v>
                </c:pt>
                <c:pt idx="84">
                  <c:v>41821</c:v>
                </c:pt>
                <c:pt idx="85">
                  <c:v>41852</c:v>
                </c:pt>
                <c:pt idx="86">
                  <c:v>41883</c:v>
                </c:pt>
                <c:pt idx="87">
                  <c:v>41913</c:v>
                </c:pt>
                <c:pt idx="88">
                  <c:v>41944</c:v>
                </c:pt>
                <c:pt idx="89">
                  <c:v>41974</c:v>
                </c:pt>
                <c:pt idx="90">
                  <c:v>42005</c:v>
                </c:pt>
                <c:pt idx="91">
                  <c:v>42036</c:v>
                </c:pt>
                <c:pt idx="92">
                  <c:v>42064</c:v>
                </c:pt>
                <c:pt idx="93">
                  <c:v>42095</c:v>
                </c:pt>
                <c:pt idx="94">
                  <c:v>42125</c:v>
                </c:pt>
                <c:pt idx="95">
                  <c:v>42156</c:v>
                </c:pt>
                <c:pt idx="96">
                  <c:v>42186</c:v>
                </c:pt>
                <c:pt idx="97">
                  <c:v>42217</c:v>
                </c:pt>
                <c:pt idx="98">
                  <c:v>42248</c:v>
                </c:pt>
                <c:pt idx="99">
                  <c:v>42278</c:v>
                </c:pt>
                <c:pt idx="100">
                  <c:v>42309</c:v>
                </c:pt>
                <c:pt idx="101">
                  <c:v>42339</c:v>
                </c:pt>
                <c:pt idx="102">
                  <c:v>42370</c:v>
                </c:pt>
                <c:pt idx="103">
                  <c:v>42401</c:v>
                </c:pt>
                <c:pt idx="104">
                  <c:v>42430</c:v>
                </c:pt>
                <c:pt idx="105">
                  <c:v>42461</c:v>
                </c:pt>
                <c:pt idx="106">
                  <c:v>42491</c:v>
                </c:pt>
                <c:pt idx="107">
                  <c:v>42522</c:v>
                </c:pt>
                <c:pt idx="108">
                  <c:v>42552</c:v>
                </c:pt>
                <c:pt idx="109">
                  <c:v>42583</c:v>
                </c:pt>
                <c:pt idx="110">
                  <c:v>42614</c:v>
                </c:pt>
                <c:pt idx="111">
                  <c:v>42644</c:v>
                </c:pt>
                <c:pt idx="112">
                  <c:v>42675</c:v>
                </c:pt>
                <c:pt idx="113">
                  <c:v>42705</c:v>
                </c:pt>
                <c:pt idx="114">
                  <c:v>42736</c:v>
                </c:pt>
                <c:pt idx="115">
                  <c:v>42767</c:v>
                </c:pt>
                <c:pt idx="116">
                  <c:v>42795</c:v>
                </c:pt>
                <c:pt idx="117">
                  <c:v>42826</c:v>
                </c:pt>
                <c:pt idx="118">
                  <c:v>42856</c:v>
                </c:pt>
                <c:pt idx="119">
                  <c:v>42887</c:v>
                </c:pt>
                <c:pt idx="120">
                  <c:v>42917</c:v>
                </c:pt>
                <c:pt idx="121">
                  <c:v>42948</c:v>
                </c:pt>
                <c:pt idx="122">
                  <c:v>42979</c:v>
                </c:pt>
                <c:pt idx="123">
                  <c:v>43009</c:v>
                </c:pt>
                <c:pt idx="124">
                  <c:v>43040</c:v>
                </c:pt>
                <c:pt idx="125">
                  <c:v>43070</c:v>
                </c:pt>
                <c:pt idx="126">
                  <c:v>43101</c:v>
                </c:pt>
                <c:pt idx="127">
                  <c:v>43132</c:v>
                </c:pt>
                <c:pt idx="128">
                  <c:v>43160</c:v>
                </c:pt>
                <c:pt idx="129">
                  <c:v>43191</c:v>
                </c:pt>
                <c:pt idx="130">
                  <c:v>43221</c:v>
                </c:pt>
                <c:pt idx="131">
                  <c:v>43252</c:v>
                </c:pt>
                <c:pt idx="132">
                  <c:v>43282</c:v>
                </c:pt>
                <c:pt idx="133">
                  <c:v>43313</c:v>
                </c:pt>
                <c:pt idx="134">
                  <c:v>43344</c:v>
                </c:pt>
                <c:pt idx="135">
                  <c:v>43374</c:v>
                </c:pt>
                <c:pt idx="136">
                  <c:v>43405</c:v>
                </c:pt>
                <c:pt idx="137">
                  <c:v>43435</c:v>
                </c:pt>
                <c:pt idx="138">
                  <c:v>43466</c:v>
                </c:pt>
                <c:pt idx="139">
                  <c:v>43497</c:v>
                </c:pt>
                <c:pt idx="140">
                  <c:v>43525</c:v>
                </c:pt>
                <c:pt idx="141">
                  <c:v>43556</c:v>
                </c:pt>
                <c:pt idx="142">
                  <c:v>43586</c:v>
                </c:pt>
                <c:pt idx="143">
                  <c:v>43617</c:v>
                </c:pt>
                <c:pt idx="144">
                  <c:v>43647</c:v>
                </c:pt>
                <c:pt idx="145">
                  <c:v>43678</c:v>
                </c:pt>
                <c:pt idx="146">
                  <c:v>43709</c:v>
                </c:pt>
                <c:pt idx="147">
                  <c:v>43739</c:v>
                </c:pt>
                <c:pt idx="148">
                  <c:v>43770</c:v>
                </c:pt>
                <c:pt idx="149">
                  <c:v>43800</c:v>
                </c:pt>
                <c:pt idx="150">
                  <c:v>43831</c:v>
                </c:pt>
                <c:pt idx="151">
                  <c:v>43862</c:v>
                </c:pt>
                <c:pt idx="152">
                  <c:v>43891</c:v>
                </c:pt>
                <c:pt idx="153">
                  <c:v>43922</c:v>
                </c:pt>
                <c:pt idx="154">
                  <c:v>43952</c:v>
                </c:pt>
                <c:pt idx="155">
                  <c:v>43983</c:v>
                </c:pt>
                <c:pt idx="156">
                  <c:v>44013</c:v>
                </c:pt>
                <c:pt idx="157">
                  <c:v>44044</c:v>
                </c:pt>
                <c:pt idx="158">
                  <c:v>44075</c:v>
                </c:pt>
                <c:pt idx="159">
                  <c:v>44105</c:v>
                </c:pt>
                <c:pt idx="160">
                  <c:v>44136</c:v>
                </c:pt>
                <c:pt idx="161">
                  <c:v>44166</c:v>
                </c:pt>
                <c:pt idx="162">
                  <c:v>44197</c:v>
                </c:pt>
                <c:pt idx="163">
                  <c:v>44228</c:v>
                </c:pt>
                <c:pt idx="164">
                  <c:v>44256</c:v>
                </c:pt>
                <c:pt idx="165">
                  <c:v>44287</c:v>
                </c:pt>
                <c:pt idx="166">
                  <c:v>44317</c:v>
                </c:pt>
                <c:pt idx="167">
                  <c:v>44348</c:v>
                </c:pt>
                <c:pt idx="168">
                  <c:v>44378</c:v>
                </c:pt>
                <c:pt idx="169">
                  <c:v>44409</c:v>
                </c:pt>
                <c:pt idx="170">
                  <c:v>44440</c:v>
                </c:pt>
                <c:pt idx="171">
                  <c:v>44470</c:v>
                </c:pt>
                <c:pt idx="172">
                  <c:v>44501</c:v>
                </c:pt>
                <c:pt idx="173">
                  <c:v>44531</c:v>
                </c:pt>
                <c:pt idx="174">
                  <c:v>44562</c:v>
                </c:pt>
                <c:pt idx="175">
                  <c:v>44593</c:v>
                </c:pt>
                <c:pt idx="176">
                  <c:v>44621</c:v>
                </c:pt>
                <c:pt idx="177">
                  <c:v>44652</c:v>
                </c:pt>
                <c:pt idx="178">
                  <c:v>44682</c:v>
                </c:pt>
                <c:pt idx="179">
                  <c:v>44713</c:v>
                </c:pt>
                <c:pt idx="180">
                  <c:v>44743</c:v>
                </c:pt>
                <c:pt idx="181">
                  <c:v>44774</c:v>
                </c:pt>
                <c:pt idx="182">
                  <c:v>44805</c:v>
                </c:pt>
                <c:pt idx="183">
                  <c:v>44835</c:v>
                </c:pt>
                <c:pt idx="184">
                  <c:v>44866</c:v>
                </c:pt>
                <c:pt idx="185">
                  <c:v>44896</c:v>
                </c:pt>
                <c:pt idx="186">
                  <c:v>44927</c:v>
                </c:pt>
                <c:pt idx="187">
                  <c:v>44958</c:v>
                </c:pt>
                <c:pt idx="188">
                  <c:v>44986</c:v>
                </c:pt>
                <c:pt idx="189">
                  <c:v>45017</c:v>
                </c:pt>
                <c:pt idx="190">
                  <c:v>45047</c:v>
                </c:pt>
                <c:pt idx="191">
                  <c:v>45078</c:v>
                </c:pt>
                <c:pt idx="192">
                  <c:v>45108</c:v>
                </c:pt>
                <c:pt idx="193">
                  <c:v>45139</c:v>
                </c:pt>
                <c:pt idx="194">
                  <c:v>45170</c:v>
                </c:pt>
                <c:pt idx="195">
                  <c:v>45200</c:v>
                </c:pt>
                <c:pt idx="196">
                  <c:v>45231</c:v>
                </c:pt>
                <c:pt idx="197">
                  <c:v>45261</c:v>
                </c:pt>
                <c:pt idx="198">
                  <c:v>45292</c:v>
                </c:pt>
              </c:numCache>
            </c:numRef>
          </c:cat>
          <c:val>
            <c:numRef>
              <c:f>DE!$B$2:$B$200</c:f>
              <c:numCache>
                <c:formatCode>0.0</c:formatCode>
                <c:ptCount val="199"/>
                <c:pt idx="0">
                  <c:v>58.9</c:v>
                </c:pt>
                <c:pt idx="1">
                  <c:v>59.8</c:v>
                </c:pt>
                <c:pt idx="2">
                  <c:v>53.1</c:v>
                </c:pt>
                <c:pt idx="3">
                  <c:v>55.1</c:v>
                </c:pt>
                <c:pt idx="4">
                  <c:v>53.1</c:v>
                </c:pt>
                <c:pt idx="5">
                  <c:v>51.5</c:v>
                </c:pt>
                <c:pt idx="6">
                  <c:v>49.2</c:v>
                </c:pt>
                <c:pt idx="7">
                  <c:v>52.2</c:v>
                </c:pt>
                <c:pt idx="8">
                  <c:v>51.8</c:v>
                </c:pt>
                <c:pt idx="9">
                  <c:v>54.9</c:v>
                </c:pt>
                <c:pt idx="10">
                  <c:v>53.8</c:v>
                </c:pt>
                <c:pt idx="11">
                  <c:v>52.1</c:v>
                </c:pt>
                <c:pt idx="12">
                  <c:v>53.1</c:v>
                </c:pt>
                <c:pt idx="13">
                  <c:v>51.4</c:v>
                </c:pt>
                <c:pt idx="14">
                  <c:v>50.2</c:v>
                </c:pt>
                <c:pt idx="15">
                  <c:v>48.3</c:v>
                </c:pt>
                <c:pt idx="16">
                  <c:v>45.1</c:v>
                </c:pt>
                <c:pt idx="17">
                  <c:v>43.1</c:v>
                </c:pt>
                <c:pt idx="18">
                  <c:v>45.2</c:v>
                </c:pt>
                <c:pt idx="19">
                  <c:v>41.3</c:v>
                </c:pt>
                <c:pt idx="20">
                  <c:v>42.3</c:v>
                </c:pt>
                <c:pt idx="21">
                  <c:v>43.8</c:v>
                </c:pt>
                <c:pt idx="22">
                  <c:v>45.2</c:v>
                </c:pt>
                <c:pt idx="23">
                  <c:v>45.2</c:v>
                </c:pt>
                <c:pt idx="24">
                  <c:v>48.1</c:v>
                </c:pt>
                <c:pt idx="25">
                  <c:v>53.8</c:v>
                </c:pt>
                <c:pt idx="26">
                  <c:v>52.2</c:v>
                </c:pt>
                <c:pt idx="27">
                  <c:v>50.7</c:v>
                </c:pt>
                <c:pt idx="28">
                  <c:v>51.4</c:v>
                </c:pt>
                <c:pt idx="29">
                  <c:v>52.1</c:v>
                </c:pt>
                <c:pt idx="30">
                  <c:v>52.2</c:v>
                </c:pt>
                <c:pt idx="31">
                  <c:v>51.9</c:v>
                </c:pt>
                <c:pt idx="32">
                  <c:v>54.9</c:v>
                </c:pt>
                <c:pt idx="33">
                  <c:v>53.7</c:v>
                </c:pt>
                <c:pt idx="34">
                  <c:v>54.8</c:v>
                </c:pt>
                <c:pt idx="35">
                  <c:v>54.8</c:v>
                </c:pt>
                <c:pt idx="36">
                  <c:v>56.5</c:v>
                </c:pt>
                <c:pt idx="37">
                  <c:v>57.2</c:v>
                </c:pt>
                <c:pt idx="38">
                  <c:v>54.9</c:v>
                </c:pt>
                <c:pt idx="39">
                  <c:v>56</c:v>
                </c:pt>
                <c:pt idx="40">
                  <c:v>59.2</c:v>
                </c:pt>
                <c:pt idx="41">
                  <c:v>59.5</c:v>
                </c:pt>
                <c:pt idx="42">
                  <c:v>60.3</c:v>
                </c:pt>
                <c:pt idx="43">
                  <c:v>58.6</c:v>
                </c:pt>
                <c:pt idx="44">
                  <c:v>60.1</c:v>
                </c:pt>
                <c:pt idx="45">
                  <c:v>56.8</c:v>
                </c:pt>
                <c:pt idx="46">
                  <c:v>56.1</c:v>
                </c:pt>
                <c:pt idx="47">
                  <c:v>56.7</c:v>
                </c:pt>
                <c:pt idx="48">
                  <c:v>52.9</c:v>
                </c:pt>
                <c:pt idx="49">
                  <c:v>51.1</c:v>
                </c:pt>
                <c:pt idx="50">
                  <c:v>49.7</c:v>
                </c:pt>
                <c:pt idx="51">
                  <c:v>50.6</c:v>
                </c:pt>
                <c:pt idx="52">
                  <c:v>50.3</c:v>
                </c:pt>
                <c:pt idx="53">
                  <c:v>52.4</c:v>
                </c:pt>
                <c:pt idx="54">
                  <c:v>53.7</c:v>
                </c:pt>
                <c:pt idx="55">
                  <c:v>52.8</c:v>
                </c:pt>
                <c:pt idx="56">
                  <c:v>52.1</c:v>
                </c:pt>
                <c:pt idx="57">
                  <c:v>52.2</c:v>
                </c:pt>
                <c:pt idx="58">
                  <c:v>51.8</c:v>
                </c:pt>
                <c:pt idx="59">
                  <c:v>49.9</c:v>
                </c:pt>
                <c:pt idx="60">
                  <c:v>50.3</c:v>
                </c:pt>
                <c:pt idx="61">
                  <c:v>48.3</c:v>
                </c:pt>
                <c:pt idx="62">
                  <c:v>49.7</c:v>
                </c:pt>
                <c:pt idx="63">
                  <c:v>48.4</c:v>
                </c:pt>
                <c:pt idx="64">
                  <c:v>49.7</c:v>
                </c:pt>
                <c:pt idx="65">
                  <c:v>55.7</c:v>
                </c:pt>
                <c:pt idx="66">
                  <c:v>54.7</c:v>
                </c:pt>
                <c:pt idx="67">
                  <c:v>50.9</c:v>
                </c:pt>
                <c:pt idx="68">
                  <c:v>49.6</c:v>
                </c:pt>
                <c:pt idx="69">
                  <c:v>49.7</c:v>
                </c:pt>
                <c:pt idx="70">
                  <c:v>50.4</c:v>
                </c:pt>
                <c:pt idx="71">
                  <c:v>51.3</c:v>
                </c:pt>
                <c:pt idx="72">
                  <c:v>52.8</c:v>
                </c:pt>
                <c:pt idx="73">
                  <c:v>53.7</c:v>
                </c:pt>
                <c:pt idx="74">
                  <c:v>52.9</c:v>
                </c:pt>
                <c:pt idx="75">
                  <c:v>55.7</c:v>
                </c:pt>
                <c:pt idx="76">
                  <c:v>53.5</c:v>
                </c:pt>
                <c:pt idx="77">
                  <c:v>53.1</c:v>
                </c:pt>
                <c:pt idx="78">
                  <c:v>55.9</c:v>
                </c:pt>
                <c:pt idx="79">
                  <c:v>53</c:v>
                </c:pt>
                <c:pt idx="80">
                  <c:v>54.7</c:v>
                </c:pt>
                <c:pt idx="81">
                  <c:v>56.4</c:v>
                </c:pt>
                <c:pt idx="82">
                  <c:v>56</c:v>
                </c:pt>
                <c:pt idx="83">
                  <c:v>54.6</c:v>
                </c:pt>
                <c:pt idx="84">
                  <c:v>56.7</c:v>
                </c:pt>
                <c:pt idx="85">
                  <c:v>54.9</c:v>
                </c:pt>
                <c:pt idx="86">
                  <c:v>55.7</c:v>
                </c:pt>
                <c:pt idx="87">
                  <c:v>54.4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6-44FD-80B6-2B737751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638848"/>
        <c:axId val="37064038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DE!$B$2:$B$200</c:f>
              <c:numCache>
                <c:formatCode>0.0</c:formatCode>
                <c:ptCount val="199"/>
                <c:pt idx="0">
                  <c:v>58.9</c:v>
                </c:pt>
                <c:pt idx="1">
                  <c:v>59.8</c:v>
                </c:pt>
                <c:pt idx="2">
                  <c:v>53.1</c:v>
                </c:pt>
                <c:pt idx="3">
                  <c:v>55.1</c:v>
                </c:pt>
                <c:pt idx="4">
                  <c:v>53.1</c:v>
                </c:pt>
                <c:pt idx="5">
                  <c:v>51.5</c:v>
                </c:pt>
                <c:pt idx="6">
                  <c:v>49.2</c:v>
                </c:pt>
                <c:pt idx="7">
                  <c:v>52.2</c:v>
                </c:pt>
                <c:pt idx="8">
                  <c:v>51.8</c:v>
                </c:pt>
                <c:pt idx="9">
                  <c:v>54.9</c:v>
                </c:pt>
                <c:pt idx="10">
                  <c:v>53.8</c:v>
                </c:pt>
                <c:pt idx="11">
                  <c:v>52.1</c:v>
                </c:pt>
                <c:pt idx="12">
                  <c:v>53.1</c:v>
                </c:pt>
                <c:pt idx="13">
                  <c:v>51.4</c:v>
                </c:pt>
                <c:pt idx="14">
                  <c:v>50.2</c:v>
                </c:pt>
                <c:pt idx="15">
                  <c:v>48.3</c:v>
                </c:pt>
                <c:pt idx="16">
                  <c:v>45.1</c:v>
                </c:pt>
                <c:pt idx="17">
                  <c:v>43.1</c:v>
                </c:pt>
                <c:pt idx="18">
                  <c:v>45.2</c:v>
                </c:pt>
                <c:pt idx="19">
                  <c:v>41.3</c:v>
                </c:pt>
                <c:pt idx="20">
                  <c:v>42.3</c:v>
                </c:pt>
                <c:pt idx="21">
                  <c:v>43.8</c:v>
                </c:pt>
                <c:pt idx="22">
                  <c:v>45.2</c:v>
                </c:pt>
                <c:pt idx="23">
                  <c:v>45.2</c:v>
                </c:pt>
                <c:pt idx="24">
                  <c:v>48.1</c:v>
                </c:pt>
                <c:pt idx="25">
                  <c:v>53.8</c:v>
                </c:pt>
                <c:pt idx="26">
                  <c:v>52.2</c:v>
                </c:pt>
                <c:pt idx="27">
                  <c:v>50.7</c:v>
                </c:pt>
                <c:pt idx="28">
                  <c:v>51.4</c:v>
                </c:pt>
                <c:pt idx="29">
                  <c:v>52.1</c:v>
                </c:pt>
                <c:pt idx="30">
                  <c:v>52.2</c:v>
                </c:pt>
                <c:pt idx="31">
                  <c:v>51.9</c:v>
                </c:pt>
                <c:pt idx="32">
                  <c:v>54.9</c:v>
                </c:pt>
                <c:pt idx="33">
                  <c:v>53.7</c:v>
                </c:pt>
                <c:pt idx="34">
                  <c:v>54.8</c:v>
                </c:pt>
                <c:pt idx="35">
                  <c:v>54.8</c:v>
                </c:pt>
                <c:pt idx="36">
                  <c:v>56.5</c:v>
                </c:pt>
                <c:pt idx="37">
                  <c:v>57.2</c:v>
                </c:pt>
                <c:pt idx="38">
                  <c:v>54.9</c:v>
                </c:pt>
                <c:pt idx="39">
                  <c:v>56</c:v>
                </c:pt>
                <c:pt idx="40">
                  <c:v>59.2</c:v>
                </c:pt>
                <c:pt idx="41">
                  <c:v>59.5</c:v>
                </c:pt>
                <c:pt idx="42">
                  <c:v>60.3</c:v>
                </c:pt>
                <c:pt idx="43">
                  <c:v>58.6</c:v>
                </c:pt>
                <c:pt idx="44">
                  <c:v>60.1</c:v>
                </c:pt>
                <c:pt idx="45">
                  <c:v>56.8</c:v>
                </c:pt>
                <c:pt idx="46">
                  <c:v>56.1</c:v>
                </c:pt>
                <c:pt idx="47">
                  <c:v>56.7</c:v>
                </c:pt>
                <c:pt idx="48">
                  <c:v>52.9</c:v>
                </c:pt>
                <c:pt idx="49">
                  <c:v>51.1</c:v>
                </c:pt>
                <c:pt idx="50">
                  <c:v>49.7</c:v>
                </c:pt>
                <c:pt idx="51">
                  <c:v>50.6</c:v>
                </c:pt>
                <c:pt idx="52">
                  <c:v>50.3</c:v>
                </c:pt>
                <c:pt idx="53">
                  <c:v>52.4</c:v>
                </c:pt>
                <c:pt idx="54">
                  <c:v>53.7</c:v>
                </c:pt>
                <c:pt idx="55">
                  <c:v>52.8</c:v>
                </c:pt>
                <c:pt idx="56">
                  <c:v>52.1</c:v>
                </c:pt>
                <c:pt idx="57">
                  <c:v>52.2</c:v>
                </c:pt>
                <c:pt idx="58">
                  <c:v>51.8</c:v>
                </c:pt>
                <c:pt idx="59">
                  <c:v>49.9</c:v>
                </c:pt>
                <c:pt idx="60">
                  <c:v>50.3</c:v>
                </c:pt>
                <c:pt idx="61">
                  <c:v>48.3</c:v>
                </c:pt>
                <c:pt idx="62">
                  <c:v>49.7</c:v>
                </c:pt>
                <c:pt idx="63">
                  <c:v>48.4</c:v>
                </c:pt>
                <c:pt idx="64">
                  <c:v>49.7</c:v>
                </c:pt>
                <c:pt idx="65">
                  <c:v>55.7</c:v>
                </c:pt>
                <c:pt idx="66">
                  <c:v>54.7</c:v>
                </c:pt>
                <c:pt idx="67">
                  <c:v>50.9</c:v>
                </c:pt>
                <c:pt idx="68">
                  <c:v>49.6</c:v>
                </c:pt>
                <c:pt idx="69">
                  <c:v>49.7</c:v>
                </c:pt>
                <c:pt idx="70">
                  <c:v>50.4</c:v>
                </c:pt>
                <c:pt idx="71">
                  <c:v>51.3</c:v>
                </c:pt>
                <c:pt idx="72">
                  <c:v>52.8</c:v>
                </c:pt>
                <c:pt idx="73">
                  <c:v>53.7</c:v>
                </c:pt>
                <c:pt idx="74">
                  <c:v>52.9</c:v>
                </c:pt>
                <c:pt idx="75">
                  <c:v>55.7</c:v>
                </c:pt>
                <c:pt idx="76">
                  <c:v>53.5</c:v>
                </c:pt>
                <c:pt idx="77">
                  <c:v>53.1</c:v>
                </c:pt>
                <c:pt idx="78">
                  <c:v>55.9</c:v>
                </c:pt>
                <c:pt idx="79">
                  <c:v>53</c:v>
                </c:pt>
                <c:pt idx="80">
                  <c:v>54.7</c:v>
                </c:pt>
                <c:pt idx="81">
                  <c:v>56.4</c:v>
                </c:pt>
                <c:pt idx="82">
                  <c:v>56</c:v>
                </c:pt>
                <c:pt idx="83">
                  <c:v>54.6</c:v>
                </c:pt>
                <c:pt idx="84">
                  <c:v>56.7</c:v>
                </c:pt>
                <c:pt idx="85">
                  <c:v>54.9</c:v>
                </c:pt>
                <c:pt idx="86">
                  <c:v>55.7</c:v>
                </c:pt>
                <c:pt idx="87">
                  <c:v>54.4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6-44FD-80B6-2B737751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638848"/>
        <c:axId val="370640384"/>
      </c:lineChart>
      <c:dateAx>
        <c:axId val="370638848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640384"/>
        <c:crossesAt val="50"/>
        <c:auto val="1"/>
        <c:lblOffset val="100"/>
        <c:baseTimeUnit val="months"/>
        <c:majorUnit val="1"/>
        <c:majorTimeUnit val="years"/>
      </c:dateAx>
      <c:valAx>
        <c:axId val="370640384"/>
        <c:scaling>
          <c:orientation val="minMax"/>
          <c:max val="62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638848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81E-2"/>
          <c:y val="0.13663060292737222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Germany</a:t>
            </a:r>
            <a:r>
              <a:rPr lang="en-US" baseline="0"/>
              <a:t> Service</a:t>
            </a:r>
            <a:r>
              <a:rPr lang="en-US"/>
              <a:t>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DE!$B$1</c:f>
              <c:strCache>
                <c:ptCount val="1"/>
                <c:pt idx="0">
                  <c:v>Germany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DE!$A$2:$A$200</c:f>
              <c:numCache>
                <c:formatCode>mmm\-yy</c:formatCode>
                <c:ptCount val="199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  <c:pt idx="32">
                  <c:v>40238</c:v>
                </c:pt>
                <c:pt idx="33">
                  <c:v>40269</c:v>
                </c:pt>
                <c:pt idx="34">
                  <c:v>40299</c:v>
                </c:pt>
                <c:pt idx="35">
                  <c:v>40330</c:v>
                </c:pt>
                <c:pt idx="36">
                  <c:v>40360</c:v>
                </c:pt>
                <c:pt idx="37">
                  <c:v>40391</c:v>
                </c:pt>
                <c:pt idx="38">
                  <c:v>40422</c:v>
                </c:pt>
                <c:pt idx="39">
                  <c:v>40452</c:v>
                </c:pt>
                <c:pt idx="40">
                  <c:v>40483</c:v>
                </c:pt>
                <c:pt idx="41">
                  <c:v>40513</c:v>
                </c:pt>
                <c:pt idx="42">
                  <c:v>40544</c:v>
                </c:pt>
                <c:pt idx="43">
                  <c:v>40575</c:v>
                </c:pt>
                <c:pt idx="44">
                  <c:v>40603</c:v>
                </c:pt>
                <c:pt idx="45">
                  <c:v>40634</c:v>
                </c:pt>
                <c:pt idx="46">
                  <c:v>40664</c:v>
                </c:pt>
                <c:pt idx="47">
                  <c:v>40695</c:v>
                </c:pt>
                <c:pt idx="48">
                  <c:v>40725</c:v>
                </c:pt>
                <c:pt idx="49">
                  <c:v>40756</c:v>
                </c:pt>
                <c:pt idx="50">
                  <c:v>40787</c:v>
                </c:pt>
                <c:pt idx="51">
                  <c:v>40817</c:v>
                </c:pt>
                <c:pt idx="52">
                  <c:v>40848</c:v>
                </c:pt>
                <c:pt idx="53">
                  <c:v>40878</c:v>
                </c:pt>
                <c:pt idx="54">
                  <c:v>40909</c:v>
                </c:pt>
                <c:pt idx="55">
                  <c:v>40940</c:v>
                </c:pt>
                <c:pt idx="56">
                  <c:v>40969</c:v>
                </c:pt>
                <c:pt idx="57">
                  <c:v>41000</c:v>
                </c:pt>
                <c:pt idx="58">
                  <c:v>41030</c:v>
                </c:pt>
                <c:pt idx="59">
                  <c:v>41061</c:v>
                </c:pt>
                <c:pt idx="60">
                  <c:v>41091</c:v>
                </c:pt>
                <c:pt idx="61">
                  <c:v>41122</c:v>
                </c:pt>
                <c:pt idx="62">
                  <c:v>41153</c:v>
                </c:pt>
                <c:pt idx="63">
                  <c:v>41183</c:v>
                </c:pt>
                <c:pt idx="64">
                  <c:v>41214</c:v>
                </c:pt>
                <c:pt idx="65">
                  <c:v>41244</c:v>
                </c:pt>
                <c:pt idx="66">
                  <c:v>41275</c:v>
                </c:pt>
                <c:pt idx="67">
                  <c:v>41306</c:v>
                </c:pt>
                <c:pt idx="68">
                  <c:v>41334</c:v>
                </c:pt>
                <c:pt idx="69">
                  <c:v>41365</c:v>
                </c:pt>
                <c:pt idx="70">
                  <c:v>41395</c:v>
                </c:pt>
                <c:pt idx="71">
                  <c:v>41426</c:v>
                </c:pt>
                <c:pt idx="72">
                  <c:v>41456</c:v>
                </c:pt>
                <c:pt idx="73">
                  <c:v>41487</c:v>
                </c:pt>
                <c:pt idx="74">
                  <c:v>41518</c:v>
                </c:pt>
                <c:pt idx="75">
                  <c:v>41548</c:v>
                </c:pt>
                <c:pt idx="76">
                  <c:v>41579</c:v>
                </c:pt>
                <c:pt idx="77">
                  <c:v>41609</c:v>
                </c:pt>
                <c:pt idx="78">
                  <c:v>41640</c:v>
                </c:pt>
                <c:pt idx="79">
                  <c:v>41671</c:v>
                </c:pt>
                <c:pt idx="80">
                  <c:v>41699</c:v>
                </c:pt>
                <c:pt idx="81">
                  <c:v>41730</c:v>
                </c:pt>
                <c:pt idx="82">
                  <c:v>41760</c:v>
                </c:pt>
                <c:pt idx="83">
                  <c:v>41791</c:v>
                </c:pt>
                <c:pt idx="84">
                  <c:v>41821</c:v>
                </c:pt>
                <c:pt idx="85">
                  <c:v>41852</c:v>
                </c:pt>
                <c:pt idx="86">
                  <c:v>41883</c:v>
                </c:pt>
                <c:pt idx="87">
                  <c:v>41913</c:v>
                </c:pt>
                <c:pt idx="88">
                  <c:v>41944</c:v>
                </c:pt>
                <c:pt idx="89">
                  <c:v>41974</c:v>
                </c:pt>
                <c:pt idx="90">
                  <c:v>42005</c:v>
                </c:pt>
                <c:pt idx="91">
                  <c:v>42036</c:v>
                </c:pt>
                <c:pt idx="92">
                  <c:v>42064</c:v>
                </c:pt>
                <c:pt idx="93">
                  <c:v>42095</c:v>
                </c:pt>
                <c:pt idx="94">
                  <c:v>42125</c:v>
                </c:pt>
                <c:pt idx="95">
                  <c:v>42156</c:v>
                </c:pt>
                <c:pt idx="96">
                  <c:v>42186</c:v>
                </c:pt>
                <c:pt idx="97">
                  <c:v>42217</c:v>
                </c:pt>
                <c:pt idx="98">
                  <c:v>42248</c:v>
                </c:pt>
                <c:pt idx="99">
                  <c:v>42278</c:v>
                </c:pt>
                <c:pt idx="100">
                  <c:v>42309</c:v>
                </c:pt>
                <c:pt idx="101">
                  <c:v>42339</c:v>
                </c:pt>
                <c:pt idx="102">
                  <c:v>42370</c:v>
                </c:pt>
                <c:pt idx="103">
                  <c:v>42401</c:v>
                </c:pt>
                <c:pt idx="104">
                  <c:v>42430</c:v>
                </c:pt>
                <c:pt idx="105">
                  <c:v>42461</c:v>
                </c:pt>
                <c:pt idx="106">
                  <c:v>42491</c:v>
                </c:pt>
                <c:pt idx="107">
                  <c:v>42522</c:v>
                </c:pt>
                <c:pt idx="108">
                  <c:v>42552</c:v>
                </c:pt>
                <c:pt idx="109">
                  <c:v>42583</c:v>
                </c:pt>
                <c:pt idx="110">
                  <c:v>42614</c:v>
                </c:pt>
                <c:pt idx="111">
                  <c:v>42644</c:v>
                </c:pt>
                <c:pt idx="112">
                  <c:v>42675</c:v>
                </c:pt>
                <c:pt idx="113">
                  <c:v>42705</c:v>
                </c:pt>
                <c:pt idx="114">
                  <c:v>42736</c:v>
                </c:pt>
                <c:pt idx="115">
                  <c:v>42767</c:v>
                </c:pt>
                <c:pt idx="116">
                  <c:v>42795</c:v>
                </c:pt>
                <c:pt idx="117">
                  <c:v>42826</c:v>
                </c:pt>
                <c:pt idx="118">
                  <c:v>42856</c:v>
                </c:pt>
                <c:pt idx="119">
                  <c:v>42887</c:v>
                </c:pt>
                <c:pt idx="120">
                  <c:v>42917</c:v>
                </c:pt>
                <c:pt idx="121">
                  <c:v>42948</c:v>
                </c:pt>
                <c:pt idx="122">
                  <c:v>42979</c:v>
                </c:pt>
                <c:pt idx="123">
                  <c:v>43009</c:v>
                </c:pt>
                <c:pt idx="124">
                  <c:v>43040</c:v>
                </c:pt>
                <c:pt idx="125">
                  <c:v>43070</c:v>
                </c:pt>
                <c:pt idx="126">
                  <c:v>43101</c:v>
                </c:pt>
                <c:pt idx="127">
                  <c:v>43132</c:v>
                </c:pt>
                <c:pt idx="128">
                  <c:v>43160</c:v>
                </c:pt>
                <c:pt idx="129">
                  <c:v>43191</c:v>
                </c:pt>
                <c:pt idx="130">
                  <c:v>43221</c:v>
                </c:pt>
                <c:pt idx="131">
                  <c:v>43252</c:v>
                </c:pt>
                <c:pt idx="132">
                  <c:v>43282</c:v>
                </c:pt>
                <c:pt idx="133">
                  <c:v>43313</c:v>
                </c:pt>
                <c:pt idx="134">
                  <c:v>43344</c:v>
                </c:pt>
                <c:pt idx="135">
                  <c:v>43374</c:v>
                </c:pt>
                <c:pt idx="136">
                  <c:v>43405</c:v>
                </c:pt>
                <c:pt idx="137">
                  <c:v>43435</c:v>
                </c:pt>
                <c:pt idx="138">
                  <c:v>43466</c:v>
                </c:pt>
                <c:pt idx="139">
                  <c:v>43497</c:v>
                </c:pt>
                <c:pt idx="140">
                  <c:v>43525</c:v>
                </c:pt>
                <c:pt idx="141">
                  <c:v>43556</c:v>
                </c:pt>
                <c:pt idx="142">
                  <c:v>43586</c:v>
                </c:pt>
                <c:pt idx="143">
                  <c:v>43617</c:v>
                </c:pt>
                <c:pt idx="144">
                  <c:v>43647</c:v>
                </c:pt>
                <c:pt idx="145">
                  <c:v>43678</c:v>
                </c:pt>
                <c:pt idx="146">
                  <c:v>43709</c:v>
                </c:pt>
                <c:pt idx="147">
                  <c:v>43739</c:v>
                </c:pt>
                <c:pt idx="148">
                  <c:v>43770</c:v>
                </c:pt>
                <c:pt idx="149">
                  <c:v>43800</c:v>
                </c:pt>
                <c:pt idx="150">
                  <c:v>43831</c:v>
                </c:pt>
                <c:pt idx="151">
                  <c:v>43862</c:v>
                </c:pt>
                <c:pt idx="152">
                  <c:v>43891</c:v>
                </c:pt>
                <c:pt idx="153">
                  <c:v>43922</c:v>
                </c:pt>
                <c:pt idx="154">
                  <c:v>43952</c:v>
                </c:pt>
                <c:pt idx="155">
                  <c:v>43983</c:v>
                </c:pt>
                <c:pt idx="156">
                  <c:v>44013</c:v>
                </c:pt>
                <c:pt idx="157">
                  <c:v>44044</c:v>
                </c:pt>
                <c:pt idx="158">
                  <c:v>44075</c:v>
                </c:pt>
                <c:pt idx="159">
                  <c:v>44105</c:v>
                </c:pt>
                <c:pt idx="160">
                  <c:v>44136</c:v>
                </c:pt>
                <c:pt idx="161">
                  <c:v>44166</c:v>
                </c:pt>
                <c:pt idx="162">
                  <c:v>44197</c:v>
                </c:pt>
                <c:pt idx="163">
                  <c:v>44228</c:v>
                </c:pt>
                <c:pt idx="164">
                  <c:v>44256</c:v>
                </c:pt>
                <c:pt idx="165">
                  <c:v>44287</c:v>
                </c:pt>
                <c:pt idx="166">
                  <c:v>44317</c:v>
                </c:pt>
                <c:pt idx="167">
                  <c:v>44348</c:v>
                </c:pt>
                <c:pt idx="168">
                  <c:v>44378</c:v>
                </c:pt>
                <c:pt idx="169">
                  <c:v>44409</c:v>
                </c:pt>
                <c:pt idx="170">
                  <c:v>44440</c:v>
                </c:pt>
                <c:pt idx="171">
                  <c:v>44470</c:v>
                </c:pt>
                <c:pt idx="172">
                  <c:v>44501</c:v>
                </c:pt>
                <c:pt idx="173">
                  <c:v>44531</c:v>
                </c:pt>
                <c:pt idx="174">
                  <c:v>44562</c:v>
                </c:pt>
                <c:pt idx="175">
                  <c:v>44593</c:v>
                </c:pt>
                <c:pt idx="176">
                  <c:v>44621</c:v>
                </c:pt>
                <c:pt idx="177">
                  <c:v>44652</c:v>
                </c:pt>
                <c:pt idx="178">
                  <c:v>44682</c:v>
                </c:pt>
                <c:pt idx="179">
                  <c:v>44713</c:v>
                </c:pt>
                <c:pt idx="180">
                  <c:v>44743</c:v>
                </c:pt>
                <c:pt idx="181">
                  <c:v>44774</c:v>
                </c:pt>
                <c:pt idx="182">
                  <c:v>44805</c:v>
                </c:pt>
                <c:pt idx="183">
                  <c:v>44835</c:v>
                </c:pt>
                <c:pt idx="184">
                  <c:v>44866</c:v>
                </c:pt>
                <c:pt idx="185">
                  <c:v>44896</c:v>
                </c:pt>
                <c:pt idx="186">
                  <c:v>44927</c:v>
                </c:pt>
                <c:pt idx="187">
                  <c:v>44958</c:v>
                </c:pt>
                <c:pt idx="188">
                  <c:v>44986</c:v>
                </c:pt>
                <c:pt idx="189">
                  <c:v>45017</c:v>
                </c:pt>
                <c:pt idx="190">
                  <c:v>45047</c:v>
                </c:pt>
                <c:pt idx="191">
                  <c:v>45078</c:v>
                </c:pt>
                <c:pt idx="192">
                  <c:v>45108</c:v>
                </c:pt>
                <c:pt idx="193">
                  <c:v>45139</c:v>
                </c:pt>
                <c:pt idx="194">
                  <c:v>45170</c:v>
                </c:pt>
                <c:pt idx="195">
                  <c:v>45200</c:v>
                </c:pt>
                <c:pt idx="196">
                  <c:v>45231</c:v>
                </c:pt>
                <c:pt idx="197">
                  <c:v>45261</c:v>
                </c:pt>
                <c:pt idx="198">
                  <c:v>45292</c:v>
                </c:pt>
              </c:numCache>
            </c:numRef>
          </c:cat>
          <c:val>
            <c:numRef>
              <c:f>DE!$B$2:$B$200</c:f>
              <c:numCache>
                <c:formatCode>0.0</c:formatCode>
                <c:ptCount val="199"/>
                <c:pt idx="0">
                  <c:v>58.9</c:v>
                </c:pt>
                <c:pt idx="1">
                  <c:v>59.8</c:v>
                </c:pt>
                <c:pt idx="2">
                  <c:v>53.1</c:v>
                </c:pt>
                <c:pt idx="3">
                  <c:v>55.1</c:v>
                </c:pt>
                <c:pt idx="4">
                  <c:v>53.1</c:v>
                </c:pt>
                <c:pt idx="5">
                  <c:v>51.5</c:v>
                </c:pt>
                <c:pt idx="6">
                  <c:v>49.2</c:v>
                </c:pt>
                <c:pt idx="7">
                  <c:v>52.2</c:v>
                </c:pt>
                <c:pt idx="8">
                  <c:v>51.8</c:v>
                </c:pt>
                <c:pt idx="9">
                  <c:v>54.9</c:v>
                </c:pt>
                <c:pt idx="10">
                  <c:v>53.8</c:v>
                </c:pt>
                <c:pt idx="11">
                  <c:v>52.1</c:v>
                </c:pt>
                <c:pt idx="12">
                  <c:v>53.1</c:v>
                </c:pt>
                <c:pt idx="13">
                  <c:v>51.4</c:v>
                </c:pt>
                <c:pt idx="14">
                  <c:v>50.2</c:v>
                </c:pt>
                <c:pt idx="15">
                  <c:v>48.3</c:v>
                </c:pt>
                <c:pt idx="16">
                  <c:v>45.1</c:v>
                </c:pt>
                <c:pt idx="17">
                  <c:v>43.1</c:v>
                </c:pt>
                <c:pt idx="18">
                  <c:v>45.2</c:v>
                </c:pt>
                <c:pt idx="19">
                  <c:v>41.3</c:v>
                </c:pt>
                <c:pt idx="20">
                  <c:v>42.3</c:v>
                </c:pt>
                <c:pt idx="21">
                  <c:v>43.8</c:v>
                </c:pt>
                <c:pt idx="22">
                  <c:v>45.2</c:v>
                </c:pt>
                <c:pt idx="23">
                  <c:v>45.2</c:v>
                </c:pt>
                <c:pt idx="24">
                  <c:v>48.1</c:v>
                </c:pt>
                <c:pt idx="25">
                  <c:v>53.8</c:v>
                </c:pt>
                <c:pt idx="26">
                  <c:v>52.2</c:v>
                </c:pt>
                <c:pt idx="27">
                  <c:v>50.7</c:v>
                </c:pt>
                <c:pt idx="28">
                  <c:v>51.4</c:v>
                </c:pt>
                <c:pt idx="29">
                  <c:v>52.1</c:v>
                </c:pt>
                <c:pt idx="30">
                  <c:v>52.2</c:v>
                </c:pt>
                <c:pt idx="31">
                  <c:v>51.9</c:v>
                </c:pt>
                <c:pt idx="32">
                  <c:v>54.9</c:v>
                </c:pt>
                <c:pt idx="33">
                  <c:v>53.7</c:v>
                </c:pt>
                <c:pt idx="34">
                  <c:v>54.8</c:v>
                </c:pt>
                <c:pt idx="35">
                  <c:v>54.8</c:v>
                </c:pt>
                <c:pt idx="36">
                  <c:v>56.5</c:v>
                </c:pt>
                <c:pt idx="37">
                  <c:v>57.2</c:v>
                </c:pt>
                <c:pt idx="38">
                  <c:v>54.9</c:v>
                </c:pt>
                <c:pt idx="39">
                  <c:v>56</c:v>
                </c:pt>
                <c:pt idx="40">
                  <c:v>59.2</c:v>
                </c:pt>
                <c:pt idx="41">
                  <c:v>59.5</c:v>
                </c:pt>
                <c:pt idx="42">
                  <c:v>60.3</c:v>
                </c:pt>
                <c:pt idx="43">
                  <c:v>58.6</c:v>
                </c:pt>
                <c:pt idx="44">
                  <c:v>60.1</c:v>
                </c:pt>
                <c:pt idx="45">
                  <c:v>56.8</c:v>
                </c:pt>
                <c:pt idx="46">
                  <c:v>56.1</c:v>
                </c:pt>
                <c:pt idx="47">
                  <c:v>56.7</c:v>
                </c:pt>
                <c:pt idx="48">
                  <c:v>52.9</c:v>
                </c:pt>
                <c:pt idx="49">
                  <c:v>51.1</c:v>
                </c:pt>
                <c:pt idx="50">
                  <c:v>49.7</c:v>
                </c:pt>
                <c:pt idx="51">
                  <c:v>50.6</c:v>
                </c:pt>
                <c:pt idx="52">
                  <c:v>50.3</c:v>
                </c:pt>
                <c:pt idx="53">
                  <c:v>52.4</c:v>
                </c:pt>
                <c:pt idx="54">
                  <c:v>53.7</c:v>
                </c:pt>
                <c:pt idx="55">
                  <c:v>52.8</c:v>
                </c:pt>
                <c:pt idx="56">
                  <c:v>52.1</c:v>
                </c:pt>
                <c:pt idx="57">
                  <c:v>52.2</c:v>
                </c:pt>
                <c:pt idx="58">
                  <c:v>51.8</c:v>
                </c:pt>
                <c:pt idx="59">
                  <c:v>49.9</c:v>
                </c:pt>
                <c:pt idx="60">
                  <c:v>50.3</c:v>
                </c:pt>
                <c:pt idx="61">
                  <c:v>48.3</c:v>
                </c:pt>
                <c:pt idx="62">
                  <c:v>49.7</c:v>
                </c:pt>
                <c:pt idx="63">
                  <c:v>48.4</c:v>
                </c:pt>
                <c:pt idx="64">
                  <c:v>49.7</c:v>
                </c:pt>
                <c:pt idx="65">
                  <c:v>55.7</c:v>
                </c:pt>
                <c:pt idx="66">
                  <c:v>54.7</c:v>
                </c:pt>
                <c:pt idx="67">
                  <c:v>50.9</c:v>
                </c:pt>
                <c:pt idx="68">
                  <c:v>49.6</c:v>
                </c:pt>
                <c:pt idx="69">
                  <c:v>49.7</c:v>
                </c:pt>
                <c:pt idx="70">
                  <c:v>50.4</c:v>
                </c:pt>
                <c:pt idx="71">
                  <c:v>51.3</c:v>
                </c:pt>
                <c:pt idx="72">
                  <c:v>52.8</c:v>
                </c:pt>
                <c:pt idx="73">
                  <c:v>53.7</c:v>
                </c:pt>
                <c:pt idx="74">
                  <c:v>52.9</c:v>
                </c:pt>
                <c:pt idx="75">
                  <c:v>55.7</c:v>
                </c:pt>
                <c:pt idx="76">
                  <c:v>53.5</c:v>
                </c:pt>
                <c:pt idx="77">
                  <c:v>53.1</c:v>
                </c:pt>
                <c:pt idx="78">
                  <c:v>55.9</c:v>
                </c:pt>
                <c:pt idx="79">
                  <c:v>53</c:v>
                </c:pt>
                <c:pt idx="80">
                  <c:v>54.7</c:v>
                </c:pt>
                <c:pt idx="81">
                  <c:v>56.4</c:v>
                </c:pt>
                <c:pt idx="82">
                  <c:v>56</c:v>
                </c:pt>
                <c:pt idx="83">
                  <c:v>54.6</c:v>
                </c:pt>
                <c:pt idx="84">
                  <c:v>56.7</c:v>
                </c:pt>
                <c:pt idx="85">
                  <c:v>54.9</c:v>
                </c:pt>
                <c:pt idx="86">
                  <c:v>55.7</c:v>
                </c:pt>
                <c:pt idx="87">
                  <c:v>54.4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43A3-9AF7-76106240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685056"/>
        <c:axId val="370686592"/>
      </c:areaChart>
      <c:barChart>
        <c:barDir val="col"/>
        <c:grouping val="clustered"/>
        <c:varyColors val="0"/>
        <c:ser>
          <c:idx val="2"/>
          <c:order val="2"/>
          <c:tx>
            <c:strRef>
              <c:f>DE!$D$1</c:f>
              <c:strCache>
                <c:ptCount val="1"/>
                <c:pt idx="0">
                  <c:v>Germany GDP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DE!$D$2:$D$200</c:f>
              <c:numCache>
                <c:formatCode>General</c:formatCode>
                <c:ptCount val="199"/>
                <c:pt idx="2" formatCode="0.0%">
                  <c:v>8.0000000000000002E-3</c:v>
                </c:pt>
                <c:pt idx="5" formatCode="0.0%">
                  <c:v>1E-3</c:v>
                </c:pt>
                <c:pt idx="8" formatCode="0.0%">
                  <c:v>1.6E-2</c:v>
                </c:pt>
                <c:pt idx="11" formatCode="0.0%">
                  <c:v>-6.0000000000000001E-3</c:v>
                </c:pt>
                <c:pt idx="14" formatCode="0.0%">
                  <c:v>-3.0000000000000001E-3</c:v>
                </c:pt>
                <c:pt idx="17" formatCode="0.0%">
                  <c:v>-2.4E-2</c:v>
                </c:pt>
                <c:pt idx="20" formatCode="0.0%">
                  <c:v>-3.6999999999999998E-2</c:v>
                </c:pt>
                <c:pt idx="23" formatCode="0.0%">
                  <c:v>5.0000000000000001E-3</c:v>
                </c:pt>
                <c:pt idx="26" formatCode="0.0%">
                  <c:v>8.0000000000000002E-3</c:v>
                </c:pt>
                <c:pt idx="29" formatCode="0.0%">
                  <c:v>5.0000000000000001E-3</c:v>
                </c:pt>
                <c:pt idx="32" formatCode="0.0%">
                  <c:v>5.0000000000000001E-3</c:v>
                </c:pt>
                <c:pt idx="35" formatCode="0.0%">
                  <c:v>2.1000000000000001E-2</c:v>
                </c:pt>
                <c:pt idx="38" formatCode="0.0%">
                  <c:v>8.0000000000000002E-3</c:v>
                </c:pt>
                <c:pt idx="41" formatCode="0.0%">
                  <c:v>4.0000000000000001E-3</c:v>
                </c:pt>
                <c:pt idx="44" formatCode="0.0%">
                  <c:v>1.4999999999999999E-2</c:v>
                </c:pt>
                <c:pt idx="47" formatCode="0.0%">
                  <c:v>1E-3</c:v>
                </c:pt>
                <c:pt idx="50" formatCode="0.0%">
                  <c:v>4.0000000000000001E-3</c:v>
                </c:pt>
                <c:pt idx="53" formatCode="0.0%">
                  <c:v>1E-3</c:v>
                </c:pt>
                <c:pt idx="56" formatCode="0.0%">
                  <c:v>7.0000000000000001E-3</c:v>
                </c:pt>
                <c:pt idx="59" formatCode="0.0%">
                  <c:v>-1E-3</c:v>
                </c:pt>
                <c:pt idx="62" formatCode="0.0%">
                  <c:v>2E-3</c:v>
                </c:pt>
                <c:pt idx="65" formatCode="0.0%">
                  <c:v>-5.0000000000000001E-3</c:v>
                </c:pt>
                <c:pt idx="68" formatCode="0.0%">
                  <c:v>1E-3</c:v>
                </c:pt>
                <c:pt idx="71" formatCode="0.0%">
                  <c:v>7.0000000000000001E-3</c:v>
                </c:pt>
                <c:pt idx="74" formatCode="0.0%">
                  <c:v>3.0000000000000001E-3</c:v>
                </c:pt>
                <c:pt idx="77" formatCode="0.0%">
                  <c:v>4.0000000000000001E-3</c:v>
                </c:pt>
                <c:pt idx="80" formatCode="0.0%">
                  <c:v>8.0000000000000002E-3</c:v>
                </c:pt>
                <c:pt idx="83" formatCode="0.00%">
                  <c:v>-2E-3</c:v>
                </c:pt>
                <c:pt idx="86" formatCode="0.0%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7-43A3-9AF7-76106240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694016"/>
        <c:axId val="37069248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DE!$B$2:$B$200</c:f>
              <c:numCache>
                <c:formatCode>0.0</c:formatCode>
                <c:ptCount val="199"/>
                <c:pt idx="0">
                  <c:v>58.9</c:v>
                </c:pt>
                <c:pt idx="1">
                  <c:v>59.8</c:v>
                </c:pt>
                <c:pt idx="2">
                  <c:v>53.1</c:v>
                </c:pt>
                <c:pt idx="3">
                  <c:v>55.1</c:v>
                </c:pt>
                <c:pt idx="4">
                  <c:v>53.1</c:v>
                </c:pt>
                <c:pt idx="5">
                  <c:v>51.5</c:v>
                </c:pt>
                <c:pt idx="6">
                  <c:v>49.2</c:v>
                </c:pt>
                <c:pt idx="7">
                  <c:v>52.2</c:v>
                </c:pt>
                <c:pt idx="8">
                  <c:v>51.8</c:v>
                </c:pt>
                <c:pt idx="9">
                  <c:v>54.9</c:v>
                </c:pt>
                <c:pt idx="10">
                  <c:v>53.8</c:v>
                </c:pt>
                <c:pt idx="11">
                  <c:v>52.1</c:v>
                </c:pt>
                <c:pt idx="12">
                  <c:v>53.1</c:v>
                </c:pt>
                <c:pt idx="13">
                  <c:v>51.4</c:v>
                </c:pt>
                <c:pt idx="14">
                  <c:v>50.2</c:v>
                </c:pt>
                <c:pt idx="15">
                  <c:v>48.3</c:v>
                </c:pt>
                <c:pt idx="16">
                  <c:v>45.1</c:v>
                </c:pt>
                <c:pt idx="17">
                  <c:v>43.1</c:v>
                </c:pt>
                <c:pt idx="18">
                  <c:v>45.2</c:v>
                </c:pt>
                <c:pt idx="19">
                  <c:v>41.3</c:v>
                </c:pt>
                <c:pt idx="20">
                  <c:v>42.3</c:v>
                </c:pt>
                <c:pt idx="21">
                  <c:v>43.8</c:v>
                </c:pt>
                <c:pt idx="22">
                  <c:v>45.2</c:v>
                </c:pt>
                <c:pt idx="23">
                  <c:v>45.2</c:v>
                </c:pt>
                <c:pt idx="24">
                  <c:v>48.1</c:v>
                </c:pt>
                <c:pt idx="25">
                  <c:v>53.8</c:v>
                </c:pt>
                <c:pt idx="26">
                  <c:v>52.2</c:v>
                </c:pt>
                <c:pt idx="27">
                  <c:v>50.7</c:v>
                </c:pt>
                <c:pt idx="28">
                  <c:v>51.4</c:v>
                </c:pt>
                <c:pt idx="29">
                  <c:v>52.1</c:v>
                </c:pt>
                <c:pt idx="30">
                  <c:v>52.2</c:v>
                </c:pt>
                <c:pt idx="31">
                  <c:v>51.9</c:v>
                </c:pt>
                <c:pt idx="32">
                  <c:v>54.9</c:v>
                </c:pt>
                <c:pt idx="33">
                  <c:v>53.7</c:v>
                </c:pt>
                <c:pt idx="34">
                  <c:v>54.8</c:v>
                </c:pt>
                <c:pt idx="35">
                  <c:v>54.8</c:v>
                </c:pt>
                <c:pt idx="36">
                  <c:v>56.5</c:v>
                </c:pt>
                <c:pt idx="37">
                  <c:v>57.2</c:v>
                </c:pt>
                <c:pt idx="38">
                  <c:v>54.9</c:v>
                </c:pt>
                <c:pt idx="39">
                  <c:v>56</c:v>
                </c:pt>
                <c:pt idx="40">
                  <c:v>59.2</c:v>
                </c:pt>
                <c:pt idx="41">
                  <c:v>59.5</c:v>
                </c:pt>
                <c:pt idx="42">
                  <c:v>60.3</c:v>
                </c:pt>
                <c:pt idx="43">
                  <c:v>58.6</c:v>
                </c:pt>
                <c:pt idx="44">
                  <c:v>60.1</c:v>
                </c:pt>
                <c:pt idx="45">
                  <c:v>56.8</c:v>
                </c:pt>
                <c:pt idx="46">
                  <c:v>56.1</c:v>
                </c:pt>
                <c:pt idx="47">
                  <c:v>56.7</c:v>
                </c:pt>
                <c:pt idx="48">
                  <c:v>52.9</c:v>
                </c:pt>
                <c:pt idx="49">
                  <c:v>51.1</c:v>
                </c:pt>
                <c:pt idx="50">
                  <c:v>49.7</c:v>
                </c:pt>
                <c:pt idx="51">
                  <c:v>50.6</c:v>
                </c:pt>
                <c:pt idx="52">
                  <c:v>50.3</c:v>
                </c:pt>
                <c:pt idx="53">
                  <c:v>52.4</c:v>
                </c:pt>
                <c:pt idx="54">
                  <c:v>53.7</c:v>
                </c:pt>
                <c:pt idx="55">
                  <c:v>52.8</c:v>
                </c:pt>
                <c:pt idx="56">
                  <c:v>52.1</c:v>
                </c:pt>
                <c:pt idx="57">
                  <c:v>52.2</c:v>
                </c:pt>
                <c:pt idx="58">
                  <c:v>51.8</c:v>
                </c:pt>
                <c:pt idx="59">
                  <c:v>49.9</c:v>
                </c:pt>
                <c:pt idx="60">
                  <c:v>50.3</c:v>
                </c:pt>
                <c:pt idx="61">
                  <c:v>48.3</c:v>
                </c:pt>
                <c:pt idx="62">
                  <c:v>49.7</c:v>
                </c:pt>
                <c:pt idx="63">
                  <c:v>48.4</c:v>
                </c:pt>
                <c:pt idx="64">
                  <c:v>49.7</c:v>
                </c:pt>
                <c:pt idx="65">
                  <c:v>55.7</c:v>
                </c:pt>
                <c:pt idx="66">
                  <c:v>54.7</c:v>
                </c:pt>
                <c:pt idx="67">
                  <c:v>50.9</c:v>
                </c:pt>
                <c:pt idx="68">
                  <c:v>49.6</c:v>
                </c:pt>
                <c:pt idx="69">
                  <c:v>49.7</c:v>
                </c:pt>
                <c:pt idx="70">
                  <c:v>50.4</c:v>
                </c:pt>
                <c:pt idx="71">
                  <c:v>51.3</c:v>
                </c:pt>
                <c:pt idx="72">
                  <c:v>52.8</c:v>
                </c:pt>
                <c:pt idx="73">
                  <c:v>53.7</c:v>
                </c:pt>
                <c:pt idx="74">
                  <c:v>52.9</c:v>
                </c:pt>
                <c:pt idx="75">
                  <c:v>55.7</c:v>
                </c:pt>
                <c:pt idx="76">
                  <c:v>53.5</c:v>
                </c:pt>
                <c:pt idx="77">
                  <c:v>53.1</c:v>
                </c:pt>
                <c:pt idx="78">
                  <c:v>55.9</c:v>
                </c:pt>
                <c:pt idx="79">
                  <c:v>53</c:v>
                </c:pt>
                <c:pt idx="80">
                  <c:v>54.7</c:v>
                </c:pt>
                <c:pt idx="81">
                  <c:v>56.4</c:v>
                </c:pt>
                <c:pt idx="82">
                  <c:v>56</c:v>
                </c:pt>
                <c:pt idx="83">
                  <c:v>54.6</c:v>
                </c:pt>
                <c:pt idx="84">
                  <c:v>56.7</c:v>
                </c:pt>
                <c:pt idx="85">
                  <c:v>54.9</c:v>
                </c:pt>
                <c:pt idx="86">
                  <c:v>55.7</c:v>
                </c:pt>
                <c:pt idx="87">
                  <c:v>54.4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7-43A3-9AF7-76106240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685056"/>
        <c:axId val="370686592"/>
      </c:lineChart>
      <c:dateAx>
        <c:axId val="370685056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686592"/>
        <c:crossesAt val="50"/>
        <c:auto val="1"/>
        <c:lblOffset val="100"/>
        <c:baseTimeUnit val="months"/>
        <c:majorUnit val="1"/>
        <c:majorTimeUnit val="years"/>
      </c:dateAx>
      <c:valAx>
        <c:axId val="370686592"/>
        <c:scaling>
          <c:orientation val="minMax"/>
          <c:max val="62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685056"/>
        <c:crosses val="autoZero"/>
        <c:crossBetween val="between"/>
        <c:majorUnit val="6"/>
      </c:valAx>
      <c:valAx>
        <c:axId val="370692480"/>
        <c:scaling>
          <c:orientation val="minMax"/>
          <c:max val="4.0000000000000015E-2"/>
          <c:min val="-4.0000000000000015E-2"/>
        </c:scaling>
        <c:delete val="0"/>
        <c:axPos val="r"/>
        <c:numFmt formatCode="0.0%" sourceLinked="0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70694016"/>
        <c:crosses val="max"/>
        <c:crossBetween val="between"/>
      </c:valAx>
      <c:catAx>
        <c:axId val="370694016"/>
        <c:scaling>
          <c:orientation val="minMax"/>
        </c:scaling>
        <c:delete val="1"/>
        <c:axPos val="b"/>
        <c:majorTickMark val="out"/>
        <c:minorTickMark val="none"/>
        <c:tickLblPos val="none"/>
        <c:crossAx val="37069248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81E-2"/>
          <c:y val="0.13663060292737222"/>
          <c:w val="0.17124695150516736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Service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FR!$B$14</c:f>
              <c:strCache>
                <c:ptCount val="1"/>
                <c:pt idx="0">
                  <c:v>France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FR!$A$15:$A$213</c:f>
              <c:numCache>
                <c:formatCode>mmm\-yy</c:formatCode>
                <c:ptCount val="199"/>
                <c:pt idx="0">
                  <c:v>39661</c:v>
                </c:pt>
                <c:pt idx="1">
                  <c:v>39692</c:v>
                </c:pt>
                <c:pt idx="2">
                  <c:v>39722</c:v>
                </c:pt>
                <c:pt idx="3">
                  <c:v>39753</c:v>
                </c:pt>
                <c:pt idx="4">
                  <c:v>39783</c:v>
                </c:pt>
                <c:pt idx="5">
                  <c:v>39814</c:v>
                </c:pt>
                <c:pt idx="6">
                  <c:v>39845</c:v>
                </c:pt>
                <c:pt idx="7">
                  <c:v>39873</c:v>
                </c:pt>
                <c:pt idx="8">
                  <c:v>39904</c:v>
                </c:pt>
                <c:pt idx="9">
                  <c:v>39934</c:v>
                </c:pt>
                <c:pt idx="10">
                  <c:v>39965</c:v>
                </c:pt>
                <c:pt idx="11">
                  <c:v>39995</c:v>
                </c:pt>
                <c:pt idx="12">
                  <c:v>40026</c:v>
                </c:pt>
                <c:pt idx="13">
                  <c:v>40057</c:v>
                </c:pt>
                <c:pt idx="14">
                  <c:v>40087</c:v>
                </c:pt>
                <c:pt idx="15">
                  <c:v>40118</c:v>
                </c:pt>
                <c:pt idx="16">
                  <c:v>40148</c:v>
                </c:pt>
                <c:pt idx="17">
                  <c:v>40179</c:v>
                </c:pt>
                <c:pt idx="18">
                  <c:v>40210</c:v>
                </c:pt>
                <c:pt idx="19">
                  <c:v>40238</c:v>
                </c:pt>
                <c:pt idx="20">
                  <c:v>40269</c:v>
                </c:pt>
                <c:pt idx="21">
                  <c:v>40299</c:v>
                </c:pt>
                <c:pt idx="22">
                  <c:v>40330</c:v>
                </c:pt>
                <c:pt idx="23">
                  <c:v>40360</c:v>
                </c:pt>
                <c:pt idx="24">
                  <c:v>40391</c:v>
                </c:pt>
                <c:pt idx="25">
                  <c:v>40422</c:v>
                </c:pt>
                <c:pt idx="26">
                  <c:v>40452</c:v>
                </c:pt>
                <c:pt idx="27">
                  <c:v>40483</c:v>
                </c:pt>
                <c:pt idx="28">
                  <c:v>40513</c:v>
                </c:pt>
                <c:pt idx="29">
                  <c:v>40544</c:v>
                </c:pt>
                <c:pt idx="30">
                  <c:v>40575</c:v>
                </c:pt>
                <c:pt idx="31">
                  <c:v>40603</c:v>
                </c:pt>
                <c:pt idx="32">
                  <c:v>40634</c:v>
                </c:pt>
                <c:pt idx="33">
                  <c:v>40664</c:v>
                </c:pt>
                <c:pt idx="34">
                  <c:v>40695</c:v>
                </c:pt>
                <c:pt idx="35">
                  <c:v>40725</c:v>
                </c:pt>
                <c:pt idx="36">
                  <c:v>40756</c:v>
                </c:pt>
                <c:pt idx="37">
                  <c:v>40787</c:v>
                </c:pt>
                <c:pt idx="38">
                  <c:v>40817</c:v>
                </c:pt>
                <c:pt idx="39">
                  <c:v>40848</c:v>
                </c:pt>
                <c:pt idx="40">
                  <c:v>40878</c:v>
                </c:pt>
                <c:pt idx="41">
                  <c:v>40909</c:v>
                </c:pt>
                <c:pt idx="42">
                  <c:v>40940</c:v>
                </c:pt>
                <c:pt idx="43">
                  <c:v>40969</c:v>
                </c:pt>
                <c:pt idx="44">
                  <c:v>41000</c:v>
                </c:pt>
                <c:pt idx="45">
                  <c:v>41030</c:v>
                </c:pt>
                <c:pt idx="46">
                  <c:v>41061</c:v>
                </c:pt>
                <c:pt idx="47">
                  <c:v>41091</c:v>
                </c:pt>
                <c:pt idx="48">
                  <c:v>41122</c:v>
                </c:pt>
                <c:pt idx="49">
                  <c:v>41153</c:v>
                </c:pt>
                <c:pt idx="50">
                  <c:v>41183</c:v>
                </c:pt>
                <c:pt idx="51">
                  <c:v>41214</c:v>
                </c:pt>
                <c:pt idx="52">
                  <c:v>41244</c:v>
                </c:pt>
                <c:pt idx="53">
                  <c:v>41275</c:v>
                </c:pt>
                <c:pt idx="54">
                  <c:v>41306</c:v>
                </c:pt>
                <c:pt idx="55">
                  <c:v>41334</c:v>
                </c:pt>
                <c:pt idx="56">
                  <c:v>41365</c:v>
                </c:pt>
                <c:pt idx="57">
                  <c:v>41395</c:v>
                </c:pt>
                <c:pt idx="58">
                  <c:v>41426</c:v>
                </c:pt>
                <c:pt idx="59">
                  <c:v>41456</c:v>
                </c:pt>
                <c:pt idx="60">
                  <c:v>41487</c:v>
                </c:pt>
                <c:pt idx="61">
                  <c:v>41518</c:v>
                </c:pt>
                <c:pt idx="62">
                  <c:v>41548</c:v>
                </c:pt>
                <c:pt idx="63">
                  <c:v>41579</c:v>
                </c:pt>
                <c:pt idx="64">
                  <c:v>41609</c:v>
                </c:pt>
                <c:pt idx="65">
                  <c:v>41640</c:v>
                </c:pt>
                <c:pt idx="66">
                  <c:v>41671</c:v>
                </c:pt>
                <c:pt idx="67">
                  <c:v>41699</c:v>
                </c:pt>
                <c:pt idx="68">
                  <c:v>41730</c:v>
                </c:pt>
                <c:pt idx="69">
                  <c:v>41760</c:v>
                </c:pt>
                <c:pt idx="70">
                  <c:v>41791</c:v>
                </c:pt>
                <c:pt idx="71">
                  <c:v>41821</c:v>
                </c:pt>
                <c:pt idx="72">
                  <c:v>41852</c:v>
                </c:pt>
                <c:pt idx="73">
                  <c:v>41883</c:v>
                </c:pt>
                <c:pt idx="74">
                  <c:v>41913</c:v>
                </c:pt>
                <c:pt idx="75">
                  <c:v>41944</c:v>
                </c:pt>
                <c:pt idx="76">
                  <c:v>41974</c:v>
                </c:pt>
                <c:pt idx="77">
                  <c:v>42005</c:v>
                </c:pt>
                <c:pt idx="78">
                  <c:v>42036</c:v>
                </c:pt>
                <c:pt idx="79">
                  <c:v>42064</c:v>
                </c:pt>
                <c:pt idx="80">
                  <c:v>42095</c:v>
                </c:pt>
                <c:pt idx="81">
                  <c:v>42125</c:v>
                </c:pt>
                <c:pt idx="82">
                  <c:v>42156</c:v>
                </c:pt>
                <c:pt idx="83">
                  <c:v>42186</c:v>
                </c:pt>
                <c:pt idx="84">
                  <c:v>42217</c:v>
                </c:pt>
                <c:pt idx="85">
                  <c:v>42248</c:v>
                </c:pt>
                <c:pt idx="86">
                  <c:v>42278</c:v>
                </c:pt>
                <c:pt idx="87">
                  <c:v>42309</c:v>
                </c:pt>
                <c:pt idx="88">
                  <c:v>42339</c:v>
                </c:pt>
                <c:pt idx="89">
                  <c:v>42370</c:v>
                </c:pt>
                <c:pt idx="90">
                  <c:v>42401</c:v>
                </c:pt>
                <c:pt idx="91">
                  <c:v>42430</c:v>
                </c:pt>
                <c:pt idx="92">
                  <c:v>42461</c:v>
                </c:pt>
                <c:pt idx="93">
                  <c:v>42491</c:v>
                </c:pt>
                <c:pt idx="94">
                  <c:v>42522</c:v>
                </c:pt>
                <c:pt idx="95">
                  <c:v>42552</c:v>
                </c:pt>
                <c:pt idx="96">
                  <c:v>42583</c:v>
                </c:pt>
                <c:pt idx="97">
                  <c:v>42614</c:v>
                </c:pt>
                <c:pt idx="98">
                  <c:v>42644</c:v>
                </c:pt>
                <c:pt idx="99">
                  <c:v>42675</c:v>
                </c:pt>
                <c:pt idx="100">
                  <c:v>42705</c:v>
                </c:pt>
                <c:pt idx="101">
                  <c:v>42736</c:v>
                </c:pt>
                <c:pt idx="102">
                  <c:v>42767</c:v>
                </c:pt>
                <c:pt idx="103">
                  <c:v>42795</c:v>
                </c:pt>
                <c:pt idx="104">
                  <c:v>42826</c:v>
                </c:pt>
                <c:pt idx="105">
                  <c:v>42856</c:v>
                </c:pt>
                <c:pt idx="106">
                  <c:v>42887</c:v>
                </c:pt>
                <c:pt idx="107">
                  <c:v>42917</c:v>
                </c:pt>
                <c:pt idx="108">
                  <c:v>42948</c:v>
                </c:pt>
                <c:pt idx="109">
                  <c:v>42979</c:v>
                </c:pt>
                <c:pt idx="110">
                  <c:v>43009</c:v>
                </c:pt>
                <c:pt idx="111">
                  <c:v>43040</c:v>
                </c:pt>
                <c:pt idx="112">
                  <c:v>43070</c:v>
                </c:pt>
                <c:pt idx="113">
                  <c:v>43101</c:v>
                </c:pt>
                <c:pt idx="114">
                  <c:v>43132</c:v>
                </c:pt>
                <c:pt idx="115">
                  <c:v>43160</c:v>
                </c:pt>
                <c:pt idx="116">
                  <c:v>43191</c:v>
                </c:pt>
                <c:pt idx="117">
                  <c:v>43221</c:v>
                </c:pt>
                <c:pt idx="118">
                  <c:v>43252</c:v>
                </c:pt>
                <c:pt idx="119">
                  <c:v>43282</c:v>
                </c:pt>
                <c:pt idx="120">
                  <c:v>43313</c:v>
                </c:pt>
                <c:pt idx="121">
                  <c:v>43344</c:v>
                </c:pt>
                <c:pt idx="122">
                  <c:v>43374</c:v>
                </c:pt>
                <c:pt idx="123">
                  <c:v>43405</c:v>
                </c:pt>
                <c:pt idx="124">
                  <c:v>43435</c:v>
                </c:pt>
                <c:pt idx="125">
                  <c:v>43466</c:v>
                </c:pt>
                <c:pt idx="126">
                  <c:v>43497</c:v>
                </c:pt>
                <c:pt idx="127">
                  <c:v>43525</c:v>
                </c:pt>
                <c:pt idx="128">
                  <c:v>43556</c:v>
                </c:pt>
                <c:pt idx="129">
                  <c:v>43586</c:v>
                </c:pt>
                <c:pt idx="130">
                  <c:v>43617</c:v>
                </c:pt>
                <c:pt idx="131">
                  <c:v>43647</c:v>
                </c:pt>
                <c:pt idx="132">
                  <c:v>43678</c:v>
                </c:pt>
                <c:pt idx="133">
                  <c:v>43709</c:v>
                </c:pt>
                <c:pt idx="134">
                  <c:v>43739</c:v>
                </c:pt>
                <c:pt idx="135">
                  <c:v>43770</c:v>
                </c:pt>
                <c:pt idx="136">
                  <c:v>43800</c:v>
                </c:pt>
                <c:pt idx="137">
                  <c:v>43831</c:v>
                </c:pt>
                <c:pt idx="138">
                  <c:v>43862</c:v>
                </c:pt>
                <c:pt idx="139">
                  <c:v>43891</c:v>
                </c:pt>
                <c:pt idx="140">
                  <c:v>43922</c:v>
                </c:pt>
                <c:pt idx="141">
                  <c:v>43952</c:v>
                </c:pt>
                <c:pt idx="142">
                  <c:v>43983</c:v>
                </c:pt>
                <c:pt idx="143">
                  <c:v>44013</c:v>
                </c:pt>
                <c:pt idx="144">
                  <c:v>44044</c:v>
                </c:pt>
                <c:pt idx="145">
                  <c:v>44075</c:v>
                </c:pt>
                <c:pt idx="146">
                  <c:v>44105</c:v>
                </c:pt>
                <c:pt idx="147">
                  <c:v>44136</c:v>
                </c:pt>
                <c:pt idx="148">
                  <c:v>44166</c:v>
                </c:pt>
                <c:pt idx="149">
                  <c:v>44197</c:v>
                </c:pt>
                <c:pt idx="150">
                  <c:v>44228</c:v>
                </c:pt>
                <c:pt idx="151">
                  <c:v>44256</c:v>
                </c:pt>
                <c:pt idx="152">
                  <c:v>44287</c:v>
                </c:pt>
                <c:pt idx="153">
                  <c:v>44317</c:v>
                </c:pt>
                <c:pt idx="154">
                  <c:v>44348</c:v>
                </c:pt>
                <c:pt idx="155">
                  <c:v>44378</c:v>
                </c:pt>
                <c:pt idx="156">
                  <c:v>44409</c:v>
                </c:pt>
                <c:pt idx="157">
                  <c:v>44440</c:v>
                </c:pt>
                <c:pt idx="158">
                  <c:v>44470</c:v>
                </c:pt>
                <c:pt idx="159">
                  <c:v>44501</c:v>
                </c:pt>
                <c:pt idx="160">
                  <c:v>44531</c:v>
                </c:pt>
                <c:pt idx="161">
                  <c:v>44562</c:v>
                </c:pt>
                <c:pt idx="162">
                  <c:v>44593</c:v>
                </c:pt>
                <c:pt idx="163">
                  <c:v>44621</c:v>
                </c:pt>
                <c:pt idx="164">
                  <c:v>44652</c:v>
                </c:pt>
                <c:pt idx="165">
                  <c:v>44682</c:v>
                </c:pt>
                <c:pt idx="166">
                  <c:v>44713</c:v>
                </c:pt>
                <c:pt idx="167">
                  <c:v>44743</c:v>
                </c:pt>
                <c:pt idx="168">
                  <c:v>44774</c:v>
                </c:pt>
                <c:pt idx="169">
                  <c:v>44805</c:v>
                </c:pt>
                <c:pt idx="170">
                  <c:v>44835</c:v>
                </c:pt>
                <c:pt idx="171">
                  <c:v>44866</c:v>
                </c:pt>
                <c:pt idx="172">
                  <c:v>44896</c:v>
                </c:pt>
                <c:pt idx="173">
                  <c:v>44927</c:v>
                </c:pt>
                <c:pt idx="174">
                  <c:v>44958</c:v>
                </c:pt>
                <c:pt idx="175">
                  <c:v>44986</c:v>
                </c:pt>
                <c:pt idx="176">
                  <c:v>45017</c:v>
                </c:pt>
                <c:pt idx="177">
                  <c:v>45047</c:v>
                </c:pt>
                <c:pt idx="178">
                  <c:v>45078</c:v>
                </c:pt>
                <c:pt idx="179">
                  <c:v>45108</c:v>
                </c:pt>
                <c:pt idx="180">
                  <c:v>45139</c:v>
                </c:pt>
                <c:pt idx="181">
                  <c:v>45170</c:v>
                </c:pt>
                <c:pt idx="182">
                  <c:v>45200</c:v>
                </c:pt>
                <c:pt idx="183">
                  <c:v>45231</c:v>
                </c:pt>
                <c:pt idx="184">
                  <c:v>45261</c:v>
                </c:pt>
                <c:pt idx="185">
                  <c:v>45292</c:v>
                </c:pt>
                <c:pt idx="186">
                  <c:v>45323</c:v>
                </c:pt>
                <c:pt idx="187">
                  <c:v>45352</c:v>
                </c:pt>
                <c:pt idx="188">
                  <c:v>45383</c:v>
                </c:pt>
                <c:pt idx="189">
                  <c:v>45413</c:v>
                </c:pt>
                <c:pt idx="190">
                  <c:v>45444</c:v>
                </c:pt>
                <c:pt idx="191">
                  <c:v>45474</c:v>
                </c:pt>
                <c:pt idx="192">
                  <c:v>45505</c:v>
                </c:pt>
                <c:pt idx="193">
                  <c:v>45536</c:v>
                </c:pt>
                <c:pt idx="194">
                  <c:v>45566</c:v>
                </c:pt>
                <c:pt idx="195">
                  <c:v>45597</c:v>
                </c:pt>
                <c:pt idx="196">
                  <c:v>45627</c:v>
                </c:pt>
                <c:pt idx="197">
                  <c:v>45658</c:v>
                </c:pt>
                <c:pt idx="198">
                  <c:v>45689</c:v>
                </c:pt>
              </c:numCache>
            </c:numRef>
          </c:cat>
          <c:val>
            <c:numRef>
              <c:f>FR!$B$15:$B$213</c:f>
              <c:numCache>
                <c:formatCode>0.0</c:formatCode>
                <c:ptCount val="199"/>
                <c:pt idx="0">
                  <c:v>48</c:v>
                </c:pt>
                <c:pt idx="1">
                  <c:v>50.1</c:v>
                </c:pt>
                <c:pt idx="2">
                  <c:v>47.5</c:v>
                </c:pt>
                <c:pt idx="3">
                  <c:v>46.2</c:v>
                </c:pt>
                <c:pt idx="4">
                  <c:v>44.2</c:v>
                </c:pt>
                <c:pt idx="5">
                  <c:v>42.6</c:v>
                </c:pt>
                <c:pt idx="6">
                  <c:v>40.200000000000003</c:v>
                </c:pt>
                <c:pt idx="7">
                  <c:v>43.6</c:v>
                </c:pt>
                <c:pt idx="8">
                  <c:v>46.5</c:v>
                </c:pt>
                <c:pt idx="9">
                  <c:v>48.3</c:v>
                </c:pt>
                <c:pt idx="10">
                  <c:v>47.2</c:v>
                </c:pt>
                <c:pt idx="11">
                  <c:v>45.5</c:v>
                </c:pt>
                <c:pt idx="12">
                  <c:v>49.3</c:v>
                </c:pt>
                <c:pt idx="13">
                  <c:v>53.2</c:v>
                </c:pt>
                <c:pt idx="14">
                  <c:v>57.7</c:v>
                </c:pt>
                <c:pt idx="15">
                  <c:v>60.9</c:v>
                </c:pt>
                <c:pt idx="16">
                  <c:v>58.2</c:v>
                </c:pt>
                <c:pt idx="17">
                  <c:v>56.3</c:v>
                </c:pt>
                <c:pt idx="18">
                  <c:v>54.6</c:v>
                </c:pt>
                <c:pt idx="19">
                  <c:v>53.8</c:v>
                </c:pt>
                <c:pt idx="20">
                  <c:v>59.2</c:v>
                </c:pt>
                <c:pt idx="21">
                  <c:v>61.4</c:v>
                </c:pt>
                <c:pt idx="22">
                  <c:v>60.8</c:v>
                </c:pt>
                <c:pt idx="23">
                  <c:v>61.1</c:v>
                </c:pt>
                <c:pt idx="24">
                  <c:v>60.4</c:v>
                </c:pt>
                <c:pt idx="25">
                  <c:v>58.2</c:v>
                </c:pt>
                <c:pt idx="26">
                  <c:v>54.8</c:v>
                </c:pt>
                <c:pt idx="27">
                  <c:v>55</c:v>
                </c:pt>
                <c:pt idx="28">
                  <c:v>57.1</c:v>
                </c:pt>
                <c:pt idx="29">
                  <c:v>58.3</c:v>
                </c:pt>
                <c:pt idx="30">
                  <c:v>59.7</c:v>
                </c:pt>
                <c:pt idx="31">
                  <c:v>60.4</c:v>
                </c:pt>
                <c:pt idx="32">
                  <c:v>62.9</c:v>
                </c:pt>
                <c:pt idx="33">
                  <c:v>62.5</c:v>
                </c:pt>
                <c:pt idx="34">
                  <c:v>56.1</c:v>
                </c:pt>
                <c:pt idx="35">
                  <c:v>54.2</c:v>
                </c:pt>
                <c:pt idx="36">
                  <c:v>52.3</c:v>
                </c:pt>
                <c:pt idx="37">
                  <c:v>51.5</c:v>
                </c:pt>
                <c:pt idx="38">
                  <c:v>44.6</c:v>
                </c:pt>
                <c:pt idx="39">
                  <c:v>49.6</c:v>
                </c:pt>
                <c:pt idx="40">
                  <c:v>50.3</c:v>
                </c:pt>
                <c:pt idx="41">
                  <c:v>52.3</c:v>
                </c:pt>
                <c:pt idx="42">
                  <c:v>50</c:v>
                </c:pt>
                <c:pt idx="43">
                  <c:v>50.1</c:v>
                </c:pt>
                <c:pt idx="44">
                  <c:v>45.2</c:v>
                </c:pt>
                <c:pt idx="45">
                  <c:v>45.1</c:v>
                </c:pt>
                <c:pt idx="46">
                  <c:v>47.9</c:v>
                </c:pt>
                <c:pt idx="47">
                  <c:v>50</c:v>
                </c:pt>
                <c:pt idx="48">
                  <c:v>49.2</c:v>
                </c:pt>
                <c:pt idx="49">
                  <c:v>45</c:v>
                </c:pt>
                <c:pt idx="50">
                  <c:v>44.6</c:v>
                </c:pt>
                <c:pt idx="51">
                  <c:v>45.8</c:v>
                </c:pt>
                <c:pt idx="52">
                  <c:v>44.1</c:v>
                </c:pt>
                <c:pt idx="53">
                  <c:v>43.6</c:v>
                </c:pt>
                <c:pt idx="54">
                  <c:v>43.7</c:v>
                </c:pt>
                <c:pt idx="55">
                  <c:v>41.3</c:v>
                </c:pt>
                <c:pt idx="56">
                  <c:v>44.3</c:v>
                </c:pt>
                <c:pt idx="57">
                  <c:v>44.3</c:v>
                </c:pt>
                <c:pt idx="58">
                  <c:v>47.2</c:v>
                </c:pt>
                <c:pt idx="59">
                  <c:v>48.6</c:v>
                </c:pt>
                <c:pt idx="60">
                  <c:v>48.9</c:v>
                </c:pt>
                <c:pt idx="61">
                  <c:v>51</c:v>
                </c:pt>
                <c:pt idx="62">
                  <c:v>50.9</c:v>
                </c:pt>
                <c:pt idx="63">
                  <c:v>48</c:v>
                </c:pt>
                <c:pt idx="64">
                  <c:v>48.1</c:v>
                </c:pt>
                <c:pt idx="65">
                  <c:v>48.9</c:v>
                </c:pt>
                <c:pt idx="66">
                  <c:v>47.2</c:v>
                </c:pt>
                <c:pt idx="67">
                  <c:v>51.5</c:v>
                </c:pt>
                <c:pt idx="68">
                  <c:v>50.4</c:v>
                </c:pt>
                <c:pt idx="69">
                  <c:v>49.1</c:v>
                </c:pt>
                <c:pt idx="70">
                  <c:v>48.2</c:v>
                </c:pt>
                <c:pt idx="71">
                  <c:v>50.4</c:v>
                </c:pt>
                <c:pt idx="72">
                  <c:v>50.3</c:v>
                </c:pt>
                <c:pt idx="73">
                  <c:v>48.4</c:v>
                </c:pt>
                <c:pt idx="74">
                  <c:v>48.3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0-4B4E-B077-DE31D4890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55936"/>
        <c:axId val="37085747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FR!$B$15:$B$213</c:f>
              <c:numCache>
                <c:formatCode>0.0</c:formatCode>
                <c:ptCount val="199"/>
                <c:pt idx="0">
                  <c:v>48</c:v>
                </c:pt>
                <c:pt idx="1">
                  <c:v>50.1</c:v>
                </c:pt>
                <c:pt idx="2">
                  <c:v>47.5</c:v>
                </c:pt>
                <c:pt idx="3">
                  <c:v>46.2</c:v>
                </c:pt>
                <c:pt idx="4">
                  <c:v>44.2</c:v>
                </c:pt>
                <c:pt idx="5">
                  <c:v>42.6</c:v>
                </c:pt>
                <c:pt idx="6">
                  <c:v>40.200000000000003</c:v>
                </c:pt>
                <c:pt idx="7">
                  <c:v>43.6</c:v>
                </c:pt>
                <c:pt idx="8">
                  <c:v>46.5</c:v>
                </c:pt>
                <c:pt idx="9">
                  <c:v>48.3</c:v>
                </c:pt>
                <c:pt idx="10">
                  <c:v>47.2</c:v>
                </c:pt>
                <c:pt idx="11">
                  <c:v>45.5</c:v>
                </c:pt>
                <c:pt idx="12">
                  <c:v>49.3</c:v>
                </c:pt>
                <c:pt idx="13">
                  <c:v>53.2</c:v>
                </c:pt>
                <c:pt idx="14">
                  <c:v>57.7</c:v>
                </c:pt>
                <c:pt idx="15">
                  <c:v>60.9</c:v>
                </c:pt>
                <c:pt idx="16">
                  <c:v>58.2</c:v>
                </c:pt>
                <c:pt idx="17">
                  <c:v>56.3</c:v>
                </c:pt>
                <c:pt idx="18">
                  <c:v>54.6</c:v>
                </c:pt>
                <c:pt idx="19">
                  <c:v>53.8</c:v>
                </c:pt>
                <c:pt idx="20">
                  <c:v>59.2</c:v>
                </c:pt>
                <c:pt idx="21">
                  <c:v>61.4</c:v>
                </c:pt>
                <c:pt idx="22">
                  <c:v>60.8</c:v>
                </c:pt>
                <c:pt idx="23">
                  <c:v>61.1</c:v>
                </c:pt>
                <c:pt idx="24">
                  <c:v>60.4</c:v>
                </c:pt>
                <c:pt idx="25">
                  <c:v>58.2</c:v>
                </c:pt>
                <c:pt idx="26">
                  <c:v>54.8</c:v>
                </c:pt>
                <c:pt idx="27">
                  <c:v>55</c:v>
                </c:pt>
                <c:pt idx="28">
                  <c:v>57.1</c:v>
                </c:pt>
                <c:pt idx="29">
                  <c:v>58.3</c:v>
                </c:pt>
                <c:pt idx="30">
                  <c:v>59.7</c:v>
                </c:pt>
                <c:pt idx="31">
                  <c:v>60.4</c:v>
                </c:pt>
                <c:pt idx="32">
                  <c:v>62.9</c:v>
                </c:pt>
                <c:pt idx="33">
                  <c:v>62.5</c:v>
                </c:pt>
                <c:pt idx="34">
                  <c:v>56.1</c:v>
                </c:pt>
                <c:pt idx="35">
                  <c:v>54.2</c:v>
                </c:pt>
                <c:pt idx="36">
                  <c:v>52.3</c:v>
                </c:pt>
                <c:pt idx="37">
                  <c:v>51.5</c:v>
                </c:pt>
                <c:pt idx="38">
                  <c:v>44.6</c:v>
                </c:pt>
                <c:pt idx="39">
                  <c:v>49.6</c:v>
                </c:pt>
                <c:pt idx="40">
                  <c:v>50.3</c:v>
                </c:pt>
                <c:pt idx="41">
                  <c:v>52.3</c:v>
                </c:pt>
                <c:pt idx="42">
                  <c:v>50</c:v>
                </c:pt>
                <c:pt idx="43">
                  <c:v>50.1</c:v>
                </c:pt>
                <c:pt idx="44">
                  <c:v>45.2</c:v>
                </c:pt>
                <c:pt idx="45">
                  <c:v>45.1</c:v>
                </c:pt>
                <c:pt idx="46">
                  <c:v>47.9</c:v>
                </c:pt>
                <c:pt idx="47">
                  <c:v>50</c:v>
                </c:pt>
                <c:pt idx="48">
                  <c:v>49.2</c:v>
                </c:pt>
                <c:pt idx="49">
                  <c:v>45</c:v>
                </c:pt>
                <c:pt idx="50">
                  <c:v>44.6</c:v>
                </c:pt>
                <c:pt idx="51">
                  <c:v>45.8</c:v>
                </c:pt>
                <c:pt idx="52">
                  <c:v>44.1</c:v>
                </c:pt>
                <c:pt idx="53">
                  <c:v>43.6</c:v>
                </c:pt>
                <c:pt idx="54">
                  <c:v>43.7</c:v>
                </c:pt>
                <c:pt idx="55">
                  <c:v>41.3</c:v>
                </c:pt>
                <c:pt idx="56">
                  <c:v>44.3</c:v>
                </c:pt>
                <c:pt idx="57">
                  <c:v>44.3</c:v>
                </c:pt>
                <c:pt idx="58">
                  <c:v>47.2</c:v>
                </c:pt>
                <c:pt idx="59">
                  <c:v>48.6</c:v>
                </c:pt>
                <c:pt idx="60">
                  <c:v>48.9</c:v>
                </c:pt>
                <c:pt idx="61">
                  <c:v>51</c:v>
                </c:pt>
                <c:pt idx="62">
                  <c:v>50.9</c:v>
                </c:pt>
                <c:pt idx="63">
                  <c:v>48</c:v>
                </c:pt>
                <c:pt idx="64">
                  <c:v>48.1</c:v>
                </c:pt>
                <c:pt idx="65">
                  <c:v>48.9</c:v>
                </c:pt>
                <c:pt idx="66">
                  <c:v>47.2</c:v>
                </c:pt>
                <c:pt idx="67">
                  <c:v>51.5</c:v>
                </c:pt>
                <c:pt idx="68">
                  <c:v>50.4</c:v>
                </c:pt>
                <c:pt idx="69">
                  <c:v>49.1</c:v>
                </c:pt>
                <c:pt idx="70">
                  <c:v>48.2</c:v>
                </c:pt>
                <c:pt idx="71">
                  <c:v>50.4</c:v>
                </c:pt>
                <c:pt idx="72">
                  <c:v>50.3</c:v>
                </c:pt>
                <c:pt idx="73">
                  <c:v>48.4</c:v>
                </c:pt>
                <c:pt idx="74">
                  <c:v>48.3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0-4B4E-B077-DE31D4890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855936"/>
        <c:axId val="370857472"/>
      </c:lineChart>
      <c:dateAx>
        <c:axId val="370855936"/>
        <c:scaling>
          <c:orientation val="minMax"/>
          <c:min val="39661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857472"/>
        <c:crossesAt val="50"/>
        <c:auto val="1"/>
        <c:lblOffset val="100"/>
        <c:baseTimeUnit val="months"/>
        <c:majorUnit val="1"/>
        <c:majorTimeUnit val="years"/>
      </c:dateAx>
      <c:valAx>
        <c:axId val="370857472"/>
        <c:scaling>
          <c:orientation val="minMax"/>
          <c:max val="68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855936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1318732846750324"/>
          <c:y val="0.7584034672296398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FR!$B$14</c:f>
              <c:strCache>
                <c:ptCount val="1"/>
                <c:pt idx="0">
                  <c:v>France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FR!$A$15:$A$213</c:f>
              <c:numCache>
                <c:formatCode>mmm\-yy</c:formatCode>
                <c:ptCount val="199"/>
                <c:pt idx="0">
                  <c:v>39661</c:v>
                </c:pt>
                <c:pt idx="1">
                  <c:v>39692</c:v>
                </c:pt>
                <c:pt idx="2">
                  <c:v>39722</c:v>
                </c:pt>
                <c:pt idx="3">
                  <c:v>39753</c:v>
                </c:pt>
                <c:pt idx="4">
                  <c:v>39783</c:v>
                </c:pt>
                <c:pt idx="5">
                  <c:v>39814</c:v>
                </c:pt>
                <c:pt idx="6">
                  <c:v>39845</c:v>
                </c:pt>
                <c:pt idx="7">
                  <c:v>39873</c:v>
                </c:pt>
                <c:pt idx="8">
                  <c:v>39904</c:v>
                </c:pt>
                <c:pt idx="9">
                  <c:v>39934</c:v>
                </c:pt>
                <c:pt idx="10">
                  <c:v>39965</c:v>
                </c:pt>
                <c:pt idx="11">
                  <c:v>39995</c:v>
                </c:pt>
                <c:pt idx="12">
                  <c:v>40026</c:v>
                </c:pt>
                <c:pt idx="13">
                  <c:v>40057</c:v>
                </c:pt>
                <c:pt idx="14">
                  <c:v>40087</c:v>
                </c:pt>
                <c:pt idx="15">
                  <c:v>40118</c:v>
                </c:pt>
                <c:pt idx="16">
                  <c:v>40148</c:v>
                </c:pt>
                <c:pt idx="17">
                  <c:v>40179</c:v>
                </c:pt>
                <c:pt idx="18">
                  <c:v>40210</c:v>
                </c:pt>
                <c:pt idx="19">
                  <c:v>40238</c:v>
                </c:pt>
                <c:pt idx="20">
                  <c:v>40269</c:v>
                </c:pt>
                <c:pt idx="21">
                  <c:v>40299</c:v>
                </c:pt>
                <c:pt idx="22">
                  <c:v>40330</c:v>
                </c:pt>
                <c:pt idx="23">
                  <c:v>40360</c:v>
                </c:pt>
                <c:pt idx="24">
                  <c:v>40391</c:v>
                </c:pt>
                <c:pt idx="25">
                  <c:v>40422</c:v>
                </c:pt>
                <c:pt idx="26">
                  <c:v>40452</c:v>
                </c:pt>
                <c:pt idx="27">
                  <c:v>40483</c:v>
                </c:pt>
                <c:pt idx="28">
                  <c:v>40513</c:v>
                </c:pt>
                <c:pt idx="29">
                  <c:v>40544</c:v>
                </c:pt>
                <c:pt idx="30">
                  <c:v>40575</c:v>
                </c:pt>
                <c:pt idx="31">
                  <c:v>40603</c:v>
                </c:pt>
                <c:pt idx="32">
                  <c:v>40634</c:v>
                </c:pt>
                <c:pt idx="33">
                  <c:v>40664</c:v>
                </c:pt>
                <c:pt idx="34">
                  <c:v>40695</c:v>
                </c:pt>
                <c:pt idx="35">
                  <c:v>40725</c:v>
                </c:pt>
                <c:pt idx="36">
                  <c:v>40756</c:v>
                </c:pt>
                <c:pt idx="37">
                  <c:v>40787</c:v>
                </c:pt>
                <c:pt idx="38">
                  <c:v>40817</c:v>
                </c:pt>
                <c:pt idx="39">
                  <c:v>40848</c:v>
                </c:pt>
                <c:pt idx="40">
                  <c:v>40878</c:v>
                </c:pt>
                <c:pt idx="41">
                  <c:v>40909</c:v>
                </c:pt>
                <c:pt idx="42">
                  <c:v>40940</c:v>
                </c:pt>
                <c:pt idx="43">
                  <c:v>40969</c:v>
                </c:pt>
                <c:pt idx="44">
                  <c:v>41000</c:v>
                </c:pt>
                <c:pt idx="45">
                  <c:v>41030</c:v>
                </c:pt>
                <c:pt idx="46">
                  <c:v>41061</c:v>
                </c:pt>
                <c:pt idx="47">
                  <c:v>41091</c:v>
                </c:pt>
                <c:pt idx="48">
                  <c:v>41122</c:v>
                </c:pt>
                <c:pt idx="49">
                  <c:v>41153</c:v>
                </c:pt>
                <c:pt idx="50">
                  <c:v>41183</c:v>
                </c:pt>
                <c:pt idx="51">
                  <c:v>41214</c:v>
                </c:pt>
                <c:pt idx="52">
                  <c:v>41244</c:v>
                </c:pt>
                <c:pt idx="53">
                  <c:v>41275</c:v>
                </c:pt>
                <c:pt idx="54">
                  <c:v>41306</c:v>
                </c:pt>
                <c:pt idx="55">
                  <c:v>41334</c:v>
                </c:pt>
                <c:pt idx="56">
                  <c:v>41365</c:v>
                </c:pt>
                <c:pt idx="57">
                  <c:v>41395</c:v>
                </c:pt>
                <c:pt idx="58">
                  <c:v>41426</c:v>
                </c:pt>
                <c:pt idx="59">
                  <c:v>41456</c:v>
                </c:pt>
                <c:pt idx="60">
                  <c:v>41487</c:v>
                </c:pt>
                <c:pt idx="61">
                  <c:v>41518</c:v>
                </c:pt>
                <c:pt idx="62">
                  <c:v>41548</c:v>
                </c:pt>
                <c:pt idx="63">
                  <c:v>41579</c:v>
                </c:pt>
                <c:pt idx="64">
                  <c:v>41609</c:v>
                </c:pt>
                <c:pt idx="65">
                  <c:v>41640</c:v>
                </c:pt>
                <c:pt idx="66">
                  <c:v>41671</c:v>
                </c:pt>
                <c:pt idx="67">
                  <c:v>41699</c:v>
                </c:pt>
                <c:pt idx="68">
                  <c:v>41730</c:v>
                </c:pt>
                <c:pt idx="69">
                  <c:v>41760</c:v>
                </c:pt>
                <c:pt idx="70">
                  <c:v>41791</c:v>
                </c:pt>
                <c:pt idx="71">
                  <c:v>41821</c:v>
                </c:pt>
                <c:pt idx="72">
                  <c:v>41852</c:v>
                </c:pt>
                <c:pt idx="73">
                  <c:v>41883</c:v>
                </c:pt>
                <c:pt idx="74">
                  <c:v>41913</c:v>
                </c:pt>
                <c:pt idx="75">
                  <c:v>41944</c:v>
                </c:pt>
                <c:pt idx="76">
                  <c:v>41974</c:v>
                </c:pt>
                <c:pt idx="77">
                  <c:v>42005</c:v>
                </c:pt>
                <c:pt idx="78">
                  <c:v>42036</c:v>
                </c:pt>
                <c:pt idx="79">
                  <c:v>42064</c:v>
                </c:pt>
                <c:pt idx="80">
                  <c:v>42095</c:v>
                </c:pt>
                <c:pt idx="81">
                  <c:v>42125</c:v>
                </c:pt>
                <c:pt idx="82">
                  <c:v>42156</c:v>
                </c:pt>
                <c:pt idx="83">
                  <c:v>42186</c:v>
                </c:pt>
                <c:pt idx="84">
                  <c:v>42217</c:v>
                </c:pt>
                <c:pt idx="85">
                  <c:v>42248</c:v>
                </c:pt>
                <c:pt idx="86">
                  <c:v>42278</c:v>
                </c:pt>
                <c:pt idx="87">
                  <c:v>42309</c:v>
                </c:pt>
                <c:pt idx="88">
                  <c:v>42339</c:v>
                </c:pt>
                <c:pt idx="89">
                  <c:v>42370</c:v>
                </c:pt>
                <c:pt idx="90">
                  <c:v>42401</c:v>
                </c:pt>
                <c:pt idx="91">
                  <c:v>42430</c:v>
                </c:pt>
                <c:pt idx="92">
                  <c:v>42461</c:v>
                </c:pt>
                <c:pt idx="93">
                  <c:v>42491</c:v>
                </c:pt>
                <c:pt idx="94">
                  <c:v>42522</c:v>
                </c:pt>
                <c:pt idx="95">
                  <c:v>42552</c:v>
                </c:pt>
                <c:pt idx="96">
                  <c:v>42583</c:v>
                </c:pt>
                <c:pt idx="97">
                  <c:v>42614</c:v>
                </c:pt>
                <c:pt idx="98">
                  <c:v>42644</c:v>
                </c:pt>
                <c:pt idx="99">
                  <c:v>42675</c:v>
                </c:pt>
                <c:pt idx="100">
                  <c:v>42705</c:v>
                </c:pt>
                <c:pt idx="101">
                  <c:v>42736</c:v>
                </c:pt>
                <c:pt idx="102">
                  <c:v>42767</c:v>
                </c:pt>
                <c:pt idx="103">
                  <c:v>42795</c:v>
                </c:pt>
                <c:pt idx="104">
                  <c:v>42826</c:v>
                </c:pt>
                <c:pt idx="105">
                  <c:v>42856</c:v>
                </c:pt>
                <c:pt idx="106">
                  <c:v>42887</c:v>
                </c:pt>
                <c:pt idx="107">
                  <c:v>42917</c:v>
                </c:pt>
                <c:pt idx="108">
                  <c:v>42948</c:v>
                </c:pt>
                <c:pt idx="109">
                  <c:v>42979</c:v>
                </c:pt>
                <c:pt idx="110">
                  <c:v>43009</c:v>
                </c:pt>
                <c:pt idx="111">
                  <c:v>43040</c:v>
                </c:pt>
                <c:pt idx="112">
                  <c:v>43070</c:v>
                </c:pt>
                <c:pt idx="113">
                  <c:v>43101</c:v>
                </c:pt>
                <c:pt idx="114">
                  <c:v>43132</c:v>
                </c:pt>
                <c:pt idx="115">
                  <c:v>43160</c:v>
                </c:pt>
                <c:pt idx="116">
                  <c:v>43191</c:v>
                </c:pt>
                <c:pt idx="117">
                  <c:v>43221</c:v>
                </c:pt>
                <c:pt idx="118">
                  <c:v>43252</c:v>
                </c:pt>
                <c:pt idx="119">
                  <c:v>43282</c:v>
                </c:pt>
                <c:pt idx="120">
                  <c:v>43313</c:v>
                </c:pt>
                <c:pt idx="121">
                  <c:v>43344</c:v>
                </c:pt>
                <c:pt idx="122">
                  <c:v>43374</c:v>
                </c:pt>
                <c:pt idx="123">
                  <c:v>43405</c:v>
                </c:pt>
                <c:pt idx="124">
                  <c:v>43435</c:v>
                </c:pt>
                <c:pt idx="125">
                  <c:v>43466</c:v>
                </c:pt>
                <c:pt idx="126">
                  <c:v>43497</c:v>
                </c:pt>
                <c:pt idx="127">
                  <c:v>43525</c:v>
                </c:pt>
                <c:pt idx="128">
                  <c:v>43556</c:v>
                </c:pt>
                <c:pt idx="129">
                  <c:v>43586</c:v>
                </c:pt>
                <c:pt idx="130">
                  <c:v>43617</c:v>
                </c:pt>
                <c:pt idx="131">
                  <c:v>43647</c:v>
                </c:pt>
                <c:pt idx="132">
                  <c:v>43678</c:v>
                </c:pt>
                <c:pt idx="133">
                  <c:v>43709</c:v>
                </c:pt>
                <c:pt idx="134">
                  <c:v>43739</c:v>
                </c:pt>
                <c:pt idx="135">
                  <c:v>43770</c:v>
                </c:pt>
                <c:pt idx="136">
                  <c:v>43800</c:v>
                </c:pt>
                <c:pt idx="137">
                  <c:v>43831</c:v>
                </c:pt>
                <c:pt idx="138">
                  <c:v>43862</c:v>
                </c:pt>
                <c:pt idx="139">
                  <c:v>43891</c:v>
                </c:pt>
                <c:pt idx="140">
                  <c:v>43922</c:v>
                </c:pt>
                <c:pt idx="141">
                  <c:v>43952</c:v>
                </c:pt>
                <c:pt idx="142">
                  <c:v>43983</c:v>
                </c:pt>
                <c:pt idx="143">
                  <c:v>44013</c:v>
                </c:pt>
                <c:pt idx="144">
                  <c:v>44044</c:v>
                </c:pt>
                <c:pt idx="145">
                  <c:v>44075</c:v>
                </c:pt>
                <c:pt idx="146">
                  <c:v>44105</c:v>
                </c:pt>
                <c:pt idx="147">
                  <c:v>44136</c:v>
                </c:pt>
                <c:pt idx="148">
                  <c:v>44166</c:v>
                </c:pt>
                <c:pt idx="149">
                  <c:v>44197</c:v>
                </c:pt>
                <c:pt idx="150">
                  <c:v>44228</c:v>
                </c:pt>
                <c:pt idx="151">
                  <c:v>44256</c:v>
                </c:pt>
                <c:pt idx="152">
                  <c:v>44287</c:v>
                </c:pt>
                <c:pt idx="153">
                  <c:v>44317</c:v>
                </c:pt>
                <c:pt idx="154">
                  <c:v>44348</c:v>
                </c:pt>
                <c:pt idx="155">
                  <c:v>44378</c:v>
                </c:pt>
                <c:pt idx="156">
                  <c:v>44409</c:v>
                </c:pt>
                <c:pt idx="157">
                  <c:v>44440</c:v>
                </c:pt>
                <c:pt idx="158">
                  <c:v>44470</c:v>
                </c:pt>
                <c:pt idx="159">
                  <c:v>44501</c:v>
                </c:pt>
                <c:pt idx="160">
                  <c:v>44531</c:v>
                </c:pt>
                <c:pt idx="161">
                  <c:v>44562</c:v>
                </c:pt>
                <c:pt idx="162">
                  <c:v>44593</c:v>
                </c:pt>
                <c:pt idx="163">
                  <c:v>44621</c:v>
                </c:pt>
                <c:pt idx="164">
                  <c:v>44652</c:v>
                </c:pt>
                <c:pt idx="165">
                  <c:v>44682</c:v>
                </c:pt>
                <c:pt idx="166">
                  <c:v>44713</c:v>
                </c:pt>
                <c:pt idx="167">
                  <c:v>44743</c:v>
                </c:pt>
                <c:pt idx="168">
                  <c:v>44774</c:v>
                </c:pt>
                <c:pt idx="169">
                  <c:v>44805</c:v>
                </c:pt>
                <c:pt idx="170">
                  <c:v>44835</c:v>
                </c:pt>
                <c:pt idx="171">
                  <c:v>44866</c:v>
                </c:pt>
                <c:pt idx="172">
                  <c:v>44896</c:v>
                </c:pt>
                <c:pt idx="173">
                  <c:v>44927</c:v>
                </c:pt>
                <c:pt idx="174">
                  <c:v>44958</c:v>
                </c:pt>
                <c:pt idx="175">
                  <c:v>44986</c:v>
                </c:pt>
                <c:pt idx="176">
                  <c:v>45017</c:v>
                </c:pt>
                <c:pt idx="177">
                  <c:v>45047</c:v>
                </c:pt>
                <c:pt idx="178">
                  <c:v>45078</c:v>
                </c:pt>
                <c:pt idx="179">
                  <c:v>45108</c:v>
                </c:pt>
                <c:pt idx="180">
                  <c:v>45139</c:v>
                </c:pt>
                <c:pt idx="181">
                  <c:v>45170</c:v>
                </c:pt>
                <c:pt idx="182">
                  <c:v>45200</c:v>
                </c:pt>
                <c:pt idx="183">
                  <c:v>45231</c:v>
                </c:pt>
                <c:pt idx="184">
                  <c:v>45261</c:v>
                </c:pt>
                <c:pt idx="185">
                  <c:v>45292</c:v>
                </c:pt>
                <c:pt idx="186">
                  <c:v>45323</c:v>
                </c:pt>
                <c:pt idx="187">
                  <c:v>45352</c:v>
                </c:pt>
                <c:pt idx="188">
                  <c:v>45383</c:v>
                </c:pt>
                <c:pt idx="189">
                  <c:v>45413</c:v>
                </c:pt>
                <c:pt idx="190">
                  <c:v>45444</c:v>
                </c:pt>
                <c:pt idx="191">
                  <c:v>45474</c:v>
                </c:pt>
                <c:pt idx="192">
                  <c:v>45505</c:v>
                </c:pt>
                <c:pt idx="193">
                  <c:v>45536</c:v>
                </c:pt>
                <c:pt idx="194">
                  <c:v>45566</c:v>
                </c:pt>
                <c:pt idx="195">
                  <c:v>45597</c:v>
                </c:pt>
                <c:pt idx="196">
                  <c:v>45627</c:v>
                </c:pt>
                <c:pt idx="197">
                  <c:v>45658</c:v>
                </c:pt>
                <c:pt idx="198">
                  <c:v>45689</c:v>
                </c:pt>
              </c:numCache>
            </c:numRef>
          </c:cat>
          <c:val>
            <c:numRef>
              <c:f>FR!$B$15:$B$213</c:f>
              <c:numCache>
                <c:formatCode>0.0</c:formatCode>
                <c:ptCount val="199"/>
                <c:pt idx="0">
                  <c:v>48</c:v>
                </c:pt>
                <c:pt idx="1">
                  <c:v>50.1</c:v>
                </c:pt>
                <c:pt idx="2">
                  <c:v>47.5</c:v>
                </c:pt>
                <c:pt idx="3">
                  <c:v>46.2</c:v>
                </c:pt>
                <c:pt idx="4">
                  <c:v>44.2</c:v>
                </c:pt>
                <c:pt idx="5">
                  <c:v>42.6</c:v>
                </c:pt>
                <c:pt idx="6">
                  <c:v>40.200000000000003</c:v>
                </c:pt>
                <c:pt idx="7">
                  <c:v>43.6</c:v>
                </c:pt>
                <c:pt idx="8">
                  <c:v>46.5</c:v>
                </c:pt>
                <c:pt idx="9">
                  <c:v>48.3</c:v>
                </c:pt>
                <c:pt idx="10">
                  <c:v>47.2</c:v>
                </c:pt>
                <c:pt idx="11">
                  <c:v>45.5</c:v>
                </c:pt>
                <c:pt idx="12">
                  <c:v>49.3</c:v>
                </c:pt>
                <c:pt idx="13">
                  <c:v>53.2</c:v>
                </c:pt>
                <c:pt idx="14">
                  <c:v>57.7</c:v>
                </c:pt>
                <c:pt idx="15">
                  <c:v>60.9</c:v>
                </c:pt>
                <c:pt idx="16">
                  <c:v>58.2</c:v>
                </c:pt>
                <c:pt idx="17">
                  <c:v>56.3</c:v>
                </c:pt>
                <c:pt idx="18">
                  <c:v>54.6</c:v>
                </c:pt>
                <c:pt idx="19">
                  <c:v>53.8</c:v>
                </c:pt>
                <c:pt idx="20">
                  <c:v>59.2</c:v>
                </c:pt>
                <c:pt idx="21">
                  <c:v>61.4</c:v>
                </c:pt>
                <c:pt idx="22">
                  <c:v>60.8</c:v>
                </c:pt>
                <c:pt idx="23">
                  <c:v>61.1</c:v>
                </c:pt>
                <c:pt idx="24">
                  <c:v>60.4</c:v>
                </c:pt>
                <c:pt idx="25">
                  <c:v>58.2</c:v>
                </c:pt>
                <c:pt idx="26">
                  <c:v>54.8</c:v>
                </c:pt>
                <c:pt idx="27">
                  <c:v>55</c:v>
                </c:pt>
                <c:pt idx="28">
                  <c:v>57.1</c:v>
                </c:pt>
                <c:pt idx="29">
                  <c:v>58.3</c:v>
                </c:pt>
                <c:pt idx="30">
                  <c:v>59.7</c:v>
                </c:pt>
                <c:pt idx="31">
                  <c:v>60.4</c:v>
                </c:pt>
                <c:pt idx="32">
                  <c:v>62.9</c:v>
                </c:pt>
                <c:pt idx="33">
                  <c:v>62.5</c:v>
                </c:pt>
                <c:pt idx="34">
                  <c:v>56.1</c:v>
                </c:pt>
                <c:pt idx="35">
                  <c:v>54.2</c:v>
                </c:pt>
                <c:pt idx="36">
                  <c:v>52.3</c:v>
                </c:pt>
                <c:pt idx="37">
                  <c:v>51.5</c:v>
                </c:pt>
                <c:pt idx="38">
                  <c:v>44.6</c:v>
                </c:pt>
                <c:pt idx="39">
                  <c:v>49.6</c:v>
                </c:pt>
                <c:pt idx="40">
                  <c:v>50.3</c:v>
                </c:pt>
                <c:pt idx="41">
                  <c:v>52.3</c:v>
                </c:pt>
                <c:pt idx="42">
                  <c:v>50</c:v>
                </c:pt>
                <c:pt idx="43">
                  <c:v>50.1</c:v>
                </c:pt>
                <c:pt idx="44">
                  <c:v>45.2</c:v>
                </c:pt>
                <c:pt idx="45">
                  <c:v>45.1</c:v>
                </c:pt>
                <c:pt idx="46">
                  <c:v>47.9</c:v>
                </c:pt>
                <c:pt idx="47">
                  <c:v>50</c:v>
                </c:pt>
                <c:pt idx="48">
                  <c:v>49.2</c:v>
                </c:pt>
                <c:pt idx="49">
                  <c:v>45</c:v>
                </c:pt>
                <c:pt idx="50">
                  <c:v>44.6</c:v>
                </c:pt>
                <c:pt idx="51">
                  <c:v>45.8</c:v>
                </c:pt>
                <c:pt idx="52">
                  <c:v>44.1</c:v>
                </c:pt>
                <c:pt idx="53">
                  <c:v>43.6</c:v>
                </c:pt>
                <c:pt idx="54">
                  <c:v>43.7</c:v>
                </c:pt>
                <c:pt idx="55">
                  <c:v>41.3</c:v>
                </c:pt>
                <c:pt idx="56">
                  <c:v>44.3</c:v>
                </c:pt>
                <c:pt idx="57">
                  <c:v>44.3</c:v>
                </c:pt>
                <c:pt idx="58">
                  <c:v>47.2</c:v>
                </c:pt>
                <c:pt idx="59">
                  <c:v>48.6</c:v>
                </c:pt>
                <c:pt idx="60">
                  <c:v>48.9</c:v>
                </c:pt>
                <c:pt idx="61">
                  <c:v>51</c:v>
                </c:pt>
                <c:pt idx="62">
                  <c:v>50.9</c:v>
                </c:pt>
                <c:pt idx="63">
                  <c:v>48</c:v>
                </c:pt>
                <c:pt idx="64">
                  <c:v>48.1</c:v>
                </c:pt>
                <c:pt idx="65">
                  <c:v>48.9</c:v>
                </c:pt>
                <c:pt idx="66">
                  <c:v>47.2</c:v>
                </c:pt>
                <c:pt idx="67">
                  <c:v>51.5</c:v>
                </c:pt>
                <c:pt idx="68">
                  <c:v>50.4</c:v>
                </c:pt>
                <c:pt idx="69">
                  <c:v>49.1</c:v>
                </c:pt>
                <c:pt idx="70">
                  <c:v>48.2</c:v>
                </c:pt>
                <c:pt idx="71">
                  <c:v>50.4</c:v>
                </c:pt>
                <c:pt idx="72">
                  <c:v>50.3</c:v>
                </c:pt>
                <c:pt idx="73">
                  <c:v>48.4</c:v>
                </c:pt>
                <c:pt idx="74">
                  <c:v>48.3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4-48D1-99D3-4D5250EF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914816"/>
        <c:axId val="370916352"/>
      </c:areaChart>
      <c:barChart>
        <c:barDir val="col"/>
        <c:grouping val="clustered"/>
        <c:varyColors val="0"/>
        <c:ser>
          <c:idx val="2"/>
          <c:order val="2"/>
          <c:tx>
            <c:strRef>
              <c:f>FR!$D$14</c:f>
              <c:strCache>
                <c:ptCount val="1"/>
                <c:pt idx="0">
                  <c:v>French GDP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FR!$D$15:$D$213</c:f>
              <c:numCache>
                <c:formatCode>0.0%</c:formatCode>
                <c:ptCount val="199"/>
                <c:pt idx="1">
                  <c:v>-4.0000000000000001E-3</c:v>
                </c:pt>
                <c:pt idx="4">
                  <c:v>-1.6E-2</c:v>
                </c:pt>
                <c:pt idx="7">
                  <c:v>-1.7000000000000001E-2</c:v>
                </c:pt>
                <c:pt idx="10">
                  <c:v>0</c:v>
                </c:pt>
                <c:pt idx="13">
                  <c:v>1E-3</c:v>
                </c:pt>
                <c:pt idx="16">
                  <c:v>7.0000000000000001E-3</c:v>
                </c:pt>
                <c:pt idx="19">
                  <c:v>3.0000000000000001E-3</c:v>
                </c:pt>
                <c:pt idx="22">
                  <c:v>6.0000000000000001E-3</c:v>
                </c:pt>
                <c:pt idx="25">
                  <c:v>5.0000000000000001E-3</c:v>
                </c:pt>
                <c:pt idx="28">
                  <c:v>5.0000000000000001E-3</c:v>
                </c:pt>
                <c:pt idx="31">
                  <c:v>1.0999999999999999E-2</c:v>
                </c:pt>
                <c:pt idx="34">
                  <c:v>-1E-3</c:v>
                </c:pt>
                <c:pt idx="37">
                  <c:v>3.0000000000000001E-3</c:v>
                </c:pt>
                <c:pt idx="40">
                  <c:v>1E-3</c:v>
                </c:pt>
                <c:pt idx="43">
                  <c:v>1E-3</c:v>
                </c:pt>
                <c:pt idx="46">
                  <c:v>-3.0000000000000001E-3</c:v>
                </c:pt>
                <c:pt idx="49">
                  <c:v>2E-3</c:v>
                </c:pt>
                <c:pt idx="52">
                  <c:v>-2E-3</c:v>
                </c:pt>
                <c:pt idx="55">
                  <c:v>0</c:v>
                </c:pt>
                <c:pt idx="58">
                  <c:v>6.0000000000000001E-3</c:v>
                </c:pt>
                <c:pt idx="61">
                  <c:v>-1E-3</c:v>
                </c:pt>
                <c:pt idx="64">
                  <c:v>2E-3</c:v>
                </c:pt>
                <c:pt idx="67">
                  <c:v>0</c:v>
                </c:pt>
                <c:pt idx="70" formatCode="0.00%">
                  <c:v>0</c:v>
                </c:pt>
                <c:pt idx="7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4-48D1-99D3-4D5250EF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931968"/>
        <c:axId val="37093043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FR!$B$15:$B$213</c:f>
              <c:numCache>
                <c:formatCode>0.0</c:formatCode>
                <c:ptCount val="199"/>
                <c:pt idx="0">
                  <c:v>48</c:v>
                </c:pt>
                <c:pt idx="1">
                  <c:v>50.1</c:v>
                </c:pt>
                <c:pt idx="2">
                  <c:v>47.5</c:v>
                </c:pt>
                <c:pt idx="3">
                  <c:v>46.2</c:v>
                </c:pt>
                <c:pt idx="4">
                  <c:v>44.2</c:v>
                </c:pt>
                <c:pt idx="5">
                  <c:v>42.6</c:v>
                </c:pt>
                <c:pt idx="6">
                  <c:v>40.200000000000003</c:v>
                </c:pt>
                <c:pt idx="7">
                  <c:v>43.6</c:v>
                </c:pt>
                <c:pt idx="8">
                  <c:v>46.5</c:v>
                </c:pt>
                <c:pt idx="9">
                  <c:v>48.3</c:v>
                </c:pt>
                <c:pt idx="10">
                  <c:v>47.2</c:v>
                </c:pt>
                <c:pt idx="11">
                  <c:v>45.5</c:v>
                </c:pt>
                <c:pt idx="12">
                  <c:v>49.3</c:v>
                </c:pt>
                <c:pt idx="13">
                  <c:v>53.2</c:v>
                </c:pt>
                <c:pt idx="14">
                  <c:v>57.7</c:v>
                </c:pt>
                <c:pt idx="15">
                  <c:v>60.9</c:v>
                </c:pt>
                <c:pt idx="16">
                  <c:v>58.2</c:v>
                </c:pt>
                <c:pt idx="17">
                  <c:v>56.3</c:v>
                </c:pt>
                <c:pt idx="18">
                  <c:v>54.6</c:v>
                </c:pt>
                <c:pt idx="19">
                  <c:v>53.8</c:v>
                </c:pt>
                <c:pt idx="20">
                  <c:v>59.2</c:v>
                </c:pt>
                <c:pt idx="21">
                  <c:v>61.4</c:v>
                </c:pt>
                <c:pt idx="22">
                  <c:v>60.8</c:v>
                </c:pt>
                <c:pt idx="23">
                  <c:v>61.1</c:v>
                </c:pt>
                <c:pt idx="24">
                  <c:v>60.4</c:v>
                </c:pt>
                <c:pt idx="25">
                  <c:v>58.2</c:v>
                </c:pt>
                <c:pt idx="26">
                  <c:v>54.8</c:v>
                </c:pt>
                <c:pt idx="27">
                  <c:v>55</c:v>
                </c:pt>
                <c:pt idx="28">
                  <c:v>57.1</c:v>
                </c:pt>
                <c:pt idx="29">
                  <c:v>58.3</c:v>
                </c:pt>
                <c:pt idx="30">
                  <c:v>59.7</c:v>
                </c:pt>
                <c:pt idx="31">
                  <c:v>60.4</c:v>
                </c:pt>
                <c:pt idx="32">
                  <c:v>62.9</c:v>
                </c:pt>
                <c:pt idx="33">
                  <c:v>62.5</c:v>
                </c:pt>
                <c:pt idx="34">
                  <c:v>56.1</c:v>
                </c:pt>
                <c:pt idx="35">
                  <c:v>54.2</c:v>
                </c:pt>
                <c:pt idx="36">
                  <c:v>52.3</c:v>
                </c:pt>
                <c:pt idx="37">
                  <c:v>51.5</c:v>
                </c:pt>
                <c:pt idx="38">
                  <c:v>44.6</c:v>
                </c:pt>
                <c:pt idx="39">
                  <c:v>49.6</c:v>
                </c:pt>
                <c:pt idx="40">
                  <c:v>50.3</c:v>
                </c:pt>
                <c:pt idx="41">
                  <c:v>52.3</c:v>
                </c:pt>
                <c:pt idx="42">
                  <c:v>50</c:v>
                </c:pt>
                <c:pt idx="43">
                  <c:v>50.1</c:v>
                </c:pt>
                <c:pt idx="44">
                  <c:v>45.2</c:v>
                </c:pt>
                <c:pt idx="45">
                  <c:v>45.1</c:v>
                </c:pt>
                <c:pt idx="46">
                  <c:v>47.9</c:v>
                </c:pt>
                <c:pt idx="47">
                  <c:v>50</c:v>
                </c:pt>
                <c:pt idx="48">
                  <c:v>49.2</c:v>
                </c:pt>
                <c:pt idx="49">
                  <c:v>45</c:v>
                </c:pt>
                <c:pt idx="50">
                  <c:v>44.6</c:v>
                </c:pt>
                <c:pt idx="51">
                  <c:v>45.8</c:v>
                </c:pt>
                <c:pt idx="52">
                  <c:v>44.1</c:v>
                </c:pt>
                <c:pt idx="53">
                  <c:v>43.6</c:v>
                </c:pt>
                <c:pt idx="54">
                  <c:v>43.7</c:v>
                </c:pt>
                <c:pt idx="55">
                  <c:v>41.3</c:v>
                </c:pt>
                <c:pt idx="56">
                  <c:v>44.3</c:v>
                </c:pt>
                <c:pt idx="57">
                  <c:v>44.3</c:v>
                </c:pt>
                <c:pt idx="58">
                  <c:v>47.2</c:v>
                </c:pt>
                <c:pt idx="59">
                  <c:v>48.6</c:v>
                </c:pt>
                <c:pt idx="60">
                  <c:v>48.9</c:v>
                </c:pt>
                <c:pt idx="61">
                  <c:v>51</c:v>
                </c:pt>
                <c:pt idx="62">
                  <c:v>50.9</c:v>
                </c:pt>
                <c:pt idx="63">
                  <c:v>48</c:v>
                </c:pt>
                <c:pt idx="64">
                  <c:v>48.1</c:v>
                </c:pt>
                <c:pt idx="65">
                  <c:v>48.9</c:v>
                </c:pt>
                <c:pt idx="66">
                  <c:v>47.2</c:v>
                </c:pt>
                <c:pt idx="67">
                  <c:v>51.5</c:v>
                </c:pt>
                <c:pt idx="68">
                  <c:v>50.4</c:v>
                </c:pt>
                <c:pt idx="69">
                  <c:v>49.1</c:v>
                </c:pt>
                <c:pt idx="70">
                  <c:v>48.2</c:v>
                </c:pt>
                <c:pt idx="71">
                  <c:v>50.4</c:v>
                </c:pt>
                <c:pt idx="72">
                  <c:v>50.3</c:v>
                </c:pt>
                <c:pt idx="73">
                  <c:v>48.4</c:v>
                </c:pt>
                <c:pt idx="74">
                  <c:v>48.3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4-48D1-99D3-4D5250EFB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14816"/>
        <c:axId val="370916352"/>
      </c:lineChart>
      <c:dateAx>
        <c:axId val="3709148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916352"/>
        <c:crossesAt val="50"/>
        <c:auto val="1"/>
        <c:lblOffset val="100"/>
        <c:baseTimeUnit val="months"/>
        <c:majorUnit val="1"/>
        <c:majorTimeUnit val="years"/>
      </c:dateAx>
      <c:valAx>
        <c:axId val="370916352"/>
        <c:scaling>
          <c:orientation val="minMax"/>
          <c:max val="68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914816"/>
        <c:crosses val="autoZero"/>
        <c:crossBetween val="between"/>
        <c:majorUnit val="6"/>
      </c:valAx>
      <c:valAx>
        <c:axId val="370930432"/>
        <c:scaling>
          <c:orientation val="minMax"/>
          <c:max val="2.0000000000000007E-2"/>
          <c:min val="-2.0000000000000007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70931968"/>
        <c:crosses val="max"/>
        <c:crossBetween val="between"/>
      </c:valAx>
      <c:catAx>
        <c:axId val="370931968"/>
        <c:scaling>
          <c:orientation val="minMax"/>
        </c:scaling>
        <c:delete val="1"/>
        <c:axPos val="b"/>
        <c:majorTickMark val="out"/>
        <c:minorTickMark val="none"/>
        <c:tickLblPos val="none"/>
        <c:crossAx val="37093043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0641413492416597"/>
          <c:y val="0.67688161858612061"/>
          <c:w val="0.1557806067146674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Italy Service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IT!$B$40</c:f>
              <c:strCache>
                <c:ptCount val="1"/>
                <c:pt idx="0">
                  <c:v>Italy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IT!$A$41:$A$239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IT!$B$41:$B$239</c:f>
              <c:numCache>
                <c:formatCode>0.0</c:formatCode>
                <c:ptCount val="199"/>
                <c:pt idx="0">
                  <c:v>51</c:v>
                </c:pt>
                <c:pt idx="1">
                  <c:v>54.4</c:v>
                </c:pt>
                <c:pt idx="2">
                  <c:v>52.1</c:v>
                </c:pt>
                <c:pt idx="3">
                  <c:v>53.5</c:v>
                </c:pt>
                <c:pt idx="4">
                  <c:v>53.1</c:v>
                </c:pt>
                <c:pt idx="5">
                  <c:v>53.3</c:v>
                </c:pt>
                <c:pt idx="6">
                  <c:v>52.2</c:v>
                </c:pt>
                <c:pt idx="7">
                  <c:v>50.1</c:v>
                </c:pt>
                <c:pt idx="8">
                  <c:v>47.4</c:v>
                </c:pt>
                <c:pt idx="9">
                  <c:v>48.6</c:v>
                </c:pt>
                <c:pt idx="10">
                  <c:v>48.4</c:v>
                </c:pt>
                <c:pt idx="11">
                  <c:v>45.8</c:v>
                </c:pt>
                <c:pt idx="12">
                  <c:v>43.9</c:v>
                </c:pt>
                <c:pt idx="13">
                  <c:v>45.8</c:v>
                </c:pt>
                <c:pt idx="14">
                  <c:v>44.5</c:v>
                </c:pt>
                <c:pt idx="15">
                  <c:v>44.8</c:v>
                </c:pt>
                <c:pt idx="16">
                  <c:v>44.1</c:v>
                </c:pt>
                <c:pt idx="17">
                  <c:v>44.3</c:v>
                </c:pt>
                <c:pt idx="18">
                  <c:v>42.3</c:v>
                </c:pt>
                <c:pt idx="19">
                  <c:v>42.8</c:v>
                </c:pt>
                <c:pt idx="20">
                  <c:v>43.1</c:v>
                </c:pt>
                <c:pt idx="21">
                  <c:v>43</c:v>
                </c:pt>
                <c:pt idx="22">
                  <c:v>44</c:v>
                </c:pt>
                <c:pt idx="23">
                  <c:v>44.5</c:v>
                </c:pt>
                <c:pt idx="24">
                  <c:v>46</c:v>
                </c:pt>
                <c:pt idx="25">
                  <c:v>44.6</c:v>
                </c:pt>
                <c:pt idx="26">
                  <c:v>43.1</c:v>
                </c:pt>
                <c:pt idx="27">
                  <c:v>43.9</c:v>
                </c:pt>
                <c:pt idx="28">
                  <c:v>43.6</c:v>
                </c:pt>
                <c:pt idx="29">
                  <c:v>45.5</c:v>
                </c:pt>
                <c:pt idx="30">
                  <c:v>47</c:v>
                </c:pt>
                <c:pt idx="31">
                  <c:v>46.5</c:v>
                </c:pt>
                <c:pt idx="32">
                  <c:v>45.8</c:v>
                </c:pt>
                <c:pt idx="33">
                  <c:v>48.7</c:v>
                </c:pt>
                <c:pt idx="34">
                  <c:v>48.8</c:v>
                </c:pt>
                <c:pt idx="35">
                  <c:v>52.7</c:v>
                </c:pt>
                <c:pt idx="36">
                  <c:v>50.5</c:v>
                </c:pt>
                <c:pt idx="37">
                  <c:v>47.2</c:v>
                </c:pt>
                <c:pt idx="38">
                  <c:v>48.6</c:v>
                </c:pt>
                <c:pt idx="39">
                  <c:v>49.4</c:v>
                </c:pt>
                <c:pt idx="40">
                  <c:v>52.9</c:v>
                </c:pt>
                <c:pt idx="41">
                  <c:v>49.5</c:v>
                </c:pt>
                <c:pt idx="42">
                  <c:v>51.1</c:v>
                </c:pt>
                <c:pt idx="43">
                  <c:v>51.6</c:v>
                </c:pt>
                <c:pt idx="44">
                  <c:v>53.6</c:v>
                </c:pt>
                <c:pt idx="45">
                  <c:v>52.8</c:v>
                </c:pt>
                <c:pt idx="46">
                  <c:v>49.8</c:v>
                </c:pt>
                <c:pt idx="47">
                  <c:v>48.8</c:v>
                </c:pt>
                <c:pt idx="48">
                  <c:v>50.8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E-4EE7-BE5A-954890C8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319168"/>
        <c:axId val="37132070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IT!$B$41:$B$239</c:f>
              <c:numCache>
                <c:formatCode>0.0</c:formatCode>
                <c:ptCount val="199"/>
                <c:pt idx="0">
                  <c:v>51</c:v>
                </c:pt>
                <c:pt idx="1">
                  <c:v>54.4</c:v>
                </c:pt>
                <c:pt idx="2">
                  <c:v>52.1</c:v>
                </c:pt>
                <c:pt idx="3">
                  <c:v>53.5</c:v>
                </c:pt>
                <c:pt idx="4">
                  <c:v>53.1</c:v>
                </c:pt>
                <c:pt idx="5">
                  <c:v>53.3</c:v>
                </c:pt>
                <c:pt idx="6">
                  <c:v>52.2</c:v>
                </c:pt>
                <c:pt idx="7">
                  <c:v>50.1</c:v>
                </c:pt>
                <c:pt idx="8">
                  <c:v>47.4</c:v>
                </c:pt>
                <c:pt idx="9">
                  <c:v>48.6</c:v>
                </c:pt>
                <c:pt idx="10">
                  <c:v>48.4</c:v>
                </c:pt>
                <c:pt idx="11">
                  <c:v>45.8</c:v>
                </c:pt>
                <c:pt idx="12">
                  <c:v>43.9</c:v>
                </c:pt>
                <c:pt idx="13">
                  <c:v>45.8</c:v>
                </c:pt>
                <c:pt idx="14">
                  <c:v>44.5</c:v>
                </c:pt>
                <c:pt idx="15">
                  <c:v>44.8</c:v>
                </c:pt>
                <c:pt idx="16">
                  <c:v>44.1</c:v>
                </c:pt>
                <c:pt idx="17">
                  <c:v>44.3</c:v>
                </c:pt>
                <c:pt idx="18">
                  <c:v>42.3</c:v>
                </c:pt>
                <c:pt idx="19">
                  <c:v>42.8</c:v>
                </c:pt>
                <c:pt idx="20">
                  <c:v>43.1</c:v>
                </c:pt>
                <c:pt idx="21">
                  <c:v>43</c:v>
                </c:pt>
                <c:pt idx="22">
                  <c:v>44</c:v>
                </c:pt>
                <c:pt idx="23">
                  <c:v>44.5</c:v>
                </c:pt>
                <c:pt idx="24">
                  <c:v>46</c:v>
                </c:pt>
                <c:pt idx="25">
                  <c:v>44.6</c:v>
                </c:pt>
                <c:pt idx="26">
                  <c:v>43.1</c:v>
                </c:pt>
                <c:pt idx="27">
                  <c:v>43.9</c:v>
                </c:pt>
                <c:pt idx="28">
                  <c:v>43.6</c:v>
                </c:pt>
                <c:pt idx="29">
                  <c:v>45.5</c:v>
                </c:pt>
                <c:pt idx="30">
                  <c:v>47</c:v>
                </c:pt>
                <c:pt idx="31">
                  <c:v>46.5</c:v>
                </c:pt>
                <c:pt idx="32">
                  <c:v>45.8</c:v>
                </c:pt>
                <c:pt idx="33">
                  <c:v>48.7</c:v>
                </c:pt>
                <c:pt idx="34">
                  <c:v>48.8</c:v>
                </c:pt>
                <c:pt idx="35">
                  <c:v>52.7</c:v>
                </c:pt>
                <c:pt idx="36">
                  <c:v>50.5</c:v>
                </c:pt>
                <c:pt idx="37">
                  <c:v>47.2</c:v>
                </c:pt>
                <c:pt idx="38">
                  <c:v>48.6</c:v>
                </c:pt>
                <c:pt idx="39">
                  <c:v>49.4</c:v>
                </c:pt>
                <c:pt idx="40">
                  <c:v>52.9</c:v>
                </c:pt>
                <c:pt idx="41">
                  <c:v>49.5</c:v>
                </c:pt>
                <c:pt idx="42">
                  <c:v>51.1</c:v>
                </c:pt>
                <c:pt idx="43">
                  <c:v>51.6</c:v>
                </c:pt>
                <c:pt idx="44">
                  <c:v>53.6</c:v>
                </c:pt>
                <c:pt idx="45">
                  <c:v>52.8</c:v>
                </c:pt>
                <c:pt idx="46">
                  <c:v>49.8</c:v>
                </c:pt>
                <c:pt idx="47">
                  <c:v>48.8</c:v>
                </c:pt>
                <c:pt idx="48">
                  <c:v>50.8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E-4EE7-BE5A-954890C8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319168"/>
        <c:axId val="371320704"/>
      </c:lineChart>
      <c:dateAx>
        <c:axId val="3713191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320704"/>
        <c:crossesAt val="50"/>
        <c:auto val="1"/>
        <c:lblOffset val="100"/>
        <c:baseTimeUnit val="months"/>
        <c:majorUnit val="1"/>
        <c:majorTimeUnit val="years"/>
      </c:dateAx>
      <c:valAx>
        <c:axId val="371320704"/>
        <c:scaling>
          <c:orientation val="minMax"/>
          <c:max val="62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319168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1012251465142199"/>
          <c:y val="0.73445666438434332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Italy Service PMI</a:t>
            </a:r>
            <a:r>
              <a:rPr lang="en-US" baseline="0"/>
              <a:t> vs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IT!$B$40</c:f>
              <c:strCache>
                <c:ptCount val="1"/>
                <c:pt idx="0">
                  <c:v>Italy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IT!$A$41:$A$239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IT!$B$41:$B$239</c:f>
              <c:numCache>
                <c:formatCode>0.0</c:formatCode>
                <c:ptCount val="199"/>
                <c:pt idx="0">
                  <c:v>51</c:v>
                </c:pt>
                <c:pt idx="1">
                  <c:v>54.4</c:v>
                </c:pt>
                <c:pt idx="2">
                  <c:v>52.1</c:v>
                </c:pt>
                <c:pt idx="3">
                  <c:v>53.5</c:v>
                </c:pt>
                <c:pt idx="4">
                  <c:v>53.1</c:v>
                </c:pt>
                <c:pt idx="5">
                  <c:v>53.3</c:v>
                </c:pt>
                <c:pt idx="6">
                  <c:v>52.2</c:v>
                </c:pt>
                <c:pt idx="7">
                  <c:v>50.1</c:v>
                </c:pt>
                <c:pt idx="8">
                  <c:v>47.4</c:v>
                </c:pt>
                <c:pt idx="9">
                  <c:v>48.6</c:v>
                </c:pt>
                <c:pt idx="10">
                  <c:v>48.4</c:v>
                </c:pt>
                <c:pt idx="11">
                  <c:v>45.8</c:v>
                </c:pt>
                <c:pt idx="12">
                  <c:v>43.9</c:v>
                </c:pt>
                <c:pt idx="13">
                  <c:v>45.8</c:v>
                </c:pt>
                <c:pt idx="14">
                  <c:v>44.5</c:v>
                </c:pt>
                <c:pt idx="15">
                  <c:v>44.8</c:v>
                </c:pt>
                <c:pt idx="16">
                  <c:v>44.1</c:v>
                </c:pt>
                <c:pt idx="17">
                  <c:v>44.3</c:v>
                </c:pt>
                <c:pt idx="18">
                  <c:v>42.3</c:v>
                </c:pt>
                <c:pt idx="19">
                  <c:v>42.8</c:v>
                </c:pt>
                <c:pt idx="20">
                  <c:v>43.1</c:v>
                </c:pt>
                <c:pt idx="21">
                  <c:v>43</c:v>
                </c:pt>
                <c:pt idx="22">
                  <c:v>44</c:v>
                </c:pt>
                <c:pt idx="23">
                  <c:v>44.5</c:v>
                </c:pt>
                <c:pt idx="24">
                  <c:v>46</c:v>
                </c:pt>
                <c:pt idx="25">
                  <c:v>44.6</c:v>
                </c:pt>
                <c:pt idx="26">
                  <c:v>43.1</c:v>
                </c:pt>
                <c:pt idx="27">
                  <c:v>43.9</c:v>
                </c:pt>
                <c:pt idx="28">
                  <c:v>43.6</c:v>
                </c:pt>
                <c:pt idx="29">
                  <c:v>45.5</c:v>
                </c:pt>
                <c:pt idx="30">
                  <c:v>47</c:v>
                </c:pt>
                <c:pt idx="31">
                  <c:v>46.5</c:v>
                </c:pt>
                <c:pt idx="32">
                  <c:v>45.8</c:v>
                </c:pt>
                <c:pt idx="33">
                  <c:v>48.7</c:v>
                </c:pt>
                <c:pt idx="34">
                  <c:v>48.8</c:v>
                </c:pt>
                <c:pt idx="35">
                  <c:v>52.7</c:v>
                </c:pt>
                <c:pt idx="36">
                  <c:v>50.5</c:v>
                </c:pt>
                <c:pt idx="37">
                  <c:v>47.2</c:v>
                </c:pt>
                <c:pt idx="38">
                  <c:v>48.6</c:v>
                </c:pt>
                <c:pt idx="39">
                  <c:v>49.4</c:v>
                </c:pt>
                <c:pt idx="40">
                  <c:v>52.9</c:v>
                </c:pt>
                <c:pt idx="41">
                  <c:v>49.5</c:v>
                </c:pt>
                <c:pt idx="42">
                  <c:v>51.1</c:v>
                </c:pt>
                <c:pt idx="43">
                  <c:v>51.6</c:v>
                </c:pt>
                <c:pt idx="44">
                  <c:v>53.6</c:v>
                </c:pt>
                <c:pt idx="45">
                  <c:v>52.8</c:v>
                </c:pt>
                <c:pt idx="46">
                  <c:v>49.8</c:v>
                </c:pt>
                <c:pt idx="47">
                  <c:v>48.8</c:v>
                </c:pt>
                <c:pt idx="48">
                  <c:v>50.8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8-47D2-8171-F545E52A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150400"/>
        <c:axId val="368151936"/>
      </c:areaChart>
      <c:barChart>
        <c:barDir val="col"/>
        <c:grouping val="clustered"/>
        <c:varyColors val="0"/>
        <c:ser>
          <c:idx val="2"/>
          <c:order val="2"/>
          <c:tx>
            <c:strRef>
              <c:f>IT!$D$40</c:f>
              <c:strCache>
                <c:ptCount val="1"/>
                <c:pt idx="0">
                  <c:v>Italy GDP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IT!$D$41:$D$239</c:f>
              <c:numCache>
                <c:formatCode>0.0%</c:formatCode>
                <c:ptCount val="199"/>
                <c:pt idx="2">
                  <c:v>3.0000000000000001E-3</c:v>
                </c:pt>
                <c:pt idx="5">
                  <c:v>1E-3</c:v>
                </c:pt>
                <c:pt idx="8">
                  <c:v>2E-3</c:v>
                </c:pt>
                <c:pt idx="11">
                  <c:v>-2E-3</c:v>
                </c:pt>
                <c:pt idx="14">
                  <c:v>-7.0000000000000001E-3</c:v>
                </c:pt>
                <c:pt idx="17">
                  <c:v>-1.0999999999999999E-2</c:v>
                </c:pt>
                <c:pt idx="20">
                  <c:v>5.0000000000000001E-3</c:v>
                </c:pt>
                <c:pt idx="23">
                  <c:v>-4.0000000000000001E-3</c:v>
                </c:pt>
                <c:pt idx="26">
                  <c:v>-8.9999999999999993E-3</c:v>
                </c:pt>
                <c:pt idx="29">
                  <c:v>-6.0000000000000001E-3</c:v>
                </c:pt>
                <c:pt idx="32">
                  <c:v>-3.0000000000000001E-3</c:v>
                </c:pt>
                <c:pt idx="35">
                  <c:v>-1E-3</c:v>
                </c:pt>
                <c:pt idx="38">
                  <c:v>1E-3</c:v>
                </c:pt>
                <c:pt idx="41">
                  <c:v>-1E-3</c:v>
                </c:pt>
                <c:pt idx="44">
                  <c:v>-2E-3</c:v>
                </c:pt>
                <c:pt idx="47">
                  <c:v>-1E-3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8-47D2-8171-F545E52A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155264"/>
        <c:axId val="36815372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IT!$B$41:$B$239</c:f>
              <c:numCache>
                <c:formatCode>0.0</c:formatCode>
                <c:ptCount val="199"/>
                <c:pt idx="0">
                  <c:v>51</c:v>
                </c:pt>
                <c:pt idx="1">
                  <c:v>54.4</c:v>
                </c:pt>
                <c:pt idx="2">
                  <c:v>52.1</c:v>
                </c:pt>
                <c:pt idx="3">
                  <c:v>53.5</c:v>
                </c:pt>
                <c:pt idx="4">
                  <c:v>53.1</c:v>
                </c:pt>
                <c:pt idx="5">
                  <c:v>53.3</c:v>
                </c:pt>
                <c:pt idx="6">
                  <c:v>52.2</c:v>
                </c:pt>
                <c:pt idx="7">
                  <c:v>50.1</c:v>
                </c:pt>
                <c:pt idx="8">
                  <c:v>47.4</c:v>
                </c:pt>
                <c:pt idx="9">
                  <c:v>48.6</c:v>
                </c:pt>
                <c:pt idx="10">
                  <c:v>48.4</c:v>
                </c:pt>
                <c:pt idx="11">
                  <c:v>45.8</c:v>
                </c:pt>
                <c:pt idx="12">
                  <c:v>43.9</c:v>
                </c:pt>
                <c:pt idx="13">
                  <c:v>45.8</c:v>
                </c:pt>
                <c:pt idx="14">
                  <c:v>44.5</c:v>
                </c:pt>
                <c:pt idx="15">
                  <c:v>44.8</c:v>
                </c:pt>
                <c:pt idx="16">
                  <c:v>44.1</c:v>
                </c:pt>
                <c:pt idx="17">
                  <c:v>44.3</c:v>
                </c:pt>
                <c:pt idx="18">
                  <c:v>42.3</c:v>
                </c:pt>
                <c:pt idx="19">
                  <c:v>42.8</c:v>
                </c:pt>
                <c:pt idx="20">
                  <c:v>43.1</c:v>
                </c:pt>
                <c:pt idx="21">
                  <c:v>43</c:v>
                </c:pt>
                <c:pt idx="22">
                  <c:v>44</c:v>
                </c:pt>
                <c:pt idx="23">
                  <c:v>44.5</c:v>
                </c:pt>
                <c:pt idx="24">
                  <c:v>46</c:v>
                </c:pt>
                <c:pt idx="25">
                  <c:v>44.6</c:v>
                </c:pt>
                <c:pt idx="26">
                  <c:v>43.1</c:v>
                </c:pt>
                <c:pt idx="27">
                  <c:v>43.9</c:v>
                </c:pt>
                <c:pt idx="28">
                  <c:v>43.6</c:v>
                </c:pt>
                <c:pt idx="29">
                  <c:v>45.5</c:v>
                </c:pt>
                <c:pt idx="30">
                  <c:v>47</c:v>
                </c:pt>
                <c:pt idx="31">
                  <c:v>46.5</c:v>
                </c:pt>
                <c:pt idx="32">
                  <c:v>45.8</c:v>
                </c:pt>
                <c:pt idx="33">
                  <c:v>48.7</c:v>
                </c:pt>
                <c:pt idx="34">
                  <c:v>48.8</c:v>
                </c:pt>
                <c:pt idx="35">
                  <c:v>52.7</c:v>
                </c:pt>
                <c:pt idx="36">
                  <c:v>50.5</c:v>
                </c:pt>
                <c:pt idx="37">
                  <c:v>47.2</c:v>
                </c:pt>
                <c:pt idx="38">
                  <c:v>48.6</c:v>
                </c:pt>
                <c:pt idx="39">
                  <c:v>49.4</c:v>
                </c:pt>
                <c:pt idx="40">
                  <c:v>52.9</c:v>
                </c:pt>
                <c:pt idx="41">
                  <c:v>49.5</c:v>
                </c:pt>
                <c:pt idx="42">
                  <c:v>51.1</c:v>
                </c:pt>
                <c:pt idx="43">
                  <c:v>51.6</c:v>
                </c:pt>
                <c:pt idx="44">
                  <c:v>53.6</c:v>
                </c:pt>
                <c:pt idx="45">
                  <c:v>52.8</c:v>
                </c:pt>
                <c:pt idx="46">
                  <c:v>49.8</c:v>
                </c:pt>
                <c:pt idx="47">
                  <c:v>48.8</c:v>
                </c:pt>
                <c:pt idx="48">
                  <c:v>50.8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98-47D2-8171-F545E52A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50400"/>
        <c:axId val="368151936"/>
      </c:lineChart>
      <c:dateAx>
        <c:axId val="3681504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51936"/>
        <c:crossesAt val="50"/>
        <c:auto val="1"/>
        <c:lblOffset val="100"/>
        <c:baseTimeUnit val="months"/>
        <c:majorUnit val="1"/>
        <c:majorTimeUnit val="years"/>
      </c:dateAx>
      <c:valAx>
        <c:axId val="368151936"/>
        <c:scaling>
          <c:orientation val="minMax"/>
          <c:max val="60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50400"/>
        <c:crosses val="autoZero"/>
        <c:crossBetween val="between"/>
        <c:majorUnit val="6"/>
      </c:valAx>
      <c:valAx>
        <c:axId val="368153728"/>
        <c:scaling>
          <c:orientation val="minMax"/>
          <c:max val="1.2500000000000004E-2"/>
          <c:min val="-1.500000000000000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68155264"/>
        <c:crosses val="max"/>
        <c:crossBetween val="between"/>
        <c:majorUnit val="5.0000000000000018E-3"/>
      </c:valAx>
      <c:catAx>
        <c:axId val="368155264"/>
        <c:scaling>
          <c:orientation val="minMax"/>
        </c:scaling>
        <c:delete val="1"/>
        <c:axPos val="b"/>
        <c:majorTickMark val="out"/>
        <c:minorTickMark val="none"/>
        <c:tickLblPos val="none"/>
        <c:crossAx val="36815372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8942656467773287E-2"/>
          <c:y val="0.58650980448096157"/>
          <c:w val="0.18131684950557767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Spain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ES!$B$40</c:f>
              <c:strCache>
                <c:ptCount val="1"/>
                <c:pt idx="0">
                  <c:v>Spain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ES!$A$41:$A$239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ES!$B$41:$B$239</c:f>
              <c:numCache>
                <c:formatCode>0.0</c:formatCode>
                <c:ptCount val="199"/>
                <c:pt idx="0">
                  <c:v>46.5</c:v>
                </c:pt>
                <c:pt idx="1">
                  <c:v>48.3</c:v>
                </c:pt>
                <c:pt idx="2">
                  <c:v>49.1</c:v>
                </c:pt>
                <c:pt idx="3">
                  <c:v>50.1</c:v>
                </c:pt>
                <c:pt idx="4">
                  <c:v>50.8</c:v>
                </c:pt>
                <c:pt idx="5">
                  <c:v>48.7</c:v>
                </c:pt>
                <c:pt idx="6">
                  <c:v>50.4</c:v>
                </c:pt>
                <c:pt idx="7">
                  <c:v>50.9</c:v>
                </c:pt>
                <c:pt idx="8">
                  <c:v>50.2</c:v>
                </c:pt>
                <c:pt idx="9">
                  <c:v>46.5</c:v>
                </c:pt>
                <c:pt idx="10">
                  <c:v>45.2</c:v>
                </c:pt>
                <c:pt idx="11">
                  <c:v>44.8</c:v>
                </c:pt>
                <c:pt idx="12">
                  <c:v>41.8</c:v>
                </c:pt>
                <c:pt idx="13">
                  <c:v>36.799999999999997</c:v>
                </c:pt>
                <c:pt idx="14">
                  <c:v>42.1</c:v>
                </c:pt>
                <c:pt idx="15">
                  <c:v>46.1</c:v>
                </c:pt>
                <c:pt idx="16">
                  <c:v>41.9</c:v>
                </c:pt>
                <c:pt idx="17">
                  <c:v>46.3</c:v>
                </c:pt>
                <c:pt idx="18">
                  <c:v>42.1</c:v>
                </c:pt>
                <c:pt idx="19">
                  <c:v>41.8</c:v>
                </c:pt>
                <c:pt idx="20">
                  <c:v>43.4</c:v>
                </c:pt>
                <c:pt idx="21">
                  <c:v>43.7</c:v>
                </c:pt>
                <c:pt idx="22">
                  <c:v>44</c:v>
                </c:pt>
                <c:pt idx="23">
                  <c:v>40.200000000000003</c:v>
                </c:pt>
                <c:pt idx="24">
                  <c:v>41.2</c:v>
                </c:pt>
                <c:pt idx="25">
                  <c:v>42.4</c:v>
                </c:pt>
                <c:pt idx="26">
                  <c:v>44.1</c:v>
                </c:pt>
                <c:pt idx="27">
                  <c:v>47</c:v>
                </c:pt>
                <c:pt idx="28">
                  <c:v>44.7</c:v>
                </c:pt>
                <c:pt idx="29">
                  <c:v>45.3</c:v>
                </c:pt>
                <c:pt idx="30">
                  <c:v>44.4</c:v>
                </c:pt>
                <c:pt idx="31">
                  <c:v>47.3</c:v>
                </c:pt>
                <c:pt idx="32">
                  <c:v>47.8</c:v>
                </c:pt>
                <c:pt idx="33">
                  <c:v>48.5</c:v>
                </c:pt>
                <c:pt idx="34">
                  <c:v>50.5</c:v>
                </c:pt>
                <c:pt idx="35">
                  <c:v>49</c:v>
                </c:pt>
                <c:pt idx="36">
                  <c:v>49.6</c:v>
                </c:pt>
                <c:pt idx="37">
                  <c:v>51.5</c:v>
                </c:pt>
                <c:pt idx="38">
                  <c:v>53.2</c:v>
                </c:pt>
                <c:pt idx="39">
                  <c:v>54.9</c:v>
                </c:pt>
                <c:pt idx="40">
                  <c:v>53.7</c:v>
                </c:pt>
                <c:pt idx="41">
                  <c:v>54</c:v>
                </c:pt>
                <c:pt idx="42">
                  <c:v>56.5</c:v>
                </c:pt>
                <c:pt idx="43">
                  <c:v>55.7</c:v>
                </c:pt>
                <c:pt idx="44">
                  <c:v>54.8</c:v>
                </c:pt>
                <c:pt idx="45">
                  <c:v>56.2</c:v>
                </c:pt>
                <c:pt idx="46">
                  <c:v>58.1</c:v>
                </c:pt>
                <c:pt idx="47">
                  <c:v>55.8</c:v>
                </c:pt>
                <c:pt idx="48">
                  <c:v>55.9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A-43CB-9025-380617C7A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411392"/>
        <c:axId val="36841292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ES!$B$41:$B$239</c:f>
              <c:numCache>
                <c:formatCode>0.0</c:formatCode>
                <c:ptCount val="199"/>
                <c:pt idx="0">
                  <c:v>46.5</c:v>
                </c:pt>
                <c:pt idx="1">
                  <c:v>48.3</c:v>
                </c:pt>
                <c:pt idx="2">
                  <c:v>49.1</c:v>
                </c:pt>
                <c:pt idx="3">
                  <c:v>50.1</c:v>
                </c:pt>
                <c:pt idx="4">
                  <c:v>50.8</c:v>
                </c:pt>
                <c:pt idx="5">
                  <c:v>48.7</c:v>
                </c:pt>
                <c:pt idx="6">
                  <c:v>50.4</c:v>
                </c:pt>
                <c:pt idx="7">
                  <c:v>50.9</c:v>
                </c:pt>
                <c:pt idx="8">
                  <c:v>50.2</c:v>
                </c:pt>
                <c:pt idx="9">
                  <c:v>46.5</c:v>
                </c:pt>
                <c:pt idx="10">
                  <c:v>45.2</c:v>
                </c:pt>
                <c:pt idx="11">
                  <c:v>44.8</c:v>
                </c:pt>
                <c:pt idx="12">
                  <c:v>41.8</c:v>
                </c:pt>
                <c:pt idx="13">
                  <c:v>36.799999999999997</c:v>
                </c:pt>
                <c:pt idx="14">
                  <c:v>42.1</c:v>
                </c:pt>
                <c:pt idx="15">
                  <c:v>46.1</c:v>
                </c:pt>
                <c:pt idx="16">
                  <c:v>41.9</c:v>
                </c:pt>
                <c:pt idx="17">
                  <c:v>46.3</c:v>
                </c:pt>
                <c:pt idx="18">
                  <c:v>42.1</c:v>
                </c:pt>
                <c:pt idx="19">
                  <c:v>41.8</c:v>
                </c:pt>
                <c:pt idx="20">
                  <c:v>43.4</c:v>
                </c:pt>
                <c:pt idx="21">
                  <c:v>43.7</c:v>
                </c:pt>
                <c:pt idx="22">
                  <c:v>44</c:v>
                </c:pt>
                <c:pt idx="23">
                  <c:v>40.200000000000003</c:v>
                </c:pt>
                <c:pt idx="24">
                  <c:v>41.2</c:v>
                </c:pt>
                <c:pt idx="25">
                  <c:v>42.4</c:v>
                </c:pt>
                <c:pt idx="26">
                  <c:v>44.1</c:v>
                </c:pt>
                <c:pt idx="27">
                  <c:v>47</c:v>
                </c:pt>
                <c:pt idx="28">
                  <c:v>44.7</c:v>
                </c:pt>
                <c:pt idx="29">
                  <c:v>45.3</c:v>
                </c:pt>
                <c:pt idx="30">
                  <c:v>44.4</c:v>
                </c:pt>
                <c:pt idx="31">
                  <c:v>47.3</c:v>
                </c:pt>
                <c:pt idx="32">
                  <c:v>47.8</c:v>
                </c:pt>
                <c:pt idx="33">
                  <c:v>48.5</c:v>
                </c:pt>
                <c:pt idx="34">
                  <c:v>50.5</c:v>
                </c:pt>
                <c:pt idx="35">
                  <c:v>49</c:v>
                </c:pt>
                <c:pt idx="36">
                  <c:v>49.6</c:v>
                </c:pt>
                <c:pt idx="37">
                  <c:v>51.5</c:v>
                </c:pt>
                <c:pt idx="38">
                  <c:v>53.2</c:v>
                </c:pt>
                <c:pt idx="39">
                  <c:v>54.9</c:v>
                </c:pt>
                <c:pt idx="40">
                  <c:v>53.7</c:v>
                </c:pt>
                <c:pt idx="41">
                  <c:v>54</c:v>
                </c:pt>
                <c:pt idx="42">
                  <c:v>56.5</c:v>
                </c:pt>
                <c:pt idx="43">
                  <c:v>55.7</c:v>
                </c:pt>
                <c:pt idx="44">
                  <c:v>54.8</c:v>
                </c:pt>
                <c:pt idx="45">
                  <c:v>56.2</c:v>
                </c:pt>
                <c:pt idx="46">
                  <c:v>58.1</c:v>
                </c:pt>
                <c:pt idx="47">
                  <c:v>55.8</c:v>
                </c:pt>
                <c:pt idx="48">
                  <c:v>55.9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A-43CB-9025-380617C7A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411392"/>
        <c:axId val="368412928"/>
      </c:lineChart>
      <c:dateAx>
        <c:axId val="3684113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412928"/>
        <c:crossesAt val="50"/>
        <c:auto val="1"/>
        <c:lblOffset val="100"/>
        <c:baseTimeUnit val="months"/>
        <c:majorUnit val="1"/>
        <c:majorTimeUnit val="years"/>
      </c:dateAx>
      <c:valAx>
        <c:axId val="368412928"/>
        <c:scaling>
          <c:orientation val="minMax"/>
          <c:max val="62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411392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81E-2"/>
          <c:y val="0.13663060292737222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Spain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ES!$B$40</c:f>
              <c:strCache>
                <c:ptCount val="1"/>
                <c:pt idx="0">
                  <c:v>Spain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ES!$A$41:$A$239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ES!$B$41:$B$239</c:f>
              <c:numCache>
                <c:formatCode>0.0</c:formatCode>
                <c:ptCount val="199"/>
                <c:pt idx="0">
                  <c:v>46.5</c:v>
                </c:pt>
                <c:pt idx="1">
                  <c:v>48.3</c:v>
                </c:pt>
                <c:pt idx="2">
                  <c:v>49.1</c:v>
                </c:pt>
                <c:pt idx="3">
                  <c:v>50.1</c:v>
                </c:pt>
                <c:pt idx="4">
                  <c:v>50.8</c:v>
                </c:pt>
                <c:pt idx="5">
                  <c:v>48.7</c:v>
                </c:pt>
                <c:pt idx="6">
                  <c:v>50.4</c:v>
                </c:pt>
                <c:pt idx="7">
                  <c:v>50.9</c:v>
                </c:pt>
                <c:pt idx="8">
                  <c:v>50.2</c:v>
                </c:pt>
                <c:pt idx="9">
                  <c:v>46.5</c:v>
                </c:pt>
                <c:pt idx="10">
                  <c:v>45.2</c:v>
                </c:pt>
                <c:pt idx="11">
                  <c:v>44.8</c:v>
                </c:pt>
                <c:pt idx="12">
                  <c:v>41.8</c:v>
                </c:pt>
                <c:pt idx="13">
                  <c:v>36.799999999999997</c:v>
                </c:pt>
                <c:pt idx="14">
                  <c:v>42.1</c:v>
                </c:pt>
                <c:pt idx="15">
                  <c:v>46.1</c:v>
                </c:pt>
                <c:pt idx="16">
                  <c:v>41.9</c:v>
                </c:pt>
                <c:pt idx="17">
                  <c:v>46.3</c:v>
                </c:pt>
                <c:pt idx="18">
                  <c:v>42.1</c:v>
                </c:pt>
                <c:pt idx="19">
                  <c:v>41.8</c:v>
                </c:pt>
                <c:pt idx="20">
                  <c:v>43.4</c:v>
                </c:pt>
                <c:pt idx="21">
                  <c:v>43.7</c:v>
                </c:pt>
                <c:pt idx="22">
                  <c:v>44</c:v>
                </c:pt>
                <c:pt idx="23">
                  <c:v>40.200000000000003</c:v>
                </c:pt>
                <c:pt idx="24">
                  <c:v>41.2</c:v>
                </c:pt>
                <c:pt idx="25">
                  <c:v>42.4</c:v>
                </c:pt>
                <c:pt idx="26">
                  <c:v>44.1</c:v>
                </c:pt>
                <c:pt idx="27">
                  <c:v>47</c:v>
                </c:pt>
                <c:pt idx="28">
                  <c:v>44.7</c:v>
                </c:pt>
                <c:pt idx="29">
                  <c:v>45.3</c:v>
                </c:pt>
                <c:pt idx="30">
                  <c:v>44.4</c:v>
                </c:pt>
                <c:pt idx="31">
                  <c:v>47.3</c:v>
                </c:pt>
                <c:pt idx="32">
                  <c:v>47.8</c:v>
                </c:pt>
                <c:pt idx="33">
                  <c:v>48.5</c:v>
                </c:pt>
                <c:pt idx="34">
                  <c:v>50.5</c:v>
                </c:pt>
                <c:pt idx="35">
                  <c:v>49</c:v>
                </c:pt>
                <c:pt idx="36">
                  <c:v>49.6</c:v>
                </c:pt>
                <c:pt idx="37">
                  <c:v>51.5</c:v>
                </c:pt>
                <c:pt idx="38">
                  <c:v>53.2</c:v>
                </c:pt>
                <c:pt idx="39">
                  <c:v>54.9</c:v>
                </c:pt>
                <c:pt idx="40">
                  <c:v>53.7</c:v>
                </c:pt>
                <c:pt idx="41">
                  <c:v>54</c:v>
                </c:pt>
                <c:pt idx="42">
                  <c:v>56.5</c:v>
                </c:pt>
                <c:pt idx="43">
                  <c:v>55.7</c:v>
                </c:pt>
                <c:pt idx="44">
                  <c:v>54.8</c:v>
                </c:pt>
                <c:pt idx="45">
                  <c:v>56.2</c:v>
                </c:pt>
                <c:pt idx="46">
                  <c:v>58.1</c:v>
                </c:pt>
                <c:pt idx="47">
                  <c:v>55.8</c:v>
                </c:pt>
                <c:pt idx="48">
                  <c:v>55.9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B89-9B6D-479AC9FB4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27616"/>
        <c:axId val="368541696"/>
      </c:areaChart>
      <c:barChart>
        <c:barDir val="col"/>
        <c:grouping val="clustered"/>
        <c:varyColors val="0"/>
        <c:ser>
          <c:idx val="2"/>
          <c:order val="2"/>
          <c:tx>
            <c:strRef>
              <c:f>ES!$D$40</c:f>
              <c:strCache>
                <c:ptCount val="1"/>
                <c:pt idx="0">
                  <c:v>Spanish GDP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ES!$D$41:$D$239</c:f>
              <c:numCache>
                <c:formatCode>0.0%</c:formatCode>
                <c:ptCount val="199"/>
                <c:pt idx="2">
                  <c:v>2E-3</c:v>
                </c:pt>
                <c:pt idx="5">
                  <c:v>2E-3</c:v>
                </c:pt>
                <c:pt idx="8">
                  <c:v>-1E-3</c:v>
                </c:pt>
                <c:pt idx="11">
                  <c:v>-3.0000000000000001E-3</c:v>
                </c:pt>
                <c:pt idx="14">
                  <c:v>-4.0000000000000001E-3</c:v>
                </c:pt>
                <c:pt idx="17">
                  <c:v>-4.0000000000000001E-3</c:v>
                </c:pt>
                <c:pt idx="20">
                  <c:v>-5.0000000000000001E-3</c:v>
                </c:pt>
                <c:pt idx="23">
                  <c:v>-4.0000000000000001E-3</c:v>
                </c:pt>
                <c:pt idx="26">
                  <c:v>-8.0000000000000002E-3</c:v>
                </c:pt>
                <c:pt idx="29">
                  <c:v>-3.0000000000000001E-3</c:v>
                </c:pt>
                <c:pt idx="32">
                  <c:v>-1E-3</c:v>
                </c:pt>
                <c:pt idx="35">
                  <c:v>1E-3</c:v>
                </c:pt>
                <c:pt idx="38">
                  <c:v>2E-3</c:v>
                </c:pt>
                <c:pt idx="41">
                  <c:v>4.0000000000000001E-3</c:v>
                </c:pt>
                <c:pt idx="44">
                  <c:v>6.0000000000000001E-3</c:v>
                </c:pt>
                <c:pt idx="4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F-4B89-9B6D-479AC9FB4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44768"/>
        <c:axId val="36854323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ES!$B$41:$B$239</c:f>
              <c:numCache>
                <c:formatCode>0.0</c:formatCode>
                <c:ptCount val="199"/>
                <c:pt idx="0">
                  <c:v>46.5</c:v>
                </c:pt>
                <c:pt idx="1">
                  <c:v>48.3</c:v>
                </c:pt>
                <c:pt idx="2">
                  <c:v>49.1</c:v>
                </c:pt>
                <c:pt idx="3">
                  <c:v>50.1</c:v>
                </c:pt>
                <c:pt idx="4">
                  <c:v>50.8</c:v>
                </c:pt>
                <c:pt idx="5">
                  <c:v>48.7</c:v>
                </c:pt>
                <c:pt idx="6">
                  <c:v>50.4</c:v>
                </c:pt>
                <c:pt idx="7">
                  <c:v>50.9</c:v>
                </c:pt>
                <c:pt idx="8">
                  <c:v>50.2</c:v>
                </c:pt>
                <c:pt idx="9">
                  <c:v>46.5</c:v>
                </c:pt>
                <c:pt idx="10">
                  <c:v>45.2</c:v>
                </c:pt>
                <c:pt idx="11">
                  <c:v>44.8</c:v>
                </c:pt>
                <c:pt idx="12">
                  <c:v>41.8</c:v>
                </c:pt>
                <c:pt idx="13">
                  <c:v>36.799999999999997</c:v>
                </c:pt>
                <c:pt idx="14">
                  <c:v>42.1</c:v>
                </c:pt>
                <c:pt idx="15">
                  <c:v>46.1</c:v>
                </c:pt>
                <c:pt idx="16">
                  <c:v>41.9</c:v>
                </c:pt>
                <c:pt idx="17">
                  <c:v>46.3</c:v>
                </c:pt>
                <c:pt idx="18">
                  <c:v>42.1</c:v>
                </c:pt>
                <c:pt idx="19">
                  <c:v>41.8</c:v>
                </c:pt>
                <c:pt idx="20">
                  <c:v>43.4</c:v>
                </c:pt>
                <c:pt idx="21">
                  <c:v>43.7</c:v>
                </c:pt>
                <c:pt idx="22">
                  <c:v>44</c:v>
                </c:pt>
                <c:pt idx="23">
                  <c:v>40.200000000000003</c:v>
                </c:pt>
                <c:pt idx="24">
                  <c:v>41.2</c:v>
                </c:pt>
                <c:pt idx="25">
                  <c:v>42.4</c:v>
                </c:pt>
                <c:pt idx="26">
                  <c:v>44.1</c:v>
                </c:pt>
                <c:pt idx="27">
                  <c:v>47</c:v>
                </c:pt>
                <c:pt idx="28">
                  <c:v>44.7</c:v>
                </c:pt>
                <c:pt idx="29">
                  <c:v>45.3</c:v>
                </c:pt>
                <c:pt idx="30">
                  <c:v>44.4</c:v>
                </c:pt>
                <c:pt idx="31">
                  <c:v>47.3</c:v>
                </c:pt>
                <c:pt idx="32">
                  <c:v>47.8</c:v>
                </c:pt>
                <c:pt idx="33">
                  <c:v>48.5</c:v>
                </c:pt>
                <c:pt idx="34">
                  <c:v>50.5</c:v>
                </c:pt>
                <c:pt idx="35">
                  <c:v>49</c:v>
                </c:pt>
                <c:pt idx="36">
                  <c:v>49.6</c:v>
                </c:pt>
                <c:pt idx="37">
                  <c:v>51.5</c:v>
                </c:pt>
                <c:pt idx="38">
                  <c:v>53.2</c:v>
                </c:pt>
                <c:pt idx="39">
                  <c:v>54.9</c:v>
                </c:pt>
                <c:pt idx="40">
                  <c:v>53.7</c:v>
                </c:pt>
                <c:pt idx="41">
                  <c:v>54</c:v>
                </c:pt>
                <c:pt idx="42">
                  <c:v>56.5</c:v>
                </c:pt>
                <c:pt idx="43">
                  <c:v>55.7</c:v>
                </c:pt>
                <c:pt idx="44">
                  <c:v>54.8</c:v>
                </c:pt>
                <c:pt idx="45">
                  <c:v>56.2</c:v>
                </c:pt>
                <c:pt idx="46">
                  <c:v>58.1</c:v>
                </c:pt>
                <c:pt idx="47">
                  <c:v>55.8</c:v>
                </c:pt>
                <c:pt idx="48">
                  <c:v>55.9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F-4B89-9B6D-479AC9FB4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527616"/>
        <c:axId val="368541696"/>
      </c:lineChart>
      <c:dateAx>
        <c:axId val="3685276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541696"/>
        <c:crossesAt val="50"/>
        <c:auto val="1"/>
        <c:lblOffset val="100"/>
        <c:baseTimeUnit val="months"/>
        <c:majorUnit val="1"/>
        <c:majorTimeUnit val="years"/>
      </c:dateAx>
      <c:valAx>
        <c:axId val="368541696"/>
        <c:scaling>
          <c:orientation val="minMax"/>
          <c:max val="62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527616"/>
        <c:crosses val="autoZero"/>
        <c:crossBetween val="between"/>
        <c:majorUnit val="6"/>
      </c:valAx>
      <c:valAx>
        <c:axId val="368543232"/>
        <c:scaling>
          <c:orientation val="minMax"/>
          <c:max val="1.0000000000000004E-2"/>
          <c:min val="-1.500000000000000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68544768"/>
        <c:crosses val="max"/>
        <c:crossBetween val="between"/>
        <c:majorUnit val="5.0000000000000018E-3"/>
      </c:valAx>
      <c:catAx>
        <c:axId val="368544768"/>
        <c:scaling>
          <c:orientation val="minMax"/>
        </c:scaling>
        <c:delete val="1"/>
        <c:axPos val="b"/>
        <c:majorTickMark val="out"/>
        <c:minorTickMark val="none"/>
        <c:tickLblPos val="none"/>
        <c:crossAx val="36854323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0235216745167129"/>
          <c:y val="0.7586112537563241"/>
          <c:w val="0.1466203589575186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Ireland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IR!$B$40</c:f>
              <c:strCache>
                <c:ptCount val="1"/>
                <c:pt idx="0">
                  <c:v>Ireland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IR!$A$41:$A$239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IR!$B$41:$B$239</c:f>
              <c:numCache>
                <c:formatCode>0.0</c:formatCode>
                <c:ptCount val="199"/>
                <c:pt idx="0">
                  <c:v>50.9</c:v>
                </c:pt>
                <c:pt idx="1">
                  <c:v>50.8</c:v>
                </c:pt>
                <c:pt idx="2">
                  <c:v>52.1</c:v>
                </c:pt>
                <c:pt idx="3">
                  <c:v>53.6</c:v>
                </c:pt>
                <c:pt idx="4">
                  <c:v>55.1</c:v>
                </c:pt>
                <c:pt idx="5">
                  <c:v>51.1</c:v>
                </c:pt>
                <c:pt idx="6">
                  <c:v>50.2</c:v>
                </c:pt>
                <c:pt idx="7">
                  <c:v>50.5</c:v>
                </c:pt>
                <c:pt idx="8">
                  <c:v>52.4</c:v>
                </c:pt>
                <c:pt idx="9">
                  <c:v>51.7</c:v>
                </c:pt>
                <c:pt idx="10">
                  <c:v>51.1</c:v>
                </c:pt>
                <c:pt idx="11">
                  <c:v>51.3</c:v>
                </c:pt>
                <c:pt idx="12">
                  <c:v>51.5</c:v>
                </c:pt>
                <c:pt idx="13">
                  <c:v>52.7</c:v>
                </c:pt>
                <c:pt idx="14">
                  <c:v>48.4</c:v>
                </c:pt>
                <c:pt idx="15">
                  <c:v>48.3</c:v>
                </c:pt>
                <c:pt idx="16">
                  <c:v>53.3</c:v>
                </c:pt>
                <c:pt idx="17">
                  <c:v>52.1</c:v>
                </c:pt>
                <c:pt idx="18">
                  <c:v>52.2</c:v>
                </c:pt>
                <c:pt idx="19">
                  <c:v>48.9</c:v>
                </c:pt>
                <c:pt idx="20">
                  <c:v>49.7</c:v>
                </c:pt>
                <c:pt idx="21">
                  <c:v>49.1</c:v>
                </c:pt>
                <c:pt idx="22">
                  <c:v>51.7</c:v>
                </c:pt>
                <c:pt idx="23">
                  <c:v>53.9</c:v>
                </c:pt>
                <c:pt idx="24">
                  <c:v>56.1</c:v>
                </c:pt>
                <c:pt idx="25">
                  <c:v>56.1</c:v>
                </c:pt>
                <c:pt idx="26">
                  <c:v>56.5</c:v>
                </c:pt>
                <c:pt idx="27">
                  <c:v>56.8</c:v>
                </c:pt>
                <c:pt idx="28">
                  <c:v>53.6</c:v>
                </c:pt>
                <c:pt idx="29">
                  <c:v>52.3</c:v>
                </c:pt>
                <c:pt idx="30">
                  <c:v>55.2</c:v>
                </c:pt>
                <c:pt idx="31">
                  <c:v>52.7</c:v>
                </c:pt>
                <c:pt idx="32">
                  <c:v>61.6</c:v>
                </c:pt>
                <c:pt idx="33">
                  <c:v>59.6</c:v>
                </c:pt>
                <c:pt idx="34">
                  <c:v>57.2</c:v>
                </c:pt>
                <c:pt idx="35">
                  <c:v>56.8</c:v>
                </c:pt>
                <c:pt idx="36">
                  <c:v>60.1</c:v>
                </c:pt>
                <c:pt idx="37">
                  <c:v>57.1</c:v>
                </c:pt>
                <c:pt idx="38">
                  <c:v>59.3</c:v>
                </c:pt>
                <c:pt idx="39">
                  <c:v>61.5</c:v>
                </c:pt>
                <c:pt idx="40">
                  <c:v>57.5</c:v>
                </c:pt>
                <c:pt idx="41">
                  <c:v>60.7</c:v>
                </c:pt>
                <c:pt idx="42">
                  <c:v>61.9</c:v>
                </c:pt>
                <c:pt idx="43">
                  <c:v>61.7</c:v>
                </c:pt>
                <c:pt idx="44">
                  <c:v>62.6</c:v>
                </c:pt>
                <c:pt idx="45">
                  <c:v>61.3</c:v>
                </c:pt>
                <c:pt idx="46">
                  <c:v>62.4</c:v>
                </c:pt>
                <c:pt idx="47">
                  <c:v>62.5</c:v>
                </c:pt>
                <c:pt idx="48">
                  <c:v>61.5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6-42F8-A82E-532FB47E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493696"/>
        <c:axId val="36849523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IR!$B$41:$B$239</c:f>
              <c:numCache>
                <c:formatCode>0.0</c:formatCode>
                <c:ptCount val="199"/>
                <c:pt idx="0">
                  <c:v>50.9</c:v>
                </c:pt>
                <c:pt idx="1">
                  <c:v>50.8</c:v>
                </c:pt>
                <c:pt idx="2">
                  <c:v>52.1</c:v>
                </c:pt>
                <c:pt idx="3">
                  <c:v>53.6</c:v>
                </c:pt>
                <c:pt idx="4">
                  <c:v>55.1</c:v>
                </c:pt>
                <c:pt idx="5">
                  <c:v>51.1</c:v>
                </c:pt>
                <c:pt idx="6">
                  <c:v>50.2</c:v>
                </c:pt>
                <c:pt idx="7">
                  <c:v>50.5</c:v>
                </c:pt>
                <c:pt idx="8">
                  <c:v>52.4</c:v>
                </c:pt>
                <c:pt idx="9">
                  <c:v>51.7</c:v>
                </c:pt>
                <c:pt idx="10">
                  <c:v>51.1</c:v>
                </c:pt>
                <c:pt idx="11">
                  <c:v>51.3</c:v>
                </c:pt>
                <c:pt idx="12">
                  <c:v>51.5</c:v>
                </c:pt>
                <c:pt idx="13">
                  <c:v>52.7</c:v>
                </c:pt>
                <c:pt idx="14">
                  <c:v>48.4</c:v>
                </c:pt>
                <c:pt idx="15">
                  <c:v>48.3</c:v>
                </c:pt>
                <c:pt idx="16">
                  <c:v>53.3</c:v>
                </c:pt>
                <c:pt idx="17">
                  <c:v>52.1</c:v>
                </c:pt>
                <c:pt idx="18">
                  <c:v>52.2</c:v>
                </c:pt>
                <c:pt idx="19">
                  <c:v>48.9</c:v>
                </c:pt>
                <c:pt idx="20">
                  <c:v>49.7</c:v>
                </c:pt>
                <c:pt idx="21">
                  <c:v>49.1</c:v>
                </c:pt>
                <c:pt idx="22">
                  <c:v>51.7</c:v>
                </c:pt>
                <c:pt idx="23">
                  <c:v>53.9</c:v>
                </c:pt>
                <c:pt idx="24">
                  <c:v>56.1</c:v>
                </c:pt>
                <c:pt idx="25">
                  <c:v>56.1</c:v>
                </c:pt>
                <c:pt idx="26">
                  <c:v>56.5</c:v>
                </c:pt>
                <c:pt idx="27">
                  <c:v>56.8</c:v>
                </c:pt>
                <c:pt idx="28">
                  <c:v>53.6</c:v>
                </c:pt>
                <c:pt idx="29">
                  <c:v>52.3</c:v>
                </c:pt>
                <c:pt idx="30">
                  <c:v>55.2</c:v>
                </c:pt>
                <c:pt idx="31">
                  <c:v>52.7</c:v>
                </c:pt>
                <c:pt idx="32">
                  <c:v>61.6</c:v>
                </c:pt>
                <c:pt idx="33">
                  <c:v>59.6</c:v>
                </c:pt>
                <c:pt idx="34">
                  <c:v>57.2</c:v>
                </c:pt>
                <c:pt idx="35">
                  <c:v>56.8</c:v>
                </c:pt>
                <c:pt idx="36">
                  <c:v>60.1</c:v>
                </c:pt>
                <c:pt idx="37">
                  <c:v>57.1</c:v>
                </c:pt>
                <c:pt idx="38">
                  <c:v>59.3</c:v>
                </c:pt>
                <c:pt idx="39">
                  <c:v>61.5</c:v>
                </c:pt>
                <c:pt idx="40">
                  <c:v>57.5</c:v>
                </c:pt>
                <c:pt idx="41">
                  <c:v>60.7</c:v>
                </c:pt>
                <c:pt idx="42">
                  <c:v>61.9</c:v>
                </c:pt>
                <c:pt idx="43">
                  <c:v>61.7</c:v>
                </c:pt>
                <c:pt idx="44">
                  <c:v>62.6</c:v>
                </c:pt>
                <c:pt idx="45">
                  <c:v>61.3</c:v>
                </c:pt>
                <c:pt idx="46">
                  <c:v>62.4</c:v>
                </c:pt>
                <c:pt idx="47">
                  <c:v>62.5</c:v>
                </c:pt>
                <c:pt idx="48">
                  <c:v>61.5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6-42F8-A82E-532FB47E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493696"/>
        <c:axId val="368495232"/>
      </c:lineChart>
      <c:dateAx>
        <c:axId val="3684936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495232"/>
        <c:crossesAt val="50"/>
        <c:auto val="1"/>
        <c:lblOffset val="100"/>
        <c:baseTimeUnit val="months"/>
        <c:majorUnit val="1"/>
        <c:majorTimeUnit val="years"/>
      </c:dateAx>
      <c:valAx>
        <c:axId val="368495232"/>
        <c:scaling>
          <c:orientation val="minMax"/>
          <c:max val="63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493696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97E-2"/>
          <c:y val="0.76045636133995953"/>
          <c:w val="0.14479708112060402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Ireland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IR!$B$40</c:f>
              <c:strCache>
                <c:ptCount val="1"/>
                <c:pt idx="0">
                  <c:v>Ireland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IR!$A$41:$A$239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IR!$B$41:$B$239</c:f>
              <c:numCache>
                <c:formatCode>0.0</c:formatCode>
                <c:ptCount val="199"/>
                <c:pt idx="0">
                  <c:v>50.9</c:v>
                </c:pt>
                <c:pt idx="1">
                  <c:v>50.8</c:v>
                </c:pt>
                <c:pt idx="2">
                  <c:v>52.1</c:v>
                </c:pt>
                <c:pt idx="3">
                  <c:v>53.6</c:v>
                </c:pt>
                <c:pt idx="4">
                  <c:v>55.1</c:v>
                </c:pt>
                <c:pt idx="5">
                  <c:v>51.1</c:v>
                </c:pt>
                <c:pt idx="6">
                  <c:v>50.2</c:v>
                </c:pt>
                <c:pt idx="7">
                  <c:v>50.5</c:v>
                </c:pt>
                <c:pt idx="8">
                  <c:v>52.4</c:v>
                </c:pt>
                <c:pt idx="9">
                  <c:v>51.7</c:v>
                </c:pt>
                <c:pt idx="10">
                  <c:v>51.1</c:v>
                </c:pt>
                <c:pt idx="11">
                  <c:v>51.3</c:v>
                </c:pt>
                <c:pt idx="12">
                  <c:v>51.5</c:v>
                </c:pt>
                <c:pt idx="13">
                  <c:v>52.7</c:v>
                </c:pt>
                <c:pt idx="14">
                  <c:v>48.4</c:v>
                </c:pt>
                <c:pt idx="15">
                  <c:v>48.3</c:v>
                </c:pt>
                <c:pt idx="16">
                  <c:v>53.3</c:v>
                </c:pt>
                <c:pt idx="17">
                  <c:v>52.1</c:v>
                </c:pt>
                <c:pt idx="18">
                  <c:v>52.2</c:v>
                </c:pt>
                <c:pt idx="19">
                  <c:v>48.9</c:v>
                </c:pt>
                <c:pt idx="20">
                  <c:v>49.7</c:v>
                </c:pt>
                <c:pt idx="21">
                  <c:v>49.1</c:v>
                </c:pt>
                <c:pt idx="22">
                  <c:v>51.7</c:v>
                </c:pt>
                <c:pt idx="23">
                  <c:v>53.9</c:v>
                </c:pt>
                <c:pt idx="24">
                  <c:v>56.1</c:v>
                </c:pt>
                <c:pt idx="25">
                  <c:v>56.1</c:v>
                </c:pt>
                <c:pt idx="26">
                  <c:v>56.5</c:v>
                </c:pt>
                <c:pt idx="27">
                  <c:v>56.8</c:v>
                </c:pt>
                <c:pt idx="28">
                  <c:v>53.6</c:v>
                </c:pt>
                <c:pt idx="29">
                  <c:v>52.3</c:v>
                </c:pt>
                <c:pt idx="30">
                  <c:v>55.2</c:v>
                </c:pt>
                <c:pt idx="31">
                  <c:v>52.7</c:v>
                </c:pt>
                <c:pt idx="32">
                  <c:v>61.6</c:v>
                </c:pt>
                <c:pt idx="33">
                  <c:v>59.6</c:v>
                </c:pt>
                <c:pt idx="34">
                  <c:v>57.2</c:v>
                </c:pt>
                <c:pt idx="35">
                  <c:v>56.8</c:v>
                </c:pt>
                <c:pt idx="36">
                  <c:v>60.1</c:v>
                </c:pt>
                <c:pt idx="37">
                  <c:v>57.1</c:v>
                </c:pt>
                <c:pt idx="38">
                  <c:v>59.3</c:v>
                </c:pt>
                <c:pt idx="39">
                  <c:v>61.5</c:v>
                </c:pt>
                <c:pt idx="40">
                  <c:v>57.5</c:v>
                </c:pt>
                <c:pt idx="41">
                  <c:v>60.7</c:v>
                </c:pt>
                <c:pt idx="42">
                  <c:v>61.9</c:v>
                </c:pt>
                <c:pt idx="43">
                  <c:v>61.7</c:v>
                </c:pt>
                <c:pt idx="44">
                  <c:v>62.6</c:v>
                </c:pt>
                <c:pt idx="45">
                  <c:v>61.3</c:v>
                </c:pt>
                <c:pt idx="46">
                  <c:v>62.4</c:v>
                </c:pt>
                <c:pt idx="47">
                  <c:v>62.5</c:v>
                </c:pt>
                <c:pt idx="48">
                  <c:v>61.5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5-458F-AB52-80015C3C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605824"/>
        <c:axId val="368615808"/>
      </c:areaChart>
      <c:barChart>
        <c:barDir val="col"/>
        <c:grouping val="clustered"/>
        <c:varyColors val="0"/>
        <c:ser>
          <c:idx val="2"/>
          <c:order val="2"/>
          <c:tx>
            <c:strRef>
              <c:f>IR!$D$40</c:f>
              <c:strCache>
                <c:ptCount val="1"/>
                <c:pt idx="0">
                  <c:v>Ireland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IR!$D$41:$D$239</c:f>
              <c:numCache>
                <c:formatCode>0.0%</c:formatCode>
                <c:ptCount val="199"/>
                <c:pt idx="2">
                  <c:v>-0.01</c:v>
                </c:pt>
                <c:pt idx="5">
                  <c:v>1.4999999999999999E-2</c:v>
                </c:pt>
                <c:pt idx="8">
                  <c:v>1.4999999999999999E-2</c:v>
                </c:pt>
                <c:pt idx="11">
                  <c:v>-0.01</c:v>
                </c:pt>
                <c:pt idx="14">
                  <c:v>0.01</c:v>
                </c:pt>
                <c:pt idx="17">
                  <c:v>-5.0000000000000001E-3</c:v>
                </c:pt>
                <c:pt idx="20">
                  <c:v>7.0000000000000001E-3</c:v>
                </c:pt>
                <c:pt idx="23">
                  <c:v>-1.9E-2</c:v>
                </c:pt>
                <c:pt idx="26">
                  <c:v>8.0000000000000002E-3</c:v>
                </c:pt>
                <c:pt idx="29">
                  <c:v>-1.4E-2</c:v>
                </c:pt>
                <c:pt idx="32">
                  <c:v>1.0999999999999999E-2</c:v>
                </c:pt>
                <c:pt idx="35">
                  <c:v>2.1000000000000001E-2</c:v>
                </c:pt>
                <c:pt idx="38">
                  <c:v>-2.3E-2</c:v>
                </c:pt>
                <c:pt idx="41">
                  <c:v>2.7E-2</c:v>
                </c:pt>
                <c:pt idx="44">
                  <c:v>1.4999999999999999E-2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5-458F-AB52-80015C3C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618880"/>
        <c:axId val="368617344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IR!$B$41:$B$239</c:f>
              <c:numCache>
                <c:formatCode>0.0</c:formatCode>
                <c:ptCount val="199"/>
                <c:pt idx="0">
                  <c:v>50.9</c:v>
                </c:pt>
                <c:pt idx="1">
                  <c:v>50.8</c:v>
                </c:pt>
                <c:pt idx="2">
                  <c:v>52.1</c:v>
                </c:pt>
                <c:pt idx="3">
                  <c:v>53.6</c:v>
                </c:pt>
                <c:pt idx="4">
                  <c:v>55.1</c:v>
                </c:pt>
                <c:pt idx="5">
                  <c:v>51.1</c:v>
                </c:pt>
                <c:pt idx="6">
                  <c:v>50.2</c:v>
                </c:pt>
                <c:pt idx="7">
                  <c:v>50.5</c:v>
                </c:pt>
                <c:pt idx="8">
                  <c:v>52.4</c:v>
                </c:pt>
                <c:pt idx="9">
                  <c:v>51.7</c:v>
                </c:pt>
                <c:pt idx="10">
                  <c:v>51.1</c:v>
                </c:pt>
                <c:pt idx="11">
                  <c:v>51.3</c:v>
                </c:pt>
                <c:pt idx="12">
                  <c:v>51.5</c:v>
                </c:pt>
                <c:pt idx="13">
                  <c:v>52.7</c:v>
                </c:pt>
                <c:pt idx="14">
                  <c:v>48.4</c:v>
                </c:pt>
                <c:pt idx="15">
                  <c:v>48.3</c:v>
                </c:pt>
                <c:pt idx="16">
                  <c:v>53.3</c:v>
                </c:pt>
                <c:pt idx="17">
                  <c:v>52.1</c:v>
                </c:pt>
                <c:pt idx="18">
                  <c:v>52.2</c:v>
                </c:pt>
                <c:pt idx="19">
                  <c:v>48.9</c:v>
                </c:pt>
                <c:pt idx="20">
                  <c:v>49.7</c:v>
                </c:pt>
                <c:pt idx="21">
                  <c:v>49.1</c:v>
                </c:pt>
                <c:pt idx="22">
                  <c:v>51.7</c:v>
                </c:pt>
                <c:pt idx="23">
                  <c:v>53.9</c:v>
                </c:pt>
                <c:pt idx="24">
                  <c:v>56.1</c:v>
                </c:pt>
                <c:pt idx="25">
                  <c:v>56.1</c:v>
                </c:pt>
                <c:pt idx="26">
                  <c:v>56.5</c:v>
                </c:pt>
                <c:pt idx="27">
                  <c:v>56.8</c:v>
                </c:pt>
                <c:pt idx="28">
                  <c:v>53.6</c:v>
                </c:pt>
                <c:pt idx="29">
                  <c:v>52.3</c:v>
                </c:pt>
                <c:pt idx="30">
                  <c:v>55.2</c:v>
                </c:pt>
                <c:pt idx="31">
                  <c:v>52.7</c:v>
                </c:pt>
                <c:pt idx="32">
                  <c:v>61.6</c:v>
                </c:pt>
                <c:pt idx="33">
                  <c:v>59.6</c:v>
                </c:pt>
                <c:pt idx="34">
                  <c:v>57.2</c:v>
                </c:pt>
                <c:pt idx="35">
                  <c:v>56.8</c:v>
                </c:pt>
                <c:pt idx="36">
                  <c:v>60.1</c:v>
                </c:pt>
                <c:pt idx="37">
                  <c:v>57.1</c:v>
                </c:pt>
                <c:pt idx="38">
                  <c:v>59.3</c:v>
                </c:pt>
                <c:pt idx="39">
                  <c:v>61.5</c:v>
                </c:pt>
                <c:pt idx="40">
                  <c:v>57.5</c:v>
                </c:pt>
                <c:pt idx="41">
                  <c:v>60.7</c:v>
                </c:pt>
                <c:pt idx="42">
                  <c:v>61.9</c:v>
                </c:pt>
                <c:pt idx="43">
                  <c:v>61.7</c:v>
                </c:pt>
                <c:pt idx="44">
                  <c:v>62.6</c:v>
                </c:pt>
                <c:pt idx="45">
                  <c:v>61.3</c:v>
                </c:pt>
                <c:pt idx="46">
                  <c:v>62.4</c:v>
                </c:pt>
                <c:pt idx="47">
                  <c:v>62.5</c:v>
                </c:pt>
                <c:pt idx="48">
                  <c:v>61.5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5-458F-AB52-80015C3C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5824"/>
        <c:axId val="368615808"/>
      </c:lineChart>
      <c:dateAx>
        <c:axId val="3686058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15808"/>
        <c:crossesAt val="50"/>
        <c:auto val="1"/>
        <c:lblOffset val="100"/>
        <c:baseTimeUnit val="months"/>
        <c:majorUnit val="1"/>
        <c:majorTimeUnit val="years"/>
      </c:dateAx>
      <c:valAx>
        <c:axId val="368615808"/>
        <c:scaling>
          <c:orientation val="minMax"/>
          <c:max val="64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5824"/>
        <c:crosses val="autoZero"/>
        <c:crossBetween val="between"/>
        <c:majorUnit val="6"/>
      </c:valAx>
      <c:valAx>
        <c:axId val="368617344"/>
        <c:scaling>
          <c:orientation val="minMax"/>
          <c:max val="4.7000000000000014E-2"/>
          <c:min val="-4.000000000000001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68618880"/>
        <c:crosses val="max"/>
        <c:crossBetween val="between"/>
      </c:valAx>
      <c:catAx>
        <c:axId val="368618880"/>
        <c:scaling>
          <c:orientation val="minMax"/>
        </c:scaling>
        <c:delete val="1"/>
        <c:axPos val="b"/>
        <c:majorTickMark val="out"/>
        <c:minorTickMark val="none"/>
        <c:tickLblPos val="none"/>
        <c:crossAx val="368617344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97E-2"/>
          <c:y val="0.76045636133995953"/>
          <c:w val="0.1889564600288168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China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CH!$B$40</c:f>
              <c:strCache>
                <c:ptCount val="1"/>
                <c:pt idx="0">
                  <c:v>China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CH!$A$41:$A$239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CH!$B$41:$B$239</c:f>
              <c:numCache>
                <c:formatCode>0.0</c:formatCode>
                <c:ptCount val="199"/>
                <c:pt idx="0">
                  <c:v>60.5</c:v>
                </c:pt>
                <c:pt idx="1">
                  <c:v>53.2</c:v>
                </c:pt>
                <c:pt idx="2">
                  <c:v>48.1</c:v>
                </c:pt>
                <c:pt idx="3">
                  <c:v>46.5</c:v>
                </c:pt>
                <c:pt idx="4">
                  <c:v>44.1</c:v>
                </c:pt>
                <c:pt idx="5">
                  <c:v>60.2</c:v>
                </c:pt>
                <c:pt idx="6">
                  <c:v>62.5</c:v>
                </c:pt>
                <c:pt idx="7">
                  <c:v>61.9</c:v>
                </c:pt>
                <c:pt idx="8">
                  <c:v>57</c:v>
                </c:pt>
                <c:pt idx="9">
                  <c:v>59.6</c:v>
                </c:pt>
                <c:pt idx="10">
                  <c:v>58.1</c:v>
                </c:pt>
                <c:pt idx="11">
                  <c:v>57</c:v>
                </c:pt>
                <c:pt idx="12">
                  <c:v>54.6</c:v>
                </c:pt>
                <c:pt idx="13">
                  <c:v>49.7</c:v>
                </c:pt>
                <c:pt idx="14">
                  <c:v>56</c:v>
                </c:pt>
                <c:pt idx="15">
                  <c:v>52.5</c:v>
                </c:pt>
                <c:pt idx="16">
                  <c:v>53.9</c:v>
                </c:pt>
                <c:pt idx="17">
                  <c:v>53.3</c:v>
                </c:pt>
                <c:pt idx="18">
                  <c:v>54.1</c:v>
                </c:pt>
                <c:pt idx="19">
                  <c:v>54.7</c:v>
                </c:pt>
                <c:pt idx="20">
                  <c:v>52.3</c:v>
                </c:pt>
                <c:pt idx="21">
                  <c:v>53.1</c:v>
                </c:pt>
                <c:pt idx="22">
                  <c:v>52</c:v>
                </c:pt>
                <c:pt idx="23">
                  <c:v>54.3</c:v>
                </c:pt>
                <c:pt idx="24">
                  <c:v>53.5</c:v>
                </c:pt>
                <c:pt idx="25">
                  <c:v>52.1</c:v>
                </c:pt>
                <c:pt idx="26">
                  <c:v>53.5</c:v>
                </c:pt>
                <c:pt idx="27">
                  <c:v>54</c:v>
                </c:pt>
                <c:pt idx="28">
                  <c:v>52.1</c:v>
                </c:pt>
                <c:pt idx="29">
                  <c:v>54.3</c:v>
                </c:pt>
                <c:pt idx="30">
                  <c:v>51.1</c:v>
                </c:pt>
                <c:pt idx="31">
                  <c:v>51.2</c:v>
                </c:pt>
                <c:pt idx="32">
                  <c:v>51.3</c:v>
                </c:pt>
                <c:pt idx="33">
                  <c:v>51.3</c:v>
                </c:pt>
                <c:pt idx="34">
                  <c:v>52.8</c:v>
                </c:pt>
                <c:pt idx="35">
                  <c:v>52.4</c:v>
                </c:pt>
                <c:pt idx="36">
                  <c:v>52.6</c:v>
                </c:pt>
                <c:pt idx="37">
                  <c:v>52.5</c:v>
                </c:pt>
                <c:pt idx="38">
                  <c:v>51.4</c:v>
                </c:pt>
                <c:pt idx="39">
                  <c:v>50.7</c:v>
                </c:pt>
                <c:pt idx="40">
                  <c:v>51</c:v>
                </c:pt>
                <c:pt idx="41">
                  <c:v>51.9</c:v>
                </c:pt>
                <c:pt idx="42">
                  <c:v>51.4</c:v>
                </c:pt>
                <c:pt idx="43">
                  <c:v>50.7</c:v>
                </c:pt>
                <c:pt idx="44">
                  <c:v>53.1</c:v>
                </c:pt>
                <c:pt idx="45">
                  <c:v>50</c:v>
                </c:pt>
                <c:pt idx="46">
                  <c:v>54.1</c:v>
                </c:pt>
                <c:pt idx="47">
                  <c:v>53.5</c:v>
                </c:pt>
                <c:pt idx="48">
                  <c:v>52.9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3-4C67-A8C2-63B58050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883200"/>
        <c:axId val="36888473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CH!$B$41:$B$239</c:f>
              <c:numCache>
                <c:formatCode>0.0</c:formatCode>
                <c:ptCount val="199"/>
                <c:pt idx="0">
                  <c:v>60.5</c:v>
                </c:pt>
                <c:pt idx="1">
                  <c:v>53.2</c:v>
                </c:pt>
                <c:pt idx="2">
                  <c:v>48.1</c:v>
                </c:pt>
                <c:pt idx="3">
                  <c:v>46.5</c:v>
                </c:pt>
                <c:pt idx="4">
                  <c:v>44.1</c:v>
                </c:pt>
                <c:pt idx="5">
                  <c:v>60.2</c:v>
                </c:pt>
                <c:pt idx="6">
                  <c:v>62.5</c:v>
                </c:pt>
                <c:pt idx="7">
                  <c:v>61.9</c:v>
                </c:pt>
                <c:pt idx="8">
                  <c:v>57</c:v>
                </c:pt>
                <c:pt idx="9">
                  <c:v>59.6</c:v>
                </c:pt>
                <c:pt idx="10">
                  <c:v>58.1</c:v>
                </c:pt>
                <c:pt idx="11">
                  <c:v>57</c:v>
                </c:pt>
                <c:pt idx="12">
                  <c:v>54.6</c:v>
                </c:pt>
                <c:pt idx="13">
                  <c:v>49.7</c:v>
                </c:pt>
                <c:pt idx="14">
                  <c:v>56</c:v>
                </c:pt>
                <c:pt idx="15">
                  <c:v>52.5</c:v>
                </c:pt>
                <c:pt idx="16">
                  <c:v>53.9</c:v>
                </c:pt>
                <c:pt idx="17">
                  <c:v>53.3</c:v>
                </c:pt>
                <c:pt idx="18">
                  <c:v>54.1</c:v>
                </c:pt>
                <c:pt idx="19">
                  <c:v>54.7</c:v>
                </c:pt>
                <c:pt idx="20">
                  <c:v>52.3</c:v>
                </c:pt>
                <c:pt idx="21">
                  <c:v>53.1</c:v>
                </c:pt>
                <c:pt idx="22">
                  <c:v>52</c:v>
                </c:pt>
                <c:pt idx="23">
                  <c:v>54.3</c:v>
                </c:pt>
                <c:pt idx="24">
                  <c:v>53.5</c:v>
                </c:pt>
                <c:pt idx="25">
                  <c:v>52.1</c:v>
                </c:pt>
                <c:pt idx="26">
                  <c:v>53.5</c:v>
                </c:pt>
                <c:pt idx="27">
                  <c:v>54</c:v>
                </c:pt>
                <c:pt idx="28">
                  <c:v>52.1</c:v>
                </c:pt>
                <c:pt idx="29">
                  <c:v>54.3</c:v>
                </c:pt>
                <c:pt idx="30">
                  <c:v>51.1</c:v>
                </c:pt>
                <c:pt idx="31">
                  <c:v>51.2</c:v>
                </c:pt>
                <c:pt idx="32">
                  <c:v>51.3</c:v>
                </c:pt>
                <c:pt idx="33">
                  <c:v>51.3</c:v>
                </c:pt>
                <c:pt idx="34">
                  <c:v>52.8</c:v>
                </c:pt>
                <c:pt idx="35">
                  <c:v>52.4</c:v>
                </c:pt>
                <c:pt idx="36">
                  <c:v>52.6</c:v>
                </c:pt>
                <c:pt idx="37">
                  <c:v>52.5</c:v>
                </c:pt>
                <c:pt idx="38">
                  <c:v>51.4</c:v>
                </c:pt>
                <c:pt idx="39">
                  <c:v>50.7</c:v>
                </c:pt>
                <c:pt idx="40">
                  <c:v>51</c:v>
                </c:pt>
                <c:pt idx="41">
                  <c:v>51.9</c:v>
                </c:pt>
                <c:pt idx="42">
                  <c:v>51.4</c:v>
                </c:pt>
                <c:pt idx="43">
                  <c:v>50.7</c:v>
                </c:pt>
                <c:pt idx="44">
                  <c:v>53.1</c:v>
                </c:pt>
                <c:pt idx="45">
                  <c:v>50</c:v>
                </c:pt>
                <c:pt idx="46">
                  <c:v>54.1</c:v>
                </c:pt>
                <c:pt idx="47">
                  <c:v>53.5</c:v>
                </c:pt>
                <c:pt idx="48">
                  <c:v>52.9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3-4C67-A8C2-63B58050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883200"/>
        <c:axId val="368884736"/>
      </c:lineChart>
      <c:dateAx>
        <c:axId val="3688832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884736"/>
        <c:crossesAt val="50"/>
        <c:auto val="1"/>
        <c:lblOffset val="100"/>
        <c:baseTimeUnit val="months"/>
        <c:majorUnit val="1"/>
        <c:majorTimeUnit val="years"/>
      </c:dateAx>
      <c:valAx>
        <c:axId val="368884736"/>
        <c:scaling>
          <c:orientation val="minMax"/>
          <c:max val="66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883200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2473625192135099"/>
          <c:y val="0.74837907489824651"/>
          <c:w val="0.14479708112060402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China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CH!$B$40</c:f>
              <c:strCache>
                <c:ptCount val="1"/>
                <c:pt idx="0">
                  <c:v>China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CH!$A$41:$A$239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CH!$B$41:$B$239</c:f>
              <c:numCache>
                <c:formatCode>0.0</c:formatCode>
                <c:ptCount val="199"/>
                <c:pt idx="0">
                  <c:v>60.5</c:v>
                </c:pt>
                <c:pt idx="1">
                  <c:v>53.2</c:v>
                </c:pt>
                <c:pt idx="2">
                  <c:v>48.1</c:v>
                </c:pt>
                <c:pt idx="3">
                  <c:v>46.5</c:v>
                </c:pt>
                <c:pt idx="4">
                  <c:v>44.1</c:v>
                </c:pt>
                <c:pt idx="5">
                  <c:v>60.2</c:v>
                </c:pt>
                <c:pt idx="6">
                  <c:v>62.5</c:v>
                </c:pt>
                <c:pt idx="7">
                  <c:v>61.9</c:v>
                </c:pt>
                <c:pt idx="8">
                  <c:v>57</c:v>
                </c:pt>
                <c:pt idx="9">
                  <c:v>59.6</c:v>
                </c:pt>
                <c:pt idx="10">
                  <c:v>58.1</c:v>
                </c:pt>
                <c:pt idx="11">
                  <c:v>57</c:v>
                </c:pt>
                <c:pt idx="12">
                  <c:v>54.6</c:v>
                </c:pt>
                <c:pt idx="13">
                  <c:v>49.7</c:v>
                </c:pt>
                <c:pt idx="14">
                  <c:v>56</c:v>
                </c:pt>
                <c:pt idx="15">
                  <c:v>52.5</c:v>
                </c:pt>
                <c:pt idx="16">
                  <c:v>53.9</c:v>
                </c:pt>
                <c:pt idx="17">
                  <c:v>53.3</c:v>
                </c:pt>
                <c:pt idx="18">
                  <c:v>54.1</c:v>
                </c:pt>
                <c:pt idx="19">
                  <c:v>54.7</c:v>
                </c:pt>
                <c:pt idx="20">
                  <c:v>52.3</c:v>
                </c:pt>
                <c:pt idx="21">
                  <c:v>53.1</c:v>
                </c:pt>
                <c:pt idx="22">
                  <c:v>52</c:v>
                </c:pt>
                <c:pt idx="23">
                  <c:v>54.3</c:v>
                </c:pt>
                <c:pt idx="24">
                  <c:v>53.5</c:v>
                </c:pt>
                <c:pt idx="25">
                  <c:v>52.1</c:v>
                </c:pt>
                <c:pt idx="26">
                  <c:v>53.5</c:v>
                </c:pt>
                <c:pt idx="27">
                  <c:v>54</c:v>
                </c:pt>
                <c:pt idx="28">
                  <c:v>52.1</c:v>
                </c:pt>
                <c:pt idx="29">
                  <c:v>54.3</c:v>
                </c:pt>
                <c:pt idx="30">
                  <c:v>51.1</c:v>
                </c:pt>
                <c:pt idx="31">
                  <c:v>51.2</c:v>
                </c:pt>
                <c:pt idx="32">
                  <c:v>51.3</c:v>
                </c:pt>
                <c:pt idx="33">
                  <c:v>51.3</c:v>
                </c:pt>
                <c:pt idx="34">
                  <c:v>52.8</c:v>
                </c:pt>
                <c:pt idx="35">
                  <c:v>52.4</c:v>
                </c:pt>
                <c:pt idx="36">
                  <c:v>52.6</c:v>
                </c:pt>
                <c:pt idx="37">
                  <c:v>52.5</c:v>
                </c:pt>
                <c:pt idx="38">
                  <c:v>51.4</c:v>
                </c:pt>
                <c:pt idx="39">
                  <c:v>50.7</c:v>
                </c:pt>
                <c:pt idx="40">
                  <c:v>51</c:v>
                </c:pt>
                <c:pt idx="41">
                  <c:v>51.9</c:v>
                </c:pt>
                <c:pt idx="42">
                  <c:v>51.4</c:v>
                </c:pt>
                <c:pt idx="43">
                  <c:v>50.7</c:v>
                </c:pt>
                <c:pt idx="44">
                  <c:v>53.1</c:v>
                </c:pt>
                <c:pt idx="45">
                  <c:v>50</c:v>
                </c:pt>
                <c:pt idx="46">
                  <c:v>54.1</c:v>
                </c:pt>
                <c:pt idx="47">
                  <c:v>53.5</c:v>
                </c:pt>
                <c:pt idx="48">
                  <c:v>52.9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A-4AD9-9ABF-DA16E9826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95328"/>
        <c:axId val="369009408"/>
      </c:areaChart>
      <c:barChart>
        <c:barDir val="col"/>
        <c:grouping val="clustered"/>
        <c:varyColors val="0"/>
        <c:ser>
          <c:idx val="2"/>
          <c:order val="2"/>
          <c:tx>
            <c:strRef>
              <c:f>CH!$D$40</c:f>
              <c:strCache>
                <c:ptCount val="1"/>
                <c:pt idx="0">
                  <c:v>China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CH!$D$41:$D$239</c:f>
              <c:numCache>
                <c:formatCode>0.0%</c:formatCode>
                <c:ptCount val="199"/>
                <c:pt idx="2">
                  <c:v>2.4E-2</c:v>
                </c:pt>
                <c:pt idx="5">
                  <c:v>2.3E-2</c:v>
                </c:pt>
                <c:pt idx="8">
                  <c:v>2.5000000000000001E-2</c:v>
                </c:pt>
                <c:pt idx="11">
                  <c:v>2.1999999999999999E-2</c:v>
                </c:pt>
                <c:pt idx="14">
                  <c:v>1.7999999999999999E-2</c:v>
                </c:pt>
                <c:pt idx="17">
                  <c:v>1.4E-2</c:v>
                </c:pt>
                <c:pt idx="20">
                  <c:v>2.1000000000000001E-2</c:v>
                </c:pt>
                <c:pt idx="23">
                  <c:v>0.02</c:v>
                </c:pt>
                <c:pt idx="26">
                  <c:v>1.9E-2</c:v>
                </c:pt>
                <c:pt idx="29">
                  <c:v>1.4999999999999999E-2</c:v>
                </c:pt>
                <c:pt idx="32">
                  <c:v>1.7999999999999999E-2</c:v>
                </c:pt>
                <c:pt idx="35">
                  <c:v>2.3E-2</c:v>
                </c:pt>
                <c:pt idx="38">
                  <c:v>1.7000000000000001E-2</c:v>
                </c:pt>
                <c:pt idx="41">
                  <c:v>1.4E-2</c:v>
                </c:pt>
                <c:pt idx="44">
                  <c:v>1.4999999999999999E-2</c:v>
                </c:pt>
                <c:pt idx="47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A-4AD9-9ABF-DA16E9826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012736"/>
        <c:axId val="369010944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>
                  <a:alpha val="90000"/>
                </a:schemeClr>
              </a:solidFill>
            </a:ln>
          </c:spPr>
          <c:marker>
            <c:symbol val="none"/>
          </c:marker>
          <c:val>
            <c:numRef>
              <c:f>CH!$B$41:$B$239</c:f>
              <c:numCache>
                <c:formatCode>0.0</c:formatCode>
                <c:ptCount val="199"/>
                <c:pt idx="0">
                  <c:v>60.5</c:v>
                </c:pt>
                <c:pt idx="1">
                  <c:v>53.2</c:v>
                </c:pt>
                <c:pt idx="2">
                  <c:v>48.1</c:v>
                </c:pt>
                <c:pt idx="3">
                  <c:v>46.5</c:v>
                </c:pt>
                <c:pt idx="4">
                  <c:v>44.1</c:v>
                </c:pt>
                <c:pt idx="5">
                  <c:v>60.2</c:v>
                </c:pt>
                <c:pt idx="6">
                  <c:v>62.5</c:v>
                </c:pt>
                <c:pt idx="7">
                  <c:v>61.9</c:v>
                </c:pt>
                <c:pt idx="8">
                  <c:v>57</c:v>
                </c:pt>
                <c:pt idx="9">
                  <c:v>59.6</c:v>
                </c:pt>
                <c:pt idx="10">
                  <c:v>58.1</c:v>
                </c:pt>
                <c:pt idx="11">
                  <c:v>57</c:v>
                </c:pt>
                <c:pt idx="12">
                  <c:v>54.6</c:v>
                </c:pt>
                <c:pt idx="13">
                  <c:v>49.7</c:v>
                </c:pt>
                <c:pt idx="14">
                  <c:v>56</c:v>
                </c:pt>
                <c:pt idx="15">
                  <c:v>52.5</c:v>
                </c:pt>
                <c:pt idx="16">
                  <c:v>53.9</c:v>
                </c:pt>
                <c:pt idx="17">
                  <c:v>53.3</c:v>
                </c:pt>
                <c:pt idx="18">
                  <c:v>54.1</c:v>
                </c:pt>
                <c:pt idx="19">
                  <c:v>54.7</c:v>
                </c:pt>
                <c:pt idx="20">
                  <c:v>52.3</c:v>
                </c:pt>
                <c:pt idx="21">
                  <c:v>53.1</c:v>
                </c:pt>
                <c:pt idx="22">
                  <c:v>52</c:v>
                </c:pt>
                <c:pt idx="23">
                  <c:v>54.3</c:v>
                </c:pt>
                <c:pt idx="24">
                  <c:v>53.5</c:v>
                </c:pt>
                <c:pt idx="25">
                  <c:v>52.1</c:v>
                </c:pt>
                <c:pt idx="26">
                  <c:v>53.5</c:v>
                </c:pt>
                <c:pt idx="27">
                  <c:v>54</c:v>
                </c:pt>
                <c:pt idx="28">
                  <c:v>52.1</c:v>
                </c:pt>
                <c:pt idx="29">
                  <c:v>54.3</c:v>
                </c:pt>
                <c:pt idx="30">
                  <c:v>51.1</c:v>
                </c:pt>
                <c:pt idx="31">
                  <c:v>51.2</c:v>
                </c:pt>
                <c:pt idx="32">
                  <c:v>51.3</c:v>
                </c:pt>
                <c:pt idx="33">
                  <c:v>51.3</c:v>
                </c:pt>
                <c:pt idx="34">
                  <c:v>52.8</c:v>
                </c:pt>
                <c:pt idx="35">
                  <c:v>52.4</c:v>
                </c:pt>
                <c:pt idx="36">
                  <c:v>52.6</c:v>
                </c:pt>
                <c:pt idx="37">
                  <c:v>52.5</c:v>
                </c:pt>
                <c:pt idx="38">
                  <c:v>51.4</c:v>
                </c:pt>
                <c:pt idx="39">
                  <c:v>50.7</c:v>
                </c:pt>
                <c:pt idx="40">
                  <c:v>51</c:v>
                </c:pt>
                <c:pt idx="41">
                  <c:v>51.9</c:v>
                </c:pt>
                <c:pt idx="42">
                  <c:v>51.4</c:v>
                </c:pt>
                <c:pt idx="43">
                  <c:v>50.7</c:v>
                </c:pt>
                <c:pt idx="44">
                  <c:v>53.1</c:v>
                </c:pt>
                <c:pt idx="45">
                  <c:v>50</c:v>
                </c:pt>
                <c:pt idx="46">
                  <c:v>54.1</c:v>
                </c:pt>
                <c:pt idx="47">
                  <c:v>53.5</c:v>
                </c:pt>
                <c:pt idx="48">
                  <c:v>52.9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DA-4AD9-9ABF-DA16E9826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995328"/>
        <c:axId val="369009408"/>
      </c:lineChart>
      <c:dateAx>
        <c:axId val="3689953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009408"/>
        <c:crossesAt val="50"/>
        <c:auto val="1"/>
        <c:lblOffset val="100"/>
        <c:baseTimeUnit val="months"/>
        <c:majorUnit val="1"/>
        <c:majorTimeUnit val="years"/>
      </c:dateAx>
      <c:valAx>
        <c:axId val="369009408"/>
        <c:scaling>
          <c:orientation val="minMax"/>
          <c:max val="66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995328"/>
        <c:crosses val="autoZero"/>
        <c:crossBetween val="between"/>
        <c:majorUnit val="4"/>
      </c:valAx>
      <c:valAx>
        <c:axId val="369010944"/>
        <c:scaling>
          <c:orientation val="minMax"/>
          <c:max val="5.0000000000000017E-2"/>
          <c:min val="-1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69012736"/>
        <c:crosses val="max"/>
        <c:crossBetween val="between"/>
        <c:majorUnit val="1.0000000000000004E-2"/>
      </c:valAx>
      <c:catAx>
        <c:axId val="369012736"/>
        <c:scaling>
          <c:orientation val="minMax"/>
        </c:scaling>
        <c:delete val="1"/>
        <c:axPos val="b"/>
        <c:majorTickMark val="out"/>
        <c:minorTickMark val="none"/>
        <c:tickLblPos val="none"/>
        <c:crossAx val="369010944"/>
        <c:crossesAt val="1.0000000000000004E-2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2473625192135099"/>
          <c:y val="0.74837907489824651"/>
          <c:w val="0.1778323086326537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Australia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AU!$B$40</c:f>
              <c:strCache>
                <c:ptCount val="1"/>
                <c:pt idx="0">
                  <c:v>Australia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AU!$A$41:$A$239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AU!$B$41:$B$239</c:f>
              <c:numCache>
                <c:formatCode>0.0</c:formatCode>
                <c:ptCount val="199"/>
                <c:pt idx="0">
                  <c:v>50.7</c:v>
                </c:pt>
                <c:pt idx="1">
                  <c:v>46.2</c:v>
                </c:pt>
                <c:pt idx="2">
                  <c:v>47.1</c:v>
                </c:pt>
                <c:pt idx="3">
                  <c:v>45.5</c:v>
                </c:pt>
                <c:pt idx="4">
                  <c:v>48.7</c:v>
                </c:pt>
                <c:pt idx="5">
                  <c:v>46.5</c:v>
                </c:pt>
                <c:pt idx="6">
                  <c:v>51.5</c:v>
                </c:pt>
                <c:pt idx="7">
                  <c:v>49.9</c:v>
                </c:pt>
                <c:pt idx="8">
                  <c:v>48.5</c:v>
                </c:pt>
                <c:pt idx="9">
                  <c:v>48.8</c:v>
                </c:pt>
                <c:pt idx="10">
                  <c:v>52.1</c:v>
                </c:pt>
                <c:pt idx="11">
                  <c:v>50.3</c:v>
                </c:pt>
                <c:pt idx="12">
                  <c:v>48.8</c:v>
                </c:pt>
                <c:pt idx="13">
                  <c:v>47.7</c:v>
                </c:pt>
                <c:pt idx="14">
                  <c:v>49</c:v>
                </c:pt>
                <c:pt idx="15">
                  <c:v>51.9</c:v>
                </c:pt>
                <c:pt idx="16">
                  <c:v>46.7</c:v>
                </c:pt>
                <c:pt idx="17">
                  <c:v>47</c:v>
                </c:pt>
                <c:pt idx="18">
                  <c:v>39.6</c:v>
                </c:pt>
                <c:pt idx="19">
                  <c:v>43.5</c:v>
                </c:pt>
                <c:pt idx="20">
                  <c:v>48.8</c:v>
                </c:pt>
                <c:pt idx="21">
                  <c:v>46.5</c:v>
                </c:pt>
                <c:pt idx="22">
                  <c:v>42.4</c:v>
                </c:pt>
                <c:pt idx="23">
                  <c:v>41.9</c:v>
                </c:pt>
                <c:pt idx="24">
                  <c:v>42.8</c:v>
                </c:pt>
                <c:pt idx="25">
                  <c:v>47.1</c:v>
                </c:pt>
                <c:pt idx="26">
                  <c:v>46.3</c:v>
                </c:pt>
                <c:pt idx="27">
                  <c:v>45.4</c:v>
                </c:pt>
                <c:pt idx="28">
                  <c:v>48.5</c:v>
                </c:pt>
                <c:pt idx="29">
                  <c:v>49.6</c:v>
                </c:pt>
                <c:pt idx="30">
                  <c:v>44.1</c:v>
                </c:pt>
                <c:pt idx="31">
                  <c:v>40.6</c:v>
                </c:pt>
                <c:pt idx="32">
                  <c:v>41.5</c:v>
                </c:pt>
                <c:pt idx="33">
                  <c:v>39.4</c:v>
                </c:pt>
                <c:pt idx="34">
                  <c:v>39</c:v>
                </c:pt>
                <c:pt idx="35">
                  <c:v>47.1</c:v>
                </c:pt>
                <c:pt idx="36">
                  <c:v>47.9</c:v>
                </c:pt>
                <c:pt idx="37">
                  <c:v>48.9</c:v>
                </c:pt>
                <c:pt idx="38">
                  <c:v>46.1</c:v>
                </c:pt>
                <c:pt idx="39">
                  <c:v>49.3</c:v>
                </c:pt>
                <c:pt idx="40">
                  <c:v>55.2</c:v>
                </c:pt>
                <c:pt idx="41">
                  <c:v>48.9</c:v>
                </c:pt>
                <c:pt idx="42">
                  <c:v>48.6</c:v>
                </c:pt>
                <c:pt idx="43">
                  <c:v>49.9</c:v>
                </c:pt>
                <c:pt idx="44">
                  <c:v>47.6</c:v>
                </c:pt>
                <c:pt idx="45">
                  <c:v>49.3</c:v>
                </c:pt>
                <c:pt idx="46">
                  <c:v>49.4</c:v>
                </c:pt>
                <c:pt idx="47">
                  <c:v>45.5</c:v>
                </c:pt>
                <c:pt idx="48">
                  <c:v>43.6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3-46C2-9E52-83A814A4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35840"/>
        <c:axId val="36923737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AU!$B$41:$B$239</c:f>
              <c:numCache>
                <c:formatCode>0.0</c:formatCode>
                <c:ptCount val="199"/>
                <c:pt idx="0">
                  <c:v>50.7</c:v>
                </c:pt>
                <c:pt idx="1">
                  <c:v>46.2</c:v>
                </c:pt>
                <c:pt idx="2">
                  <c:v>47.1</c:v>
                </c:pt>
                <c:pt idx="3">
                  <c:v>45.5</c:v>
                </c:pt>
                <c:pt idx="4">
                  <c:v>48.7</c:v>
                </c:pt>
                <c:pt idx="5">
                  <c:v>46.5</c:v>
                </c:pt>
                <c:pt idx="6">
                  <c:v>51.5</c:v>
                </c:pt>
                <c:pt idx="7">
                  <c:v>49.9</c:v>
                </c:pt>
                <c:pt idx="8">
                  <c:v>48.5</c:v>
                </c:pt>
                <c:pt idx="9">
                  <c:v>48.8</c:v>
                </c:pt>
                <c:pt idx="10">
                  <c:v>52.1</c:v>
                </c:pt>
                <c:pt idx="11">
                  <c:v>50.3</c:v>
                </c:pt>
                <c:pt idx="12">
                  <c:v>48.8</c:v>
                </c:pt>
                <c:pt idx="13">
                  <c:v>47.7</c:v>
                </c:pt>
                <c:pt idx="14">
                  <c:v>49</c:v>
                </c:pt>
                <c:pt idx="15">
                  <c:v>51.9</c:v>
                </c:pt>
                <c:pt idx="16">
                  <c:v>46.7</c:v>
                </c:pt>
                <c:pt idx="17">
                  <c:v>47</c:v>
                </c:pt>
                <c:pt idx="18">
                  <c:v>39.6</c:v>
                </c:pt>
                <c:pt idx="19">
                  <c:v>43.5</c:v>
                </c:pt>
                <c:pt idx="20">
                  <c:v>48.8</c:v>
                </c:pt>
                <c:pt idx="21">
                  <c:v>46.5</c:v>
                </c:pt>
                <c:pt idx="22">
                  <c:v>42.4</c:v>
                </c:pt>
                <c:pt idx="23">
                  <c:v>41.9</c:v>
                </c:pt>
                <c:pt idx="24">
                  <c:v>42.8</c:v>
                </c:pt>
                <c:pt idx="25">
                  <c:v>47.1</c:v>
                </c:pt>
                <c:pt idx="26">
                  <c:v>46.3</c:v>
                </c:pt>
                <c:pt idx="27">
                  <c:v>45.4</c:v>
                </c:pt>
                <c:pt idx="28">
                  <c:v>48.5</c:v>
                </c:pt>
                <c:pt idx="29">
                  <c:v>49.6</c:v>
                </c:pt>
                <c:pt idx="30">
                  <c:v>44.1</c:v>
                </c:pt>
                <c:pt idx="31">
                  <c:v>40.6</c:v>
                </c:pt>
                <c:pt idx="32">
                  <c:v>41.5</c:v>
                </c:pt>
                <c:pt idx="33">
                  <c:v>39.4</c:v>
                </c:pt>
                <c:pt idx="34">
                  <c:v>39</c:v>
                </c:pt>
                <c:pt idx="35">
                  <c:v>47.1</c:v>
                </c:pt>
                <c:pt idx="36">
                  <c:v>47.9</c:v>
                </c:pt>
                <c:pt idx="37">
                  <c:v>48.9</c:v>
                </c:pt>
                <c:pt idx="38">
                  <c:v>46.1</c:v>
                </c:pt>
                <c:pt idx="39">
                  <c:v>49.3</c:v>
                </c:pt>
                <c:pt idx="40">
                  <c:v>55.2</c:v>
                </c:pt>
                <c:pt idx="41">
                  <c:v>48.9</c:v>
                </c:pt>
                <c:pt idx="42">
                  <c:v>48.6</c:v>
                </c:pt>
                <c:pt idx="43">
                  <c:v>49.9</c:v>
                </c:pt>
                <c:pt idx="44">
                  <c:v>47.6</c:v>
                </c:pt>
                <c:pt idx="45">
                  <c:v>49.3</c:v>
                </c:pt>
                <c:pt idx="46">
                  <c:v>49.4</c:v>
                </c:pt>
                <c:pt idx="47">
                  <c:v>45.5</c:v>
                </c:pt>
                <c:pt idx="48">
                  <c:v>43.6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3-46C2-9E52-83A814A4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235840"/>
        <c:axId val="369237376"/>
      </c:lineChart>
      <c:dateAx>
        <c:axId val="3692358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237376"/>
        <c:crossesAt val="50"/>
        <c:auto val="1"/>
        <c:lblOffset val="100"/>
        <c:baseTimeUnit val="months"/>
        <c:majorUnit val="1"/>
        <c:majorTimeUnit val="years"/>
      </c:dateAx>
      <c:valAx>
        <c:axId val="369237376"/>
        <c:scaling>
          <c:orientation val="minMax"/>
          <c:max val="62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235840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81E-2"/>
          <c:y val="0.13663060292737222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Australia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AU!$B$40</c:f>
              <c:strCache>
                <c:ptCount val="1"/>
                <c:pt idx="0">
                  <c:v>Australia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AU!$A$41:$A$239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AU!$B$41:$B$239</c:f>
              <c:numCache>
                <c:formatCode>0.0</c:formatCode>
                <c:ptCount val="199"/>
                <c:pt idx="0">
                  <c:v>50.7</c:v>
                </c:pt>
                <c:pt idx="1">
                  <c:v>46.2</c:v>
                </c:pt>
                <c:pt idx="2">
                  <c:v>47.1</c:v>
                </c:pt>
                <c:pt idx="3">
                  <c:v>45.5</c:v>
                </c:pt>
                <c:pt idx="4">
                  <c:v>48.7</c:v>
                </c:pt>
                <c:pt idx="5">
                  <c:v>46.5</c:v>
                </c:pt>
                <c:pt idx="6">
                  <c:v>51.5</c:v>
                </c:pt>
                <c:pt idx="7">
                  <c:v>49.9</c:v>
                </c:pt>
                <c:pt idx="8">
                  <c:v>48.5</c:v>
                </c:pt>
                <c:pt idx="9">
                  <c:v>48.8</c:v>
                </c:pt>
                <c:pt idx="10">
                  <c:v>52.1</c:v>
                </c:pt>
                <c:pt idx="11">
                  <c:v>50.3</c:v>
                </c:pt>
                <c:pt idx="12">
                  <c:v>48.8</c:v>
                </c:pt>
                <c:pt idx="13">
                  <c:v>47.7</c:v>
                </c:pt>
                <c:pt idx="14">
                  <c:v>49</c:v>
                </c:pt>
                <c:pt idx="15">
                  <c:v>51.9</c:v>
                </c:pt>
                <c:pt idx="16">
                  <c:v>46.7</c:v>
                </c:pt>
                <c:pt idx="17">
                  <c:v>47</c:v>
                </c:pt>
                <c:pt idx="18">
                  <c:v>39.6</c:v>
                </c:pt>
                <c:pt idx="19">
                  <c:v>43.5</c:v>
                </c:pt>
                <c:pt idx="20">
                  <c:v>48.8</c:v>
                </c:pt>
                <c:pt idx="21">
                  <c:v>46.5</c:v>
                </c:pt>
                <c:pt idx="22">
                  <c:v>42.4</c:v>
                </c:pt>
                <c:pt idx="23">
                  <c:v>41.9</c:v>
                </c:pt>
                <c:pt idx="24">
                  <c:v>42.8</c:v>
                </c:pt>
                <c:pt idx="25">
                  <c:v>47.1</c:v>
                </c:pt>
                <c:pt idx="26">
                  <c:v>46.3</c:v>
                </c:pt>
                <c:pt idx="27">
                  <c:v>45.4</c:v>
                </c:pt>
                <c:pt idx="28">
                  <c:v>48.5</c:v>
                </c:pt>
                <c:pt idx="29">
                  <c:v>49.6</c:v>
                </c:pt>
                <c:pt idx="30">
                  <c:v>44.1</c:v>
                </c:pt>
                <c:pt idx="31">
                  <c:v>40.6</c:v>
                </c:pt>
                <c:pt idx="32">
                  <c:v>41.5</c:v>
                </c:pt>
                <c:pt idx="33">
                  <c:v>39.4</c:v>
                </c:pt>
                <c:pt idx="34">
                  <c:v>39</c:v>
                </c:pt>
                <c:pt idx="35">
                  <c:v>47.1</c:v>
                </c:pt>
                <c:pt idx="36">
                  <c:v>47.9</c:v>
                </c:pt>
                <c:pt idx="37">
                  <c:v>48.9</c:v>
                </c:pt>
                <c:pt idx="38">
                  <c:v>46.1</c:v>
                </c:pt>
                <c:pt idx="39">
                  <c:v>49.3</c:v>
                </c:pt>
                <c:pt idx="40">
                  <c:v>55.2</c:v>
                </c:pt>
                <c:pt idx="41">
                  <c:v>48.9</c:v>
                </c:pt>
                <c:pt idx="42">
                  <c:v>48.6</c:v>
                </c:pt>
                <c:pt idx="43">
                  <c:v>49.9</c:v>
                </c:pt>
                <c:pt idx="44">
                  <c:v>47.6</c:v>
                </c:pt>
                <c:pt idx="45">
                  <c:v>49.3</c:v>
                </c:pt>
                <c:pt idx="46">
                  <c:v>49.4</c:v>
                </c:pt>
                <c:pt idx="47">
                  <c:v>45.5</c:v>
                </c:pt>
                <c:pt idx="48">
                  <c:v>43.6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A-42AC-8EA1-AEDEF9A2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82432"/>
        <c:axId val="391971968"/>
      </c:areaChart>
      <c:barChart>
        <c:barDir val="col"/>
        <c:grouping val="clustered"/>
        <c:varyColors val="0"/>
        <c:ser>
          <c:idx val="2"/>
          <c:order val="2"/>
          <c:tx>
            <c:strRef>
              <c:f>AU!$D$40</c:f>
              <c:strCache>
                <c:ptCount val="1"/>
                <c:pt idx="0">
                  <c:v>GDP Change q/q 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AU!$D$41:$D$239</c:f>
              <c:numCache>
                <c:formatCode>0.0%</c:formatCode>
                <c:ptCount val="199"/>
                <c:pt idx="2">
                  <c:v>6.0000000000000001E-3</c:v>
                </c:pt>
                <c:pt idx="5">
                  <c:v>-5.0000000000000001E-3</c:v>
                </c:pt>
                <c:pt idx="8">
                  <c:v>1.2E-2</c:v>
                </c:pt>
                <c:pt idx="11">
                  <c:v>1.2E-2</c:v>
                </c:pt>
                <c:pt idx="14">
                  <c:v>6.0000000000000001E-3</c:v>
                </c:pt>
                <c:pt idx="17">
                  <c:v>1.2999999999999999E-2</c:v>
                </c:pt>
                <c:pt idx="20">
                  <c:v>5.0000000000000001E-3</c:v>
                </c:pt>
                <c:pt idx="23">
                  <c:v>8.0000000000000002E-3</c:v>
                </c:pt>
                <c:pt idx="26">
                  <c:v>7.0000000000000001E-3</c:v>
                </c:pt>
                <c:pt idx="29">
                  <c:v>5.0000000000000001E-3</c:v>
                </c:pt>
                <c:pt idx="32">
                  <c:v>7.0000000000000001E-3</c:v>
                </c:pt>
                <c:pt idx="35">
                  <c:v>6.0000000000000001E-3</c:v>
                </c:pt>
                <c:pt idx="38">
                  <c:v>8.0000000000000002E-3</c:v>
                </c:pt>
                <c:pt idx="41">
                  <c:v>1.0999999999999999E-2</c:v>
                </c:pt>
                <c:pt idx="44">
                  <c:v>5.0000000000000001E-3</c:v>
                </c:pt>
                <c:pt idx="47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A-42AC-8EA1-AEDEF9A2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1975296"/>
        <c:axId val="391973504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AU!$B$41:$B$239</c:f>
              <c:numCache>
                <c:formatCode>0.0</c:formatCode>
                <c:ptCount val="199"/>
                <c:pt idx="0">
                  <c:v>50.7</c:v>
                </c:pt>
                <c:pt idx="1">
                  <c:v>46.2</c:v>
                </c:pt>
                <c:pt idx="2">
                  <c:v>47.1</c:v>
                </c:pt>
                <c:pt idx="3">
                  <c:v>45.5</c:v>
                </c:pt>
                <c:pt idx="4">
                  <c:v>48.7</c:v>
                </c:pt>
                <c:pt idx="5">
                  <c:v>46.5</c:v>
                </c:pt>
                <c:pt idx="6">
                  <c:v>51.5</c:v>
                </c:pt>
                <c:pt idx="7">
                  <c:v>49.9</c:v>
                </c:pt>
                <c:pt idx="8">
                  <c:v>48.5</c:v>
                </c:pt>
                <c:pt idx="9">
                  <c:v>48.8</c:v>
                </c:pt>
                <c:pt idx="10">
                  <c:v>52.1</c:v>
                </c:pt>
                <c:pt idx="11">
                  <c:v>50.3</c:v>
                </c:pt>
                <c:pt idx="12">
                  <c:v>48.8</c:v>
                </c:pt>
                <c:pt idx="13">
                  <c:v>47.7</c:v>
                </c:pt>
                <c:pt idx="14">
                  <c:v>49</c:v>
                </c:pt>
                <c:pt idx="15">
                  <c:v>51.9</c:v>
                </c:pt>
                <c:pt idx="16">
                  <c:v>46.7</c:v>
                </c:pt>
                <c:pt idx="17">
                  <c:v>47</c:v>
                </c:pt>
                <c:pt idx="18">
                  <c:v>39.6</c:v>
                </c:pt>
                <c:pt idx="19">
                  <c:v>43.5</c:v>
                </c:pt>
                <c:pt idx="20">
                  <c:v>48.8</c:v>
                </c:pt>
                <c:pt idx="21">
                  <c:v>46.5</c:v>
                </c:pt>
                <c:pt idx="22">
                  <c:v>42.4</c:v>
                </c:pt>
                <c:pt idx="23">
                  <c:v>41.9</c:v>
                </c:pt>
                <c:pt idx="24">
                  <c:v>42.8</c:v>
                </c:pt>
                <c:pt idx="25">
                  <c:v>47.1</c:v>
                </c:pt>
                <c:pt idx="26">
                  <c:v>46.3</c:v>
                </c:pt>
                <c:pt idx="27">
                  <c:v>45.4</c:v>
                </c:pt>
                <c:pt idx="28">
                  <c:v>48.5</c:v>
                </c:pt>
                <c:pt idx="29">
                  <c:v>49.6</c:v>
                </c:pt>
                <c:pt idx="30">
                  <c:v>44.1</c:v>
                </c:pt>
                <c:pt idx="31">
                  <c:v>40.6</c:v>
                </c:pt>
                <c:pt idx="32">
                  <c:v>41.5</c:v>
                </c:pt>
                <c:pt idx="33">
                  <c:v>39.4</c:v>
                </c:pt>
                <c:pt idx="34">
                  <c:v>39</c:v>
                </c:pt>
                <c:pt idx="35">
                  <c:v>47.1</c:v>
                </c:pt>
                <c:pt idx="36">
                  <c:v>47.9</c:v>
                </c:pt>
                <c:pt idx="37">
                  <c:v>48.9</c:v>
                </c:pt>
                <c:pt idx="38">
                  <c:v>46.1</c:v>
                </c:pt>
                <c:pt idx="39">
                  <c:v>49.3</c:v>
                </c:pt>
                <c:pt idx="40">
                  <c:v>55.2</c:v>
                </c:pt>
                <c:pt idx="41">
                  <c:v>48.9</c:v>
                </c:pt>
                <c:pt idx="42">
                  <c:v>48.6</c:v>
                </c:pt>
                <c:pt idx="43">
                  <c:v>49.9</c:v>
                </c:pt>
                <c:pt idx="44">
                  <c:v>47.6</c:v>
                </c:pt>
                <c:pt idx="45">
                  <c:v>49.3</c:v>
                </c:pt>
                <c:pt idx="46">
                  <c:v>49.4</c:v>
                </c:pt>
                <c:pt idx="47">
                  <c:v>45.5</c:v>
                </c:pt>
                <c:pt idx="48">
                  <c:v>43.6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A-42AC-8EA1-AEDEF9A2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282432"/>
        <c:axId val="391971968"/>
      </c:lineChart>
      <c:dateAx>
        <c:axId val="3692824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971968"/>
        <c:crossesAt val="50"/>
        <c:auto val="1"/>
        <c:lblOffset val="100"/>
        <c:baseTimeUnit val="months"/>
        <c:majorUnit val="1"/>
        <c:majorTimeUnit val="years"/>
      </c:dateAx>
      <c:valAx>
        <c:axId val="391971968"/>
        <c:scaling>
          <c:orientation val="minMax"/>
          <c:max val="62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282432"/>
        <c:crosses val="autoZero"/>
        <c:crossBetween val="between"/>
        <c:majorUnit val="6"/>
      </c:valAx>
      <c:valAx>
        <c:axId val="391973504"/>
        <c:scaling>
          <c:orientation val="minMax"/>
          <c:max val="2.0000000000000007E-2"/>
          <c:min val="-2.0000000000000007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91975296"/>
        <c:crosses val="max"/>
        <c:crossBetween val="between"/>
      </c:valAx>
      <c:catAx>
        <c:axId val="391975296"/>
        <c:scaling>
          <c:orientation val="minMax"/>
        </c:scaling>
        <c:delete val="1"/>
        <c:axPos val="b"/>
        <c:majorTickMark val="out"/>
        <c:minorTickMark val="none"/>
        <c:tickLblPos val="none"/>
        <c:crossAx val="391973504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120450401729011"/>
          <c:y val="0.74955328274183119"/>
          <c:w val="0.1661849904852308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Japan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JP!$B$40</c:f>
              <c:strCache>
                <c:ptCount val="1"/>
                <c:pt idx="0">
                  <c:v>Japan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JP!$A$41:$A$239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JP!$B$41:$B$239</c:f>
              <c:numCache>
                <c:formatCode>0.0</c:formatCode>
                <c:ptCount val="199"/>
                <c:pt idx="0">
                  <c:v>47.2</c:v>
                </c:pt>
                <c:pt idx="1">
                  <c:v>49.5</c:v>
                </c:pt>
                <c:pt idx="2">
                  <c:v>50.1</c:v>
                </c:pt>
                <c:pt idx="3">
                  <c:v>48.1</c:v>
                </c:pt>
                <c:pt idx="4">
                  <c:v>49.8</c:v>
                </c:pt>
                <c:pt idx="5">
                  <c:v>35.299999999999997</c:v>
                </c:pt>
                <c:pt idx="6">
                  <c:v>35</c:v>
                </c:pt>
                <c:pt idx="7">
                  <c:v>43.8</c:v>
                </c:pt>
                <c:pt idx="8">
                  <c:v>45.4</c:v>
                </c:pt>
                <c:pt idx="9">
                  <c:v>45.3</c:v>
                </c:pt>
                <c:pt idx="10">
                  <c:v>44.1</c:v>
                </c:pt>
                <c:pt idx="11">
                  <c:v>46.4</c:v>
                </c:pt>
                <c:pt idx="12">
                  <c:v>52.3</c:v>
                </c:pt>
                <c:pt idx="13">
                  <c:v>49.5</c:v>
                </c:pt>
                <c:pt idx="14">
                  <c:v>50.4</c:v>
                </c:pt>
                <c:pt idx="15">
                  <c:v>51</c:v>
                </c:pt>
                <c:pt idx="16">
                  <c:v>51.2</c:v>
                </c:pt>
                <c:pt idx="17">
                  <c:v>53.7</c:v>
                </c:pt>
                <c:pt idx="18">
                  <c:v>51</c:v>
                </c:pt>
                <c:pt idx="19">
                  <c:v>50.5</c:v>
                </c:pt>
                <c:pt idx="20">
                  <c:v>49.5</c:v>
                </c:pt>
                <c:pt idx="21">
                  <c:v>48.7</c:v>
                </c:pt>
                <c:pt idx="22">
                  <c:v>47.5</c:v>
                </c:pt>
                <c:pt idx="23">
                  <c:v>48.8</c:v>
                </c:pt>
                <c:pt idx="24">
                  <c:v>49.7</c:v>
                </c:pt>
                <c:pt idx="25">
                  <c:v>49.1</c:v>
                </c:pt>
                <c:pt idx="26">
                  <c:v>50.1</c:v>
                </c:pt>
                <c:pt idx="27">
                  <c:v>50.4</c:v>
                </c:pt>
                <c:pt idx="28">
                  <c:v>51.3</c:v>
                </c:pt>
                <c:pt idx="29">
                  <c:v>53.4</c:v>
                </c:pt>
                <c:pt idx="30">
                  <c:v>52.5</c:v>
                </c:pt>
                <c:pt idx="31">
                  <c:v>54.8</c:v>
                </c:pt>
                <c:pt idx="32">
                  <c:v>52.1</c:v>
                </c:pt>
                <c:pt idx="33">
                  <c:v>50.6</c:v>
                </c:pt>
                <c:pt idx="34">
                  <c:v>51.2</c:v>
                </c:pt>
                <c:pt idx="35">
                  <c:v>53</c:v>
                </c:pt>
                <c:pt idx="36">
                  <c:v>55.3</c:v>
                </c:pt>
                <c:pt idx="37">
                  <c:v>51.8</c:v>
                </c:pt>
                <c:pt idx="38">
                  <c:v>52.1</c:v>
                </c:pt>
                <c:pt idx="39">
                  <c:v>51.2</c:v>
                </c:pt>
                <c:pt idx="40">
                  <c:v>49.3</c:v>
                </c:pt>
                <c:pt idx="41">
                  <c:v>52.2</c:v>
                </c:pt>
                <c:pt idx="42">
                  <c:v>46.4</c:v>
                </c:pt>
                <c:pt idx="43">
                  <c:v>49.3</c:v>
                </c:pt>
                <c:pt idx="44">
                  <c:v>49</c:v>
                </c:pt>
                <c:pt idx="45">
                  <c:v>50.4</c:v>
                </c:pt>
                <c:pt idx="46">
                  <c:v>49.9</c:v>
                </c:pt>
                <c:pt idx="47">
                  <c:v>52.5</c:v>
                </c:pt>
                <c:pt idx="48">
                  <c:v>48.7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D-432A-8ADA-65CDE30C7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18176"/>
        <c:axId val="39202816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cat>
            <c:numLit>
              <c:formatCode>General</c:formatCode>
              <c:ptCount val="29"/>
              <c:pt idx="0">
                <c:v>40909</c:v>
              </c:pt>
              <c:pt idx="1">
                <c:v>40940</c:v>
              </c:pt>
              <c:pt idx="2">
                <c:v>40969</c:v>
              </c:pt>
              <c:pt idx="3">
                <c:v>41000</c:v>
              </c:pt>
              <c:pt idx="4">
                <c:v>41030</c:v>
              </c:pt>
              <c:pt idx="5">
                <c:v>41061</c:v>
              </c:pt>
              <c:pt idx="6">
                <c:v>41091</c:v>
              </c:pt>
              <c:pt idx="7">
                <c:v>41122</c:v>
              </c:pt>
              <c:pt idx="8">
                <c:v>41153</c:v>
              </c:pt>
              <c:pt idx="9">
                <c:v>41183</c:v>
              </c:pt>
              <c:pt idx="10">
                <c:v>41214</c:v>
              </c:pt>
              <c:pt idx="11">
                <c:v>41244</c:v>
              </c:pt>
              <c:pt idx="12">
                <c:v>41275</c:v>
              </c:pt>
              <c:pt idx="13">
                <c:v>41306</c:v>
              </c:pt>
              <c:pt idx="14">
                <c:v>41334</c:v>
              </c:pt>
              <c:pt idx="15">
                <c:v>41365</c:v>
              </c:pt>
              <c:pt idx="16">
                <c:v>41395</c:v>
              </c:pt>
              <c:pt idx="17">
                <c:v>41426</c:v>
              </c:pt>
              <c:pt idx="18">
                <c:v>41456</c:v>
              </c:pt>
              <c:pt idx="19">
                <c:v>41487</c:v>
              </c:pt>
              <c:pt idx="20">
                <c:v>41518</c:v>
              </c:pt>
              <c:pt idx="21">
                <c:v>41548</c:v>
              </c:pt>
              <c:pt idx="22">
                <c:v>41579</c:v>
              </c:pt>
              <c:pt idx="23">
                <c:v>41609</c:v>
              </c:pt>
              <c:pt idx="24">
                <c:v>41640</c:v>
              </c:pt>
              <c:pt idx="25">
                <c:v>41671</c:v>
              </c:pt>
              <c:pt idx="26">
                <c:v>41699</c:v>
              </c:pt>
              <c:pt idx="27">
                <c:v>41730</c:v>
              </c:pt>
              <c:pt idx="28">
                <c:v>41760</c:v>
              </c:pt>
            </c:numLit>
          </c:cat>
          <c:val>
            <c:numRef>
              <c:f>JP!$B$41:$B$239</c:f>
              <c:numCache>
                <c:formatCode>0.0</c:formatCode>
                <c:ptCount val="199"/>
                <c:pt idx="0">
                  <c:v>47.2</c:v>
                </c:pt>
                <c:pt idx="1">
                  <c:v>49.5</c:v>
                </c:pt>
                <c:pt idx="2">
                  <c:v>50.1</c:v>
                </c:pt>
                <c:pt idx="3">
                  <c:v>48.1</c:v>
                </c:pt>
                <c:pt idx="4">
                  <c:v>49.8</c:v>
                </c:pt>
                <c:pt idx="5">
                  <c:v>35.299999999999997</c:v>
                </c:pt>
                <c:pt idx="6">
                  <c:v>35</c:v>
                </c:pt>
                <c:pt idx="7">
                  <c:v>43.8</c:v>
                </c:pt>
                <c:pt idx="8">
                  <c:v>45.4</c:v>
                </c:pt>
                <c:pt idx="9">
                  <c:v>45.3</c:v>
                </c:pt>
                <c:pt idx="10">
                  <c:v>44.1</c:v>
                </c:pt>
                <c:pt idx="11">
                  <c:v>46.4</c:v>
                </c:pt>
                <c:pt idx="12">
                  <c:v>52.3</c:v>
                </c:pt>
                <c:pt idx="13">
                  <c:v>49.5</c:v>
                </c:pt>
                <c:pt idx="14">
                  <c:v>50.4</c:v>
                </c:pt>
                <c:pt idx="15">
                  <c:v>51</c:v>
                </c:pt>
                <c:pt idx="16">
                  <c:v>51.2</c:v>
                </c:pt>
                <c:pt idx="17">
                  <c:v>53.7</c:v>
                </c:pt>
                <c:pt idx="18">
                  <c:v>51</c:v>
                </c:pt>
                <c:pt idx="19">
                  <c:v>50.5</c:v>
                </c:pt>
                <c:pt idx="20">
                  <c:v>49.5</c:v>
                </c:pt>
                <c:pt idx="21">
                  <c:v>48.7</c:v>
                </c:pt>
                <c:pt idx="22">
                  <c:v>47.5</c:v>
                </c:pt>
                <c:pt idx="23">
                  <c:v>48.8</c:v>
                </c:pt>
                <c:pt idx="24">
                  <c:v>49.7</c:v>
                </c:pt>
                <c:pt idx="25">
                  <c:v>49.1</c:v>
                </c:pt>
                <c:pt idx="26">
                  <c:v>50.1</c:v>
                </c:pt>
                <c:pt idx="27">
                  <c:v>50.4</c:v>
                </c:pt>
                <c:pt idx="28">
                  <c:v>51.3</c:v>
                </c:pt>
                <c:pt idx="29">
                  <c:v>53.4</c:v>
                </c:pt>
                <c:pt idx="30">
                  <c:v>52.5</c:v>
                </c:pt>
                <c:pt idx="31">
                  <c:v>54.8</c:v>
                </c:pt>
                <c:pt idx="32">
                  <c:v>52.1</c:v>
                </c:pt>
                <c:pt idx="33">
                  <c:v>50.6</c:v>
                </c:pt>
                <c:pt idx="34">
                  <c:v>51.2</c:v>
                </c:pt>
                <c:pt idx="35">
                  <c:v>53</c:v>
                </c:pt>
                <c:pt idx="36">
                  <c:v>55.3</c:v>
                </c:pt>
                <c:pt idx="37">
                  <c:v>51.8</c:v>
                </c:pt>
                <c:pt idx="38">
                  <c:v>52.1</c:v>
                </c:pt>
                <c:pt idx="39">
                  <c:v>51.2</c:v>
                </c:pt>
                <c:pt idx="40">
                  <c:v>49.3</c:v>
                </c:pt>
                <c:pt idx="41">
                  <c:v>52.2</c:v>
                </c:pt>
                <c:pt idx="42">
                  <c:v>46.4</c:v>
                </c:pt>
                <c:pt idx="43">
                  <c:v>49.3</c:v>
                </c:pt>
                <c:pt idx="44">
                  <c:v>49</c:v>
                </c:pt>
                <c:pt idx="45">
                  <c:v>50.4</c:v>
                </c:pt>
                <c:pt idx="46">
                  <c:v>49.9</c:v>
                </c:pt>
                <c:pt idx="47">
                  <c:v>52.5</c:v>
                </c:pt>
                <c:pt idx="48">
                  <c:v>48.7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D-432A-8ADA-65CDE30C7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018176"/>
        <c:axId val="392028160"/>
      </c:lineChart>
      <c:dateAx>
        <c:axId val="39201817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028160"/>
        <c:crossesAt val="50"/>
        <c:auto val="1"/>
        <c:lblOffset val="100"/>
        <c:baseTimeUnit val="months"/>
        <c:majorUnit val="1"/>
        <c:majorTimeUnit val="years"/>
      </c:dateAx>
      <c:valAx>
        <c:axId val="392028160"/>
        <c:scaling>
          <c:orientation val="minMax"/>
          <c:max val="62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018176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81E-2"/>
          <c:y val="0.13663060292737222"/>
          <c:w val="0.17144935767426811"/>
          <c:h val="7.340428882265374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Japan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JP!$B$40</c:f>
              <c:strCache>
                <c:ptCount val="1"/>
                <c:pt idx="0">
                  <c:v>Japan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JP!$A$41:$A$239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JP!$B$41:$B$239</c:f>
              <c:numCache>
                <c:formatCode>0.0</c:formatCode>
                <c:ptCount val="199"/>
                <c:pt idx="0">
                  <c:v>47.2</c:v>
                </c:pt>
                <c:pt idx="1">
                  <c:v>49.5</c:v>
                </c:pt>
                <c:pt idx="2">
                  <c:v>50.1</c:v>
                </c:pt>
                <c:pt idx="3">
                  <c:v>48.1</c:v>
                </c:pt>
                <c:pt idx="4">
                  <c:v>49.8</c:v>
                </c:pt>
                <c:pt idx="5">
                  <c:v>35.299999999999997</c:v>
                </c:pt>
                <c:pt idx="6">
                  <c:v>35</c:v>
                </c:pt>
                <c:pt idx="7">
                  <c:v>43.8</c:v>
                </c:pt>
                <c:pt idx="8">
                  <c:v>45.4</c:v>
                </c:pt>
                <c:pt idx="9">
                  <c:v>45.3</c:v>
                </c:pt>
                <c:pt idx="10">
                  <c:v>44.1</c:v>
                </c:pt>
                <c:pt idx="11">
                  <c:v>46.4</c:v>
                </c:pt>
                <c:pt idx="12">
                  <c:v>52.3</c:v>
                </c:pt>
                <c:pt idx="13">
                  <c:v>49.5</c:v>
                </c:pt>
                <c:pt idx="14">
                  <c:v>50.4</c:v>
                </c:pt>
                <c:pt idx="15">
                  <c:v>51</c:v>
                </c:pt>
                <c:pt idx="16">
                  <c:v>51.2</c:v>
                </c:pt>
                <c:pt idx="17">
                  <c:v>53.7</c:v>
                </c:pt>
                <c:pt idx="18">
                  <c:v>51</c:v>
                </c:pt>
                <c:pt idx="19">
                  <c:v>50.5</c:v>
                </c:pt>
                <c:pt idx="20">
                  <c:v>49.5</c:v>
                </c:pt>
                <c:pt idx="21">
                  <c:v>48.7</c:v>
                </c:pt>
                <c:pt idx="22">
                  <c:v>47.5</c:v>
                </c:pt>
                <c:pt idx="23">
                  <c:v>48.8</c:v>
                </c:pt>
                <c:pt idx="24">
                  <c:v>49.7</c:v>
                </c:pt>
                <c:pt idx="25">
                  <c:v>49.1</c:v>
                </c:pt>
                <c:pt idx="26">
                  <c:v>50.1</c:v>
                </c:pt>
                <c:pt idx="27">
                  <c:v>50.4</c:v>
                </c:pt>
                <c:pt idx="28">
                  <c:v>51.3</c:v>
                </c:pt>
                <c:pt idx="29">
                  <c:v>53.4</c:v>
                </c:pt>
                <c:pt idx="30">
                  <c:v>52.5</c:v>
                </c:pt>
                <c:pt idx="31">
                  <c:v>54.8</c:v>
                </c:pt>
                <c:pt idx="32">
                  <c:v>52.1</c:v>
                </c:pt>
                <c:pt idx="33">
                  <c:v>50.6</c:v>
                </c:pt>
                <c:pt idx="34">
                  <c:v>51.2</c:v>
                </c:pt>
                <c:pt idx="35">
                  <c:v>53</c:v>
                </c:pt>
                <c:pt idx="36">
                  <c:v>55.3</c:v>
                </c:pt>
                <c:pt idx="37">
                  <c:v>51.8</c:v>
                </c:pt>
                <c:pt idx="38">
                  <c:v>52.1</c:v>
                </c:pt>
                <c:pt idx="39">
                  <c:v>51.2</c:v>
                </c:pt>
                <c:pt idx="40">
                  <c:v>49.3</c:v>
                </c:pt>
                <c:pt idx="41">
                  <c:v>52.2</c:v>
                </c:pt>
                <c:pt idx="42">
                  <c:v>46.4</c:v>
                </c:pt>
                <c:pt idx="43">
                  <c:v>49.3</c:v>
                </c:pt>
                <c:pt idx="44">
                  <c:v>49</c:v>
                </c:pt>
                <c:pt idx="45">
                  <c:v>50.4</c:v>
                </c:pt>
                <c:pt idx="46">
                  <c:v>49.9</c:v>
                </c:pt>
                <c:pt idx="47">
                  <c:v>52.5</c:v>
                </c:pt>
                <c:pt idx="48">
                  <c:v>48.7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2AF-80A6-C07B9528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806976"/>
        <c:axId val="391808512"/>
      </c:areaChart>
      <c:barChart>
        <c:barDir val="col"/>
        <c:grouping val="clustered"/>
        <c:varyColors val="0"/>
        <c:ser>
          <c:idx val="2"/>
          <c:order val="2"/>
          <c:tx>
            <c:strRef>
              <c:f>JP!$D$40</c:f>
              <c:strCache>
                <c:ptCount val="1"/>
                <c:pt idx="0">
                  <c:v>Japan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JP!$D$41:$D$239</c:f>
              <c:numCache>
                <c:formatCode>0.0%</c:formatCode>
                <c:ptCount val="199"/>
                <c:pt idx="2">
                  <c:v>-5.0000000000000001E-3</c:v>
                </c:pt>
                <c:pt idx="5">
                  <c:v>-1.7999999999999999E-2</c:v>
                </c:pt>
                <c:pt idx="8">
                  <c:v>-7.0000000000000001E-3</c:v>
                </c:pt>
                <c:pt idx="11">
                  <c:v>2.5999999999999999E-2</c:v>
                </c:pt>
                <c:pt idx="14">
                  <c:v>2E-3</c:v>
                </c:pt>
                <c:pt idx="17">
                  <c:v>8.9999999999999993E-3</c:v>
                </c:pt>
                <c:pt idx="20">
                  <c:v>-5.0000000000000001E-3</c:v>
                </c:pt>
                <c:pt idx="23">
                  <c:v>-8.0000000000000002E-3</c:v>
                </c:pt>
                <c:pt idx="26">
                  <c:v>1E-3</c:v>
                </c:pt>
                <c:pt idx="29">
                  <c:v>1.2E-2</c:v>
                </c:pt>
                <c:pt idx="32">
                  <c:v>8.9999999999999993E-3</c:v>
                </c:pt>
                <c:pt idx="35">
                  <c:v>3.0000000000000001E-3</c:v>
                </c:pt>
                <c:pt idx="38">
                  <c:v>1E-3</c:v>
                </c:pt>
                <c:pt idx="41">
                  <c:v>1.4999999999999999E-2</c:v>
                </c:pt>
                <c:pt idx="44">
                  <c:v>-1.7000000000000001E-2</c:v>
                </c:pt>
                <c:pt idx="47">
                  <c:v>-4.0000000000000001E-3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E-42AF-80A6-C07B9528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1824128"/>
        <c:axId val="39181004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cat>
            <c:numLit>
              <c:formatCode>General</c:formatCode>
              <c:ptCount val="29"/>
              <c:pt idx="0">
                <c:v>40909</c:v>
              </c:pt>
              <c:pt idx="1">
                <c:v>40940</c:v>
              </c:pt>
              <c:pt idx="2">
                <c:v>40969</c:v>
              </c:pt>
              <c:pt idx="3">
                <c:v>41000</c:v>
              </c:pt>
              <c:pt idx="4">
                <c:v>41030</c:v>
              </c:pt>
              <c:pt idx="5">
                <c:v>41061</c:v>
              </c:pt>
              <c:pt idx="6">
                <c:v>41091</c:v>
              </c:pt>
              <c:pt idx="7">
                <c:v>41122</c:v>
              </c:pt>
              <c:pt idx="8">
                <c:v>41153</c:v>
              </c:pt>
              <c:pt idx="9">
                <c:v>41183</c:v>
              </c:pt>
              <c:pt idx="10">
                <c:v>41214</c:v>
              </c:pt>
              <c:pt idx="11">
                <c:v>41244</c:v>
              </c:pt>
              <c:pt idx="12">
                <c:v>41275</c:v>
              </c:pt>
              <c:pt idx="13">
                <c:v>41306</c:v>
              </c:pt>
              <c:pt idx="14">
                <c:v>41334</c:v>
              </c:pt>
              <c:pt idx="15">
                <c:v>41365</c:v>
              </c:pt>
              <c:pt idx="16">
                <c:v>41395</c:v>
              </c:pt>
              <c:pt idx="17">
                <c:v>41426</c:v>
              </c:pt>
              <c:pt idx="18">
                <c:v>41456</c:v>
              </c:pt>
              <c:pt idx="19">
                <c:v>41487</c:v>
              </c:pt>
              <c:pt idx="20">
                <c:v>41518</c:v>
              </c:pt>
              <c:pt idx="21">
                <c:v>41548</c:v>
              </c:pt>
              <c:pt idx="22">
                <c:v>41579</c:v>
              </c:pt>
              <c:pt idx="23">
                <c:v>41609</c:v>
              </c:pt>
              <c:pt idx="24">
                <c:v>41640</c:v>
              </c:pt>
              <c:pt idx="25">
                <c:v>41671</c:v>
              </c:pt>
              <c:pt idx="26">
                <c:v>41699</c:v>
              </c:pt>
              <c:pt idx="27">
                <c:v>41730</c:v>
              </c:pt>
              <c:pt idx="28">
                <c:v>41760</c:v>
              </c:pt>
            </c:numLit>
          </c:cat>
          <c:val>
            <c:numRef>
              <c:f>JP!$B$41:$B$239</c:f>
              <c:numCache>
                <c:formatCode>0.0</c:formatCode>
                <c:ptCount val="199"/>
                <c:pt idx="0">
                  <c:v>47.2</c:v>
                </c:pt>
                <c:pt idx="1">
                  <c:v>49.5</c:v>
                </c:pt>
                <c:pt idx="2">
                  <c:v>50.1</c:v>
                </c:pt>
                <c:pt idx="3">
                  <c:v>48.1</c:v>
                </c:pt>
                <c:pt idx="4">
                  <c:v>49.8</c:v>
                </c:pt>
                <c:pt idx="5">
                  <c:v>35.299999999999997</c:v>
                </c:pt>
                <c:pt idx="6">
                  <c:v>35</c:v>
                </c:pt>
                <c:pt idx="7">
                  <c:v>43.8</c:v>
                </c:pt>
                <c:pt idx="8">
                  <c:v>45.4</c:v>
                </c:pt>
                <c:pt idx="9">
                  <c:v>45.3</c:v>
                </c:pt>
                <c:pt idx="10">
                  <c:v>44.1</c:v>
                </c:pt>
                <c:pt idx="11">
                  <c:v>46.4</c:v>
                </c:pt>
                <c:pt idx="12">
                  <c:v>52.3</c:v>
                </c:pt>
                <c:pt idx="13">
                  <c:v>49.5</c:v>
                </c:pt>
                <c:pt idx="14">
                  <c:v>50.4</c:v>
                </c:pt>
                <c:pt idx="15">
                  <c:v>51</c:v>
                </c:pt>
                <c:pt idx="16">
                  <c:v>51.2</c:v>
                </c:pt>
                <c:pt idx="17">
                  <c:v>53.7</c:v>
                </c:pt>
                <c:pt idx="18">
                  <c:v>51</c:v>
                </c:pt>
                <c:pt idx="19">
                  <c:v>50.5</c:v>
                </c:pt>
                <c:pt idx="20">
                  <c:v>49.5</c:v>
                </c:pt>
                <c:pt idx="21">
                  <c:v>48.7</c:v>
                </c:pt>
                <c:pt idx="22">
                  <c:v>47.5</c:v>
                </c:pt>
                <c:pt idx="23">
                  <c:v>48.8</c:v>
                </c:pt>
                <c:pt idx="24">
                  <c:v>49.7</c:v>
                </c:pt>
                <c:pt idx="25">
                  <c:v>49.1</c:v>
                </c:pt>
                <c:pt idx="26">
                  <c:v>50.1</c:v>
                </c:pt>
                <c:pt idx="27">
                  <c:v>50.4</c:v>
                </c:pt>
                <c:pt idx="28">
                  <c:v>51.3</c:v>
                </c:pt>
                <c:pt idx="29">
                  <c:v>53.4</c:v>
                </c:pt>
                <c:pt idx="30">
                  <c:v>52.5</c:v>
                </c:pt>
                <c:pt idx="31">
                  <c:v>54.8</c:v>
                </c:pt>
                <c:pt idx="32">
                  <c:v>52.1</c:v>
                </c:pt>
                <c:pt idx="33">
                  <c:v>50.6</c:v>
                </c:pt>
                <c:pt idx="34">
                  <c:v>51.2</c:v>
                </c:pt>
                <c:pt idx="35">
                  <c:v>53</c:v>
                </c:pt>
                <c:pt idx="36">
                  <c:v>55.3</c:v>
                </c:pt>
                <c:pt idx="37">
                  <c:v>51.8</c:v>
                </c:pt>
                <c:pt idx="38">
                  <c:v>52.1</c:v>
                </c:pt>
                <c:pt idx="39">
                  <c:v>51.2</c:v>
                </c:pt>
                <c:pt idx="40">
                  <c:v>49.3</c:v>
                </c:pt>
                <c:pt idx="41">
                  <c:v>52.2</c:v>
                </c:pt>
                <c:pt idx="42">
                  <c:v>46.4</c:v>
                </c:pt>
                <c:pt idx="43">
                  <c:v>49.3</c:v>
                </c:pt>
                <c:pt idx="44">
                  <c:v>49</c:v>
                </c:pt>
                <c:pt idx="45">
                  <c:v>50.4</c:v>
                </c:pt>
                <c:pt idx="46">
                  <c:v>49.9</c:v>
                </c:pt>
                <c:pt idx="47">
                  <c:v>52.5</c:v>
                </c:pt>
                <c:pt idx="48">
                  <c:v>48.7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E-42AF-80A6-C07B9528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06976"/>
        <c:axId val="391808512"/>
      </c:lineChart>
      <c:dateAx>
        <c:axId val="39180697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808512"/>
        <c:crossesAt val="50"/>
        <c:auto val="1"/>
        <c:lblOffset val="100"/>
        <c:baseTimeUnit val="months"/>
        <c:majorUnit val="1"/>
        <c:majorTimeUnit val="years"/>
      </c:dateAx>
      <c:valAx>
        <c:axId val="391808512"/>
        <c:scaling>
          <c:orientation val="minMax"/>
          <c:max val="62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806976"/>
        <c:crosses val="autoZero"/>
        <c:crossBetween val="between"/>
        <c:majorUnit val="6"/>
      </c:valAx>
      <c:valAx>
        <c:axId val="391810048"/>
        <c:scaling>
          <c:orientation val="minMax"/>
          <c:max val="4.0000000000000015E-2"/>
          <c:min val="-6.0000000000000019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91824128"/>
        <c:crosses val="max"/>
        <c:crossBetween val="between"/>
        <c:majorUnit val="2.0000000000000007E-2"/>
      </c:valAx>
      <c:catAx>
        <c:axId val="391824128"/>
        <c:scaling>
          <c:orientation val="minMax"/>
        </c:scaling>
        <c:delete val="1"/>
        <c:axPos val="b"/>
        <c:majorTickMark val="out"/>
        <c:minorTickMark val="none"/>
        <c:tickLblPos val="none"/>
        <c:crossAx val="39181004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3677296293078121"/>
          <c:y val="0.67708951462588951"/>
          <c:w val="0.18249525204503425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Brazil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BR!$B$40</c:f>
              <c:strCache>
                <c:ptCount val="1"/>
                <c:pt idx="0">
                  <c:v>Brazil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BR!$A$41:$A$239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BR!$B$41:$B$239</c:f>
              <c:numCache>
                <c:formatCode>0.0</c:formatCode>
                <c:ptCount val="199"/>
                <c:pt idx="0">
                  <c:v>51.8</c:v>
                </c:pt>
                <c:pt idx="1">
                  <c:v>52.1</c:v>
                </c:pt>
                <c:pt idx="2">
                  <c:v>50.2</c:v>
                </c:pt>
                <c:pt idx="3">
                  <c:v>51.2</c:v>
                </c:pt>
                <c:pt idx="4">
                  <c:v>52.7</c:v>
                </c:pt>
                <c:pt idx="5">
                  <c:v>53.5</c:v>
                </c:pt>
                <c:pt idx="6">
                  <c:v>53.2</c:v>
                </c:pt>
                <c:pt idx="7">
                  <c:v>53.3</c:v>
                </c:pt>
                <c:pt idx="8">
                  <c:v>52.1</c:v>
                </c:pt>
                <c:pt idx="9">
                  <c:v>53.7</c:v>
                </c:pt>
                <c:pt idx="10">
                  <c:v>52.1</c:v>
                </c:pt>
                <c:pt idx="11">
                  <c:v>50.5</c:v>
                </c:pt>
                <c:pt idx="12">
                  <c:v>53.6</c:v>
                </c:pt>
                <c:pt idx="13">
                  <c:v>52.6</c:v>
                </c:pt>
                <c:pt idx="14">
                  <c:v>54.8</c:v>
                </c:pt>
                <c:pt idx="15">
                  <c:v>55</c:v>
                </c:pt>
                <c:pt idx="16">
                  <c:v>57.1</c:v>
                </c:pt>
                <c:pt idx="17">
                  <c:v>53.8</c:v>
                </c:pt>
                <c:pt idx="18">
                  <c:v>54.4</c:v>
                </c:pt>
                <c:pt idx="19">
                  <c:v>49.7</c:v>
                </c:pt>
                <c:pt idx="20">
                  <c:v>53</c:v>
                </c:pt>
                <c:pt idx="21">
                  <c:v>48.9</c:v>
                </c:pt>
                <c:pt idx="22">
                  <c:v>48.1</c:v>
                </c:pt>
                <c:pt idx="23">
                  <c:v>52.8</c:v>
                </c:pt>
                <c:pt idx="24">
                  <c:v>50.4</c:v>
                </c:pt>
                <c:pt idx="25">
                  <c:v>52.5</c:v>
                </c:pt>
                <c:pt idx="26">
                  <c:v>53.2</c:v>
                </c:pt>
                <c:pt idx="27">
                  <c:v>54.5</c:v>
                </c:pt>
                <c:pt idx="28">
                  <c:v>52.1</c:v>
                </c:pt>
                <c:pt idx="29">
                  <c:v>50.3</c:v>
                </c:pt>
                <c:pt idx="30">
                  <c:v>51</c:v>
                </c:pt>
                <c:pt idx="31">
                  <c:v>51</c:v>
                </c:pt>
                <c:pt idx="32">
                  <c:v>50.3</c:v>
                </c:pt>
                <c:pt idx="33">
                  <c:v>49.7</c:v>
                </c:pt>
                <c:pt idx="34">
                  <c:v>50.7</c:v>
                </c:pt>
                <c:pt idx="35">
                  <c:v>52.1</c:v>
                </c:pt>
                <c:pt idx="36">
                  <c:v>52.3</c:v>
                </c:pt>
                <c:pt idx="37">
                  <c:v>51.7</c:v>
                </c:pt>
                <c:pt idx="38">
                  <c:v>50.5</c:v>
                </c:pt>
                <c:pt idx="39">
                  <c:v>49.6</c:v>
                </c:pt>
                <c:pt idx="40">
                  <c:v>50.8</c:v>
                </c:pt>
                <c:pt idx="41">
                  <c:v>51</c:v>
                </c:pt>
                <c:pt idx="42">
                  <c:v>48.6</c:v>
                </c:pt>
                <c:pt idx="43">
                  <c:v>50.6</c:v>
                </c:pt>
                <c:pt idx="44">
                  <c:v>51.4</c:v>
                </c:pt>
                <c:pt idx="45">
                  <c:v>50.2</c:v>
                </c:pt>
                <c:pt idx="46">
                  <c:v>49.2</c:v>
                </c:pt>
                <c:pt idx="47">
                  <c:v>51.2</c:v>
                </c:pt>
                <c:pt idx="48">
                  <c:v>48.2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9-4E54-AEAC-7BB60EBD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65312"/>
        <c:axId val="39196710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BR!$B$41:$B$239</c:f>
              <c:numCache>
                <c:formatCode>0.0</c:formatCode>
                <c:ptCount val="199"/>
                <c:pt idx="0">
                  <c:v>51.8</c:v>
                </c:pt>
                <c:pt idx="1">
                  <c:v>52.1</c:v>
                </c:pt>
                <c:pt idx="2">
                  <c:v>50.2</c:v>
                </c:pt>
                <c:pt idx="3">
                  <c:v>51.2</c:v>
                </c:pt>
                <c:pt idx="4">
                  <c:v>52.7</c:v>
                </c:pt>
                <c:pt idx="5">
                  <c:v>53.5</c:v>
                </c:pt>
                <c:pt idx="6">
                  <c:v>53.2</c:v>
                </c:pt>
                <c:pt idx="7">
                  <c:v>53.3</c:v>
                </c:pt>
                <c:pt idx="8">
                  <c:v>52.1</c:v>
                </c:pt>
                <c:pt idx="9">
                  <c:v>53.7</c:v>
                </c:pt>
                <c:pt idx="10">
                  <c:v>52.1</c:v>
                </c:pt>
                <c:pt idx="11">
                  <c:v>50.5</c:v>
                </c:pt>
                <c:pt idx="12">
                  <c:v>53.6</c:v>
                </c:pt>
                <c:pt idx="13">
                  <c:v>52.6</c:v>
                </c:pt>
                <c:pt idx="14">
                  <c:v>54.8</c:v>
                </c:pt>
                <c:pt idx="15">
                  <c:v>55</c:v>
                </c:pt>
                <c:pt idx="16">
                  <c:v>57.1</c:v>
                </c:pt>
                <c:pt idx="17">
                  <c:v>53.8</c:v>
                </c:pt>
                <c:pt idx="18">
                  <c:v>54.4</c:v>
                </c:pt>
                <c:pt idx="19">
                  <c:v>49.7</c:v>
                </c:pt>
                <c:pt idx="20">
                  <c:v>53</c:v>
                </c:pt>
                <c:pt idx="21">
                  <c:v>48.9</c:v>
                </c:pt>
                <c:pt idx="22">
                  <c:v>48.1</c:v>
                </c:pt>
                <c:pt idx="23">
                  <c:v>52.8</c:v>
                </c:pt>
                <c:pt idx="24">
                  <c:v>50.4</c:v>
                </c:pt>
                <c:pt idx="25">
                  <c:v>52.5</c:v>
                </c:pt>
                <c:pt idx="26">
                  <c:v>53.2</c:v>
                </c:pt>
                <c:pt idx="27">
                  <c:v>54.5</c:v>
                </c:pt>
                <c:pt idx="28">
                  <c:v>52.1</c:v>
                </c:pt>
                <c:pt idx="29">
                  <c:v>50.3</c:v>
                </c:pt>
                <c:pt idx="30">
                  <c:v>51</c:v>
                </c:pt>
                <c:pt idx="31">
                  <c:v>51</c:v>
                </c:pt>
                <c:pt idx="32">
                  <c:v>50.3</c:v>
                </c:pt>
                <c:pt idx="33">
                  <c:v>49.7</c:v>
                </c:pt>
                <c:pt idx="34">
                  <c:v>50.7</c:v>
                </c:pt>
                <c:pt idx="35">
                  <c:v>52.1</c:v>
                </c:pt>
                <c:pt idx="36">
                  <c:v>52.3</c:v>
                </c:pt>
                <c:pt idx="37">
                  <c:v>51.7</c:v>
                </c:pt>
                <c:pt idx="38">
                  <c:v>50.5</c:v>
                </c:pt>
                <c:pt idx="39">
                  <c:v>49.6</c:v>
                </c:pt>
                <c:pt idx="40">
                  <c:v>50.8</c:v>
                </c:pt>
                <c:pt idx="41">
                  <c:v>51</c:v>
                </c:pt>
                <c:pt idx="42">
                  <c:v>48.6</c:v>
                </c:pt>
                <c:pt idx="43">
                  <c:v>50.6</c:v>
                </c:pt>
                <c:pt idx="44">
                  <c:v>51.4</c:v>
                </c:pt>
                <c:pt idx="45">
                  <c:v>50.2</c:v>
                </c:pt>
                <c:pt idx="46">
                  <c:v>49.2</c:v>
                </c:pt>
                <c:pt idx="47">
                  <c:v>51.2</c:v>
                </c:pt>
                <c:pt idx="48">
                  <c:v>48.2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9-4E54-AEAC-7BB60EBD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965312"/>
        <c:axId val="391967104"/>
      </c:lineChart>
      <c:dateAx>
        <c:axId val="3919653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967104"/>
        <c:crossesAt val="50"/>
        <c:auto val="1"/>
        <c:lblOffset val="100"/>
        <c:baseTimeUnit val="months"/>
        <c:majorUnit val="1"/>
        <c:majorTimeUnit val="years"/>
      </c:dateAx>
      <c:valAx>
        <c:axId val="391967104"/>
        <c:scaling>
          <c:orientation val="minMax"/>
          <c:max val="58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1965312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1756106371990699"/>
          <c:y val="0.15659163528471981"/>
          <c:w val="0.14479708112060402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Brazil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BR!$B$40</c:f>
              <c:strCache>
                <c:ptCount val="1"/>
                <c:pt idx="0">
                  <c:v>Brazil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BR!$A$41:$A$239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BR!$B$41:$B$239</c:f>
              <c:numCache>
                <c:formatCode>0.0</c:formatCode>
                <c:ptCount val="199"/>
                <c:pt idx="0">
                  <c:v>51.8</c:v>
                </c:pt>
                <c:pt idx="1">
                  <c:v>52.1</c:v>
                </c:pt>
                <c:pt idx="2">
                  <c:v>50.2</c:v>
                </c:pt>
                <c:pt idx="3">
                  <c:v>51.2</c:v>
                </c:pt>
                <c:pt idx="4">
                  <c:v>52.7</c:v>
                </c:pt>
                <c:pt idx="5">
                  <c:v>53.5</c:v>
                </c:pt>
                <c:pt idx="6">
                  <c:v>53.2</c:v>
                </c:pt>
                <c:pt idx="7">
                  <c:v>53.3</c:v>
                </c:pt>
                <c:pt idx="8">
                  <c:v>52.1</c:v>
                </c:pt>
                <c:pt idx="9">
                  <c:v>53.7</c:v>
                </c:pt>
                <c:pt idx="10">
                  <c:v>52.1</c:v>
                </c:pt>
                <c:pt idx="11">
                  <c:v>50.5</c:v>
                </c:pt>
                <c:pt idx="12">
                  <c:v>53.6</c:v>
                </c:pt>
                <c:pt idx="13">
                  <c:v>52.6</c:v>
                </c:pt>
                <c:pt idx="14">
                  <c:v>54.8</c:v>
                </c:pt>
                <c:pt idx="15">
                  <c:v>55</c:v>
                </c:pt>
                <c:pt idx="16">
                  <c:v>57.1</c:v>
                </c:pt>
                <c:pt idx="17">
                  <c:v>53.8</c:v>
                </c:pt>
                <c:pt idx="18">
                  <c:v>54.4</c:v>
                </c:pt>
                <c:pt idx="19">
                  <c:v>49.7</c:v>
                </c:pt>
                <c:pt idx="20">
                  <c:v>53</c:v>
                </c:pt>
                <c:pt idx="21">
                  <c:v>48.9</c:v>
                </c:pt>
                <c:pt idx="22">
                  <c:v>48.1</c:v>
                </c:pt>
                <c:pt idx="23">
                  <c:v>52.8</c:v>
                </c:pt>
                <c:pt idx="24">
                  <c:v>50.4</c:v>
                </c:pt>
                <c:pt idx="25">
                  <c:v>52.5</c:v>
                </c:pt>
                <c:pt idx="26">
                  <c:v>53.2</c:v>
                </c:pt>
                <c:pt idx="27">
                  <c:v>54.5</c:v>
                </c:pt>
                <c:pt idx="28">
                  <c:v>52.1</c:v>
                </c:pt>
                <c:pt idx="29">
                  <c:v>50.3</c:v>
                </c:pt>
                <c:pt idx="30">
                  <c:v>51</c:v>
                </c:pt>
                <c:pt idx="31">
                  <c:v>51</c:v>
                </c:pt>
                <c:pt idx="32">
                  <c:v>50.3</c:v>
                </c:pt>
                <c:pt idx="33">
                  <c:v>49.7</c:v>
                </c:pt>
                <c:pt idx="34">
                  <c:v>50.7</c:v>
                </c:pt>
                <c:pt idx="35">
                  <c:v>52.1</c:v>
                </c:pt>
                <c:pt idx="36">
                  <c:v>52.3</c:v>
                </c:pt>
                <c:pt idx="37">
                  <c:v>51.7</c:v>
                </c:pt>
                <c:pt idx="38">
                  <c:v>50.5</c:v>
                </c:pt>
                <c:pt idx="39">
                  <c:v>49.6</c:v>
                </c:pt>
                <c:pt idx="40">
                  <c:v>50.8</c:v>
                </c:pt>
                <c:pt idx="41">
                  <c:v>51</c:v>
                </c:pt>
                <c:pt idx="42">
                  <c:v>48.6</c:v>
                </c:pt>
                <c:pt idx="43">
                  <c:v>50.6</c:v>
                </c:pt>
                <c:pt idx="44">
                  <c:v>51.4</c:v>
                </c:pt>
                <c:pt idx="45">
                  <c:v>50.2</c:v>
                </c:pt>
                <c:pt idx="46">
                  <c:v>49.2</c:v>
                </c:pt>
                <c:pt idx="47">
                  <c:v>51.2</c:v>
                </c:pt>
                <c:pt idx="48">
                  <c:v>48.2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6-40A6-8ABC-11D44F8E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139136"/>
        <c:axId val="392140672"/>
      </c:areaChart>
      <c:barChart>
        <c:barDir val="col"/>
        <c:grouping val="clustered"/>
        <c:varyColors val="0"/>
        <c:ser>
          <c:idx val="2"/>
          <c:order val="2"/>
          <c:tx>
            <c:strRef>
              <c:f>BR!$D$40</c:f>
              <c:strCache>
                <c:ptCount val="1"/>
                <c:pt idx="0">
                  <c:v>Brazil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BR!$D$41:$D$239</c:f>
              <c:numCache>
                <c:formatCode>0.0%</c:formatCode>
                <c:ptCount val="199"/>
                <c:pt idx="2">
                  <c:v>1.0999999999999999E-2</c:v>
                </c:pt>
                <c:pt idx="5">
                  <c:v>6.0000000000000001E-3</c:v>
                </c:pt>
                <c:pt idx="8">
                  <c:v>5.0000000000000001E-3</c:v>
                </c:pt>
                <c:pt idx="11">
                  <c:v>-1E-3</c:v>
                </c:pt>
                <c:pt idx="14">
                  <c:v>1E-3</c:v>
                </c:pt>
                <c:pt idx="17">
                  <c:v>1E-3</c:v>
                </c:pt>
                <c:pt idx="20">
                  <c:v>1E-3</c:v>
                </c:pt>
                <c:pt idx="23">
                  <c:v>6.0000000000000001E-3</c:v>
                </c:pt>
                <c:pt idx="26">
                  <c:v>8.9999999999999993E-3</c:v>
                </c:pt>
                <c:pt idx="29">
                  <c:v>0</c:v>
                </c:pt>
                <c:pt idx="32">
                  <c:v>1.7999999999999999E-2</c:v>
                </c:pt>
                <c:pt idx="35">
                  <c:v>-5.0000000000000001E-3</c:v>
                </c:pt>
                <c:pt idx="38">
                  <c:v>7.0000000000000001E-3</c:v>
                </c:pt>
                <c:pt idx="41">
                  <c:v>2E-3</c:v>
                </c:pt>
                <c:pt idx="44">
                  <c:v>-6.0000000000000001E-3</c:v>
                </c:pt>
                <c:pt idx="4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6-40A6-8ABC-11D44F8E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2148096"/>
        <c:axId val="39214220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BR!$B$41:$B$239</c:f>
              <c:numCache>
                <c:formatCode>0.0</c:formatCode>
                <c:ptCount val="199"/>
                <c:pt idx="0">
                  <c:v>51.8</c:v>
                </c:pt>
                <c:pt idx="1">
                  <c:v>52.1</c:v>
                </c:pt>
                <c:pt idx="2">
                  <c:v>50.2</c:v>
                </c:pt>
                <c:pt idx="3">
                  <c:v>51.2</c:v>
                </c:pt>
                <c:pt idx="4">
                  <c:v>52.7</c:v>
                </c:pt>
                <c:pt idx="5">
                  <c:v>53.5</c:v>
                </c:pt>
                <c:pt idx="6">
                  <c:v>53.2</c:v>
                </c:pt>
                <c:pt idx="7">
                  <c:v>53.3</c:v>
                </c:pt>
                <c:pt idx="8">
                  <c:v>52.1</c:v>
                </c:pt>
                <c:pt idx="9">
                  <c:v>53.7</c:v>
                </c:pt>
                <c:pt idx="10">
                  <c:v>52.1</c:v>
                </c:pt>
                <c:pt idx="11">
                  <c:v>50.5</c:v>
                </c:pt>
                <c:pt idx="12">
                  <c:v>53.6</c:v>
                </c:pt>
                <c:pt idx="13">
                  <c:v>52.6</c:v>
                </c:pt>
                <c:pt idx="14">
                  <c:v>54.8</c:v>
                </c:pt>
                <c:pt idx="15">
                  <c:v>55</c:v>
                </c:pt>
                <c:pt idx="16">
                  <c:v>57.1</c:v>
                </c:pt>
                <c:pt idx="17">
                  <c:v>53.8</c:v>
                </c:pt>
                <c:pt idx="18">
                  <c:v>54.4</c:v>
                </c:pt>
                <c:pt idx="19">
                  <c:v>49.7</c:v>
                </c:pt>
                <c:pt idx="20">
                  <c:v>53</c:v>
                </c:pt>
                <c:pt idx="21">
                  <c:v>48.9</c:v>
                </c:pt>
                <c:pt idx="22">
                  <c:v>48.1</c:v>
                </c:pt>
                <c:pt idx="23">
                  <c:v>52.8</c:v>
                </c:pt>
                <c:pt idx="24">
                  <c:v>50.4</c:v>
                </c:pt>
                <c:pt idx="25">
                  <c:v>52.5</c:v>
                </c:pt>
                <c:pt idx="26">
                  <c:v>53.2</c:v>
                </c:pt>
                <c:pt idx="27">
                  <c:v>54.5</c:v>
                </c:pt>
                <c:pt idx="28">
                  <c:v>52.1</c:v>
                </c:pt>
                <c:pt idx="29">
                  <c:v>50.3</c:v>
                </c:pt>
                <c:pt idx="30">
                  <c:v>51</c:v>
                </c:pt>
                <c:pt idx="31">
                  <c:v>51</c:v>
                </c:pt>
                <c:pt idx="32">
                  <c:v>50.3</c:v>
                </c:pt>
                <c:pt idx="33">
                  <c:v>49.7</c:v>
                </c:pt>
                <c:pt idx="34">
                  <c:v>50.7</c:v>
                </c:pt>
                <c:pt idx="35">
                  <c:v>52.1</c:v>
                </c:pt>
                <c:pt idx="36">
                  <c:v>52.3</c:v>
                </c:pt>
                <c:pt idx="37">
                  <c:v>51.7</c:v>
                </c:pt>
                <c:pt idx="38">
                  <c:v>50.5</c:v>
                </c:pt>
                <c:pt idx="39">
                  <c:v>49.6</c:v>
                </c:pt>
                <c:pt idx="40">
                  <c:v>50.8</c:v>
                </c:pt>
                <c:pt idx="41">
                  <c:v>51</c:v>
                </c:pt>
                <c:pt idx="42">
                  <c:v>48.6</c:v>
                </c:pt>
                <c:pt idx="43">
                  <c:v>50.6</c:v>
                </c:pt>
                <c:pt idx="44">
                  <c:v>51.4</c:v>
                </c:pt>
                <c:pt idx="45">
                  <c:v>50.2</c:v>
                </c:pt>
                <c:pt idx="46">
                  <c:v>49.2</c:v>
                </c:pt>
                <c:pt idx="47">
                  <c:v>51.2</c:v>
                </c:pt>
                <c:pt idx="48">
                  <c:v>48.2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6-40A6-8ABC-11D44F8EA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39136"/>
        <c:axId val="392140672"/>
      </c:lineChart>
      <c:dateAx>
        <c:axId val="3921391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140672"/>
        <c:crossesAt val="50"/>
        <c:auto val="1"/>
        <c:lblOffset val="100"/>
        <c:baseTimeUnit val="months"/>
        <c:majorUnit val="1"/>
        <c:majorTimeUnit val="years"/>
      </c:dateAx>
      <c:valAx>
        <c:axId val="392140672"/>
        <c:scaling>
          <c:orientation val="minMax"/>
          <c:max val="60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139136"/>
        <c:crosses val="autoZero"/>
        <c:crossBetween val="between"/>
        <c:majorUnit val="6"/>
      </c:valAx>
      <c:valAx>
        <c:axId val="392142208"/>
        <c:scaling>
          <c:orientation val="minMax"/>
          <c:max val="2.5000000000000008E-2"/>
          <c:min val="-1.500000000000000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392148096"/>
        <c:crosses val="max"/>
        <c:crossBetween val="between"/>
        <c:majorUnit val="1.5000000000000005E-2"/>
      </c:valAx>
      <c:catAx>
        <c:axId val="392148096"/>
        <c:scaling>
          <c:orientation val="minMax"/>
        </c:scaling>
        <c:delete val="1"/>
        <c:axPos val="b"/>
        <c:majorTickMark val="out"/>
        <c:minorTickMark val="none"/>
        <c:tickLblPos val="none"/>
        <c:crossAx val="39214220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1756106371990699"/>
          <c:y val="0.15659163528471981"/>
          <c:w val="0.17656689148369517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India Service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IN!$B$40</c:f>
              <c:strCache>
                <c:ptCount val="1"/>
                <c:pt idx="0">
                  <c:v>India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IN!$B$41:$B$239</c:f>
              <c:numCache>
                <c:formatCode>0.0</c:formatCode>
                <c:ptCount val="199"/>
                <c:pt idx="0">
                  <c:v>58.4</c:v>
                </c:pt>
                <c:pt idx="1">
                  <c:v>61.3</c:v>
                </c:pt>
                <c:pt idx="2">
                  <c:v>62.1</c:v>
                </c:pt>
                <c:pt idx="3">
                  <c:v>59.4</c:v>
                </c:pt>
                <c:pt idx="4">
                  <c:v>61</c:v>
                </c:pt>
                <c:pt idx="5">
                  <c:v>60</c:v>
                </c:pt>
                <c:pt idx="6">
                  <c:v>59.2</c:v>
                </c:pt>
                <c:pt idx="7">
                  <c:v>57.7</c:v>
                </c:pt>
                <c:pt idx="8">
                  <c:v>56.1</c:v>
                </c:pt>
                <c:pt idx="9">
                  <c:v>58.2</c:v>
                </c:pt>
                <c:pt idx="10">
                  <c:v>56.7</c:v>
                </c:pt>
                <c:pt idx="11">
                  <c:v>49.8</c:v>
                </c:pt>
                <c:pt idx="12">
                  <c:v>49.1</c:v>
                </c:pt>
                <c:pt idx="13">
                  <c:v>53.2</c:v>
                </c:pt>
                <c:pt idx="14">
                  <c:v>54.2</c:v>
                </c:pt>
                <c:pt idx="15">
                  <c:v>55.1</c:v>
                </c:pt>
                <c:pt idx="16">
                  <c:v>53.4</c:v>
                </c:pt>
                <c:pt idx="17">
                  <c:v>54.1</c:v>
                </c:pt>
                <c:pt idx="18">
                  <c:v>52.3</c:v>
                </c:pt>
                <c:pt idx="19">
                  <c:v>52.8</c:v>
                </c:pt>
                <c:pt idx="20">
                  <c:v>54.7</c:v>
                </c:pt>
                <c:pt idx="21">
                  <c:v>54.3</c:v>
                </c:pt>
                <c:pt idx="22">
                  <c:v>54.2</c:v>
                </c:pt>
                <c:pt idx="23">
                  <c:v>55</c:v>
                </c:pt>
                <c:pt idx="24">
                  <c:v>55.8</c:v>
                </c:pt>
                <c:pt idx="25">
                  <c:v>53.8</c:v>
                </c:pt>
                <c:pt idx="26">
                  <c:v>52.1</c:v>
                </c:pt>
                <c:pt idx="27">
                  <c:v>57.5</c:v>
                </c:pt>
                <c:pt idx="28">
                  <c:v>54.2</c:v>
                </c:pt>
                <c:pt idx="29">
                  <c:v>51.4</c:v>
                </c:pt>
                <c:pt idx="30">
                  <c:v>50.7</c:v>
                </c:pt>
                <c:pt idx="31">
                  <c:v>53.6</c:v>
                </c:pt>
                <c:pt idx="32">
                  <c:v>51.7</c:v>
                </c:pt>
                <c:pt idx="33">
                  <c:v>47.9</c:v>
                </c:pt>
                <c:pt idx="34">
                  <c:v>47.6</c:v>
                </c:pt>
                <c:pt idx="35">
                  <c:v>44.6</c:v>
                </c:pt>
                <c:pt idx="36">
                  <c:v>47.1</c:v>
                </c:pt>
                <c:pt idx="37">
                  <c:v>47.2</c:v>
                </c:pt>
                <c:pt idx="38">
                  <c:v>47.9</c:v>
                </c:pt>
                <c:pt idx="39">
                  <c:v>48.3</c:v>
                </c:pt>
                <c:pt idx="40">
                  <c:v>48.8</c:v>
                </c:pt>
                <c:pt idx="41">
                  <c:v>47.5</c:v>
                </c:pt>
                <c:pt idx="42">
                  <c:v>48.5</c:v>
                </c:pt>
                <c:pt idx="43">
                  <c:v>50.7</c:v>
                </c:pt>
                <c:pt idx="44">
                  <c:v>54.4</c:v>
                </c:pt>
                <c:pt idx="45">
                  <c:v>52.2</c:v>
                </c:pt>
                <c:pt idx="46">
                  <c:v>50.6</c:v>
                </c:pt>
                <c:pt idx="47">
                  <c:v>51.6</c:v>
                </c:pt>
                <c:pt idx="48">
                  <c:v>50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B-4E43-A85A-DFE7BD6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219648"/>
        <c:axId val="39222963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IN!$B$41:$B$239</c:f>
              <c:numCache>
                <c:formatCode>0.0</c:formatCode>
                <c:ptCount val="199"/>
                <c:pt idx="0">
                  <c:v>58.4</c:v>
                </c:pt>
                <c:pt idx="1">
                  <c:v>61.3</c:v>
                </c:pt>
                <c:pt idx="2">
                  <c:v>62.1</c:v>
                </c:pt>
                <c:pt idx="3">
                  <c:v>59.4</c:v>
                </c:pt>
                <c:pt idx="4">
                  <c:v>61</c:v>
                </c:pt>
                <c:pt idx="5">
                  <c:v>60</c:v>
                </c:pt>
                <c:pt idx="6">
                  <c:v>59.2</c:v>
                </c:pt>
                <c:pt idx="7">
                  <c:v>57.7</c:v>
                </c:pt>
                <c:pt idx="8">
                  <c:v>56.1</c:v>
                </c:pt>
                <c:pt idx="9">
                  <c:v>58.2</c:v>
                </c:pt>
                <c:pt idx="10">
                  <c:v>56.7</c:v>
                </c:pt>
                <c:pt idx="11">
                  <c:v>49.8</c:v>
                </c:pt>
                <c:pt idx="12">
                  <c:v>49.1</c:v>
                </c:pt>
                <c:pt idx="13">
                  <c:v>53.2</c:v>
                </c:pt>
                <c:pt idx="14">
                  <c:v>54.2</c:v>
                </c:pt>
                <c:pt idx="15">
                  <c:v>55.1</c:v>
                </c:pt>
                <c:pt idx="16">
                  <c:v>53.4</c:v>
                </c:pt>
                <c:pt idx="17">
                  <c:v>54.1</c:v>
                </c:pt>
                <c:pt idx="18">
                  <c:v>52.3</c:v>
                </c:pt>
                <c:pt idx="19">
                  <c:v>52.8</c:v>
                </c:pt>
                <c:pt idx="20">
                  <c:v>54.7</c:v>
                </c:pt>
                <c:pt idx="21">
                  <c:v>54.3</c:v>
                </c:pt>
                <c:pt idx="22">
                  <c:v>54.2</c:v>
                </c:pt>
                <c:pt idx="23">
                  <c:v>55</c:v>
                </c:pt>
                <c:pt idx="24">
                  <c:v>55.8</c:v>
                </c:pt>
                <c:pt idx="25">
                  <c:v>53.8</c:v>
                </c:pt>
                <c:pt idx="26">
                  <c:v>52.1</c:v>
                </c:pt>
                <c:pt idx="27">
                  <c:v>57.5</c:v>
                </c:pt>
                <c:pt idx="28">
                  <c:v>54.2</c:v>
                </c:pt>
                <c:pt idx="29">
                  <c:v>51.4</c:v>
                </c:pt>
                <c:pt idx="30">
                  <c:v>50.7</c:v>
                </c:pt>
                <c:pt idx="31">
                  <c:v>53.6</c:v>
                </c:pt>
                <c:pt idx="32">
                  <c:v>51.7</c:v>
                </c:pt>
                <c:pt idx="33">
                  <c:v>47.9</c:v>
                </c:pt>
                <c:pt idx="34">
                  <c:v>47.6</c:v>
                </c:pt>
                <c:pt idx="35">
                  <c:v>44.6</c:v>
                </c:pt>
                <c:pt idx="36">
                  <c:v>47.1</c:v>
                </c:pt>
                <c:pt idx="37">
                  <c:v>47.2</c:v>
                </c:pt>
                <c:pt idx="38">
                  <c:v>47.9</c:v>
                </c:pt>
                <c:pt idx="39">
                  <c:v>48.3</c:v>
                </c:pt>
                <c:pt idx="40">
                  <c:v>48.8</c:v>
                </c:pt>
                <c:pt idx="41">
                  <c:v>47.5</c:v>
                </c:pt>
                <c:pt idx="42">
                  <c:v>48.5</c:v>
                </c:pt>
                <c:pt idx="43">
                  <c:v>50.7</c:v>
                </c:pt>
                <c:pt idx="44">
                  <c:v>54.4</c:v>
                </c:pt>
                <c:pt idx="45">
                  <c:v>52.2</c:v>
                </c:pt>
                <c:pt idx="46">
                  <c:v>50.6</c:v>
                </c:pt>
                <c:pt idx="47">
                  <c:v>51.6</c:v>
                </c:pt>
                <c:pt idx="48">
                  <c:v>50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B-4E43-A85A-DFE7BD6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219648"/>
        <c:axId val="392229632"/>
      </c:lineChart>
      <c:dateAx>
        <c:axId val="39221964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229632"/>
        <c:crossesAt val="50"/>
        <c:auto val="1"/>
        <c:lblOffset val="100"/>
        <c:baseTimeUnit val="months"/>
        <c:majorUnit val="1"/>
        <c:majorTimeUnit val="years"/>
      </c:dateAx>
      <c:valAx>
        <c:axId val="392229632"/>
        <c:scaling>
          <c:orientation val="minMax"/>
          <c:max val="64"/>
          <c:min val="38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219648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97E-2"/>
          <c:y val="0.76045636133995953"/>
          <c:w val="0.14479708112060402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India Service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IN!$B$40</c:f>
              <c:strCache>
                <c:ptCount val="1"/>
                <c:pt idx="0">
                  <c:v>India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IN!$B$41:$B$239</c:f>
              <c:numCache>
                <c:formatCode>0.0</c:formatCode>
                <c:ptCount val="199"/>
                <c:pt idx="0">
                  <c:v>58.4</c:v>
                </c:pt>
                <c:pt idx="1">
                  <c:v>61.3</c:v>
                </c:pt>
                <c:pt idx="2">
                  <c:v>62.1</c:v>
                </c:pt>
                <c:pt idx="3">
                  <c:v>59.4</c:v>
                </c:pt>
                <c:pt idx="4">
                  <c:v>61</c:v>
                </c:pt>
                <c:pt idx="5">
                  <c:v>60</c:v>
                </c:pt>
                <c:pt idx="6">
                  <c:v>59.2</c:v>
                </c:pt>
                <c:pt idx="7">
                  <c:v>57.7</c:v>
                </c:pt>
                <c:pt idx="8">
                  <c:v>56.1</c:v>
                </c:pt>
                <c:pt idx="9">
                  <c:v>58.2</c:v>
                </c:pt>
                <c:pt idx="10">
                  <c:v>56.7</c:v>
                </c:pt>
                <c:pt idx="11">
                  <c:v>49.8</c:v>
                </c:pt>
                <c:pt idx="12">
                  <c:v>49.1</c:v>
                </c:pt>
                <c:pt idx="13">
                  <c:v>53.2</c:v>
                </c:pt>
                <c:pt idx="14">
                  <c:v>54.2</c:v>
                </c:pt>
                <c:pt idx="15">
                  <c:v>55.1</c:v>
                </c:pt>
                <c:pt idx="16">
                  <c:v>53.4</c:v>
                </c:pt>
                <c:pt idx="17">
                  <c:v>54.1</c:v>
                </c:pt>
                <c:pt idx="18">
                  <c:v>52.3</c:v>
                </c:pt>
                <c:pt idx="19">
                  <c:v>52.8</c:v>
                </c:pt>
                <c:pt idx="20">
                  <c:v>54.7</c:v>
                </c:pt>
                <c:pt idx="21">
                  <c:v>54.3</c:v>
                </c:pt>
                <c:pt idx="22">
                  <c:v>54.2</c:v>
                </c:pt>
                <c:pt idx="23">
                  <c:v>55</c:v>
                </c:pt>
                <c:pt idx="24">
                  <c:v>55.8</c:v>
                </c:pt>
                <c:pt idx="25">
                  <c:v>53.8</c:v>
                </c:pt>
                <c:pt idx="26">
                  <c:v>52.1</c:v>
                </c:pt>
                <c:pt idx="27">
                  <c:v>57.5</c:v>
                </c:pt>
                <c:pt idx="28">
                  <c:v>54.2</c:v>
                </c:pt>
                <c:pt idx="29">
                  <c:v>51.4</c:v>
                </c:pt>
                <c:pt idx="30">
                  <c:v>50.7</c:v>
                </c:pt>
                <c:pt idx="31">
                  <c:v>53.6</c:v>
                </c:pt>
                <c:pt idx="32">
                  <c:v>51.7</c:v>
                </c:pt>
                <c:pt idx="33">
                  <c:v>47.9</c:v>
                </c:pt>
                <c:pt idx="34">
                  <c:v>47.6</c:v>
                </c:pt>
                <c:pt idx="35">
                  <c:v>44.6</c:v>
                </c:pt>
                <c:pt idx="36">
                  <c:v>47.1</c:v>
                </c:pt>
                <c:pt idx="37">
                  <c:v>47.2</c:v>
                </c:pt>
                <c:pt idx="38">
                  <c:v>47.9</c:v>
                </c:pt>
                <c:pt idx="39">
                  <c:v>48.3</c:v>
                </c:pt>
                <c:pt idx="40">
                  <c:v>48.8</c:v>
                </c:pt>
                <c:pt idx="41">
                  <c:v>47.5</c:v>
                </c:pt>
                <c:pt idx="42">
                  <c:v>48.5</c:v>
                </c:pt>
                <c:pt idx="43">
                  <c:v>50.7</c:v>
                </c:pt>
                <c:pt idx="44">
                  <c:v>54.4</c:v>
                </c:pt>
                <c:pt idx="45">
                  <c:v>52.2</c:v>
                </c:pt>
                <c:pt idx="46">
                  <c:v>50.6</c:v>
                </c:pt>
                <c:pt idx="47">
                  <c:v>51.6</c:v>
                </c:pt>
                <c:pt idx="48">
                  <c:v>50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A-4265-8CA0-00BF4307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340224"/>
        <c:axId val="392341760"/>
      </c:areaChart>
      <c:barChart>
        <c:barDir val="col"/>
        <c:grouping val="clustered"/>
        <c:varyColors val="0"/>
        <c:ser>
          <c:idx val="2"/>
          <c:order val="2"/>
          <c:tx>
            <c:strRef>
              <c:f>IN!$D$40</c:f>
              <c:strCache>
                <c:ptCount val="1"/>
                <c:pt idx="0">
                  <c:v>India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IN!$D$41:$D$239</c:f>
              <c:numCache>
                <c:formatCode>0.0%</c:formatCode>
                <c:ptCount val="199"/>
                <c:pt idx="2">
                  <c:v>2.3E-2</c:v>
                </c:pt>
                <c:pt idx="5">
                  <c:v>1.9E-2</c:v>
                </c:pt>
                <c:pt idx="8">
                  <c:v>1.6E-2</c:v>
                </c:pt>
                <c:pt idx="11">
                  <c:v>1.0999999999999999E-2</c:v>
                </c:pt>
                <c:pt idx="14">
                  <c:v>1.0999999999999999E-2</c:v>
                </c:pt>
                <c:pt idx="17">
                  <c:v>1.2999999999999999E-2</c:v>
                </c:pt>
                <c:pt idx="20">
                  <c:v>1.4E-2</c:v>
                </c:pt>
                <c:pt idx="23">
                  <c:v>7.0000000000000001E-3</c:v>
                </c:pt>
                <c:pt idx="26">
                  <c:v>1.4999999999999999E-2</c:v>
                </c:pt>
                <c:pt idx="29">
                  <c:v>0.01</c:v>
                </c:pt>
                <c:pt idx="32">
                  <c:v>7.0000000000000001E-3</c:v>
                </c:pt>
                <c:pt idx="35">
                  <c:v>1.7999999999999999E-2</c:v>
                </c:pt>
                <c:pt idx="38">
                  <c:v>0.01</c:v>
                </c:pt>
                <c:pt idx="41" formatCode="0.00%">
                  <c:v>2.1000000000000001E-2</c:v>
                </c:pt>
                <c:pt idx="44">
                  <c:v>2.4899999999999999E-2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A-4265-8CA0-00BF4307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2349184"/>
        <c:axId val="39234764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IN!$B$41:$B$239</c:f>
              <c:numCache>
                <c:formatCode>0.0</c:formatCode>
                <c:ptCount val="199"/>
                <c:pt idx="0">
                  <c:v>58.4</c:v>
                </c:pt>
                <c:pt idx="1">
                  <c:v>61.3</c:v>
                </c:pt>
                <c:pt idx="2">
                  <c:v>62.1</c:v>
                </c:pt>
                <c:pt idx="3">
                  <c:v>59.4</c:v>
                </c:pt>
                <c:pt idx="4">
                  <c:v>61</c:v>
                </c:pt>
                <c:pt idx="5">
                  <c:v>60</c:v>
                </c:pt>
                <c:pt idx="6">
                  <c:v>59.2</c:v>
                </c:pt>
                <c:pt idx="7">
                  <c:v>57.7</c:v>
                </c:pt>
                <c:pt idx="8">
                  <c:v>56.1</c:v>
                </c:pt>
                <c:pt idx="9">
                  <c:v>58.2</c:v>
                </c:pt>
                <c:pt idx="10">
                  <c:v>56.7</c:v>
                </c:pt>
                <c:pt idx="11">
                  <c:v>49.8</c:v>
                </c:pt>
                <c:pt idx="12">
                  <c:v>49.1</c:v>
                </c:pt>
                <c:pt idx="13">
                  <c:v>53.2</c:v>
                </c:pt>
                <c:pt idx="14">
                  <c:v>54.2</c:v>
                </c:pt>
                <c:pt idx="15">
                  <c:v>55.1</c:v>
                </c:pt>
                <c:pt idx="16">
                  <c:v>53.4</c:v>
                </c:pt>
                <c:pt idx="17">
                  <c:v>54.1</c:v>
                </c:pt>
                <c:pt idx="18">
                  <c:v>52.3</c:v>
                </c:pt>
                <c:pt idx="19">
                  <c:v>52.8</c:v>
                </c:pt>
                <c:pt idx="20">
                  <c:v>54.7</c:v>
                </c:pt>
                <c:pt idx="21">
                  <c:v>54.3</c:v>
                </c:pt>
                <c:pt idx="22">
                  <c:v>54.2</c:v>
                </c:pt>
                <c:pt idx="23">
                  <c:v>55</c:v>
                </c:pt>
                <c:pt idx="24">
                  <c:v>55.8</c:v>
                </c:pt>
                <c:pt idx="25">
                  <c:v>53.8</c:v>
                </c:pt>
                <c:pt idx="26">
                  <c:v>52.1</c:v>
                </c:pt>
                <c:pt idx="27">
                  <c:v>57.5</c:v>
                </c:pt>
                <c:pt idx="28">
                  <c:v>54.2</c:v>
                </c:pt>
                <c:pt idx="29">
                  <c:v>51.4</c:v>
                </c:pt>
                <c:pt idx="30">
                  <c:v>50.7</c:v>
                </c:pt>
                <c:pt idx="31">
                  <c:v>53.6</c:v>
                </c:pt>
                <c:pt idx="32">
                  <c:v>51.7</c:v>
                </c:pt>
                <c:pt idx="33">
                  <c:v>47.9</c:v>
                </c:pt>
                <c:pt idx="34">
                  <c:v>47.6</c:v>
                </c:pt>
                <c:pt idx="35">
                  <c:v>44.6</c:v>
                </c:pt>
                <c:pt idx="36">
                  <c:v>47.1</c:v>
                </c:pt>
                <c:pt idx="37">
                  <c:v>47.2</c:v>
                </c:pt>
                <c:pt idx="38">
                  <c:v>47.9</c:v>
                </c:pt>
                <c:pt idx="39">
                  <c:v>48.3</c:v>
                </c:pt>
                <c:pt idx="40">
                  <c:v>48.8</c:v>
                </c:pt>
                <c:pt idx="41">
                  <c:v>47.5</c:v>
                </c:pt>
                <c:pt idx="42">
                  <c:v>48.5</c:v>
                </c:pt>
                <c:pt idx="43">
                  <c:v>50.7</c:v>
                </c:pt>
                <c:pt idx="44">
                  <c:v>54.4</c:v>
                </c:pt>
                <c:pt idx="45">
                  <c:v>52.2</c:v>
                </c:pt>
                <c:pt idx="46">
                  <c:v>50.6</c:v>
                </c:pt>
                <c:pt idx="47">
                  <c:v>51.6</c:v>
                </c:pt>
                <c:pt idx="48">
                  <c:v>50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A-4265-8CA0-00BF4307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340224"/>
        <c:axId val="392341760"/>
      </c:lineChart>
      <c:dateAx>
        <c:axId val="3923402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341760"/>
        <c:crossesAt val="50"/>
        <c:auto val="1"/>
        <c:lblOffset val="100"/>
        <c:baseTimeUnit val="months"/>
        <c:majorUnit val="1"/>
        <c:majorTimeUnit val="years"/>
      </c:dateAx>
      <c:valAx>
        <c:axId val="392341760"/>
        <c:scaling>
          <c:orientation val="minMax"/>
          <c:max val="66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340224"/>
        <c:crosses val="autoZero"/>
        <c:crossBetween val="between"/>
        <c:majorUnit val="4"/>
      </c:valAx>
      <c:valAx>
        <c:axId val="392347648"/>
        <c:scaling>
          <c:orientation val="minMax"/>
          <c:max val="4.0000000000000015E-2"/>
          <c:min val="-2.0000000000000007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chemeClr val="bg1"/>
                </a:solidFill>
              </a:defRPr>
            </a:pPr>
            <a:endParaRPr lang="en-US"/>
          </a:p>
        </c:txPr>
        <c:crossAx val="392349184"/>
        <c:crosses val="max"/>
        <c:crossBetween val="between"/>
        <c:majorUnit val="1.0000000000000004E-2"/>
      </c:valAx>
      <c:catAx>
        <c:axId val="392349184"/>
        <c:scaling>
          <c:orientation val="minMax"/>
        </c:scaling>
        <c:delete val="1"/>
        <c:axPos val="b"/>
        <c:majorTickMark val="out"/>
        <c:minorTickMark val="none"/>
        <c:tickLblPos val="none"/>
        <c:crossAx val="39234764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97E-2"/>
          <c:y val="0.76045636133995953"/>
          <c:w val="0.1731267704359696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Russia</a:t>
            </a:r>
            <a:r>
              <a:rPr lang="en-US" baseline="0"/>
              <a:t> Service</a:t>
            </a:r>
            <a:r>
              <a:rPr lang="en-US"/>
              <a:t> PMI</a:t>
            </a:r>
            <a:r>
              <a:rPr lang="en-US" baseline="0"/>
              <a:t> 2002-2014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RS!$B$40</c:f>
              <c:strCache>
                <c:ptCount val="1"/>
                <c:pt idx="0">
                  <c:v>Russia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RS!$A$41:$A$239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RS!$B$41:$B$239</c:f>
              <c:numCache>
                <c:formatCode>0.0</c:formatCode>
                <c:ptCount val="199"/>
                <c:pt idx="0">
                  <c:v>54.7</c:v>
                </c:pt>
                <c:pt idx="1">
                  <c:v>54.1</c:v>
                </c:pt>
                <c:pt idx="2">
                  <c:v>53.4</c:v>
                </c:pt>
                <c:pt idx="3">
                  <c:v>52.4</c:v>
                </c:pt>
                <c:pt idx="4">
                  <c:v>53.4</c:v>
                </c:pt>
                <c:pt idx="5">
                  <c:v>53.3</c:v>
                </c:pt>
                <c:pt idx="6">
                  <c:v>55.8</c:v>
                </c:pt>
                <c:pt idx="7">
                  <c:v>57.6</c:v>
                </c:pt>
                <c:pt idx="8">
                  <c:v>55.1</c:v>
                </c:pt>
                <c:pt idx="9">
                  <c:v>56.9</c:v>
                </c:pt>
                <c:pt idx="10">
                  <c:v>55.1</c:v>
                </c:pt>
                <c:pt idx="11">
                  <c:v>53.3</c:v>
                </c:pt>
                <c:pt idx="12">
                  <c:v>53.5</c:v>
                </c:pt>
                <c:pt idx="13">
                  <c:v>54.8</c:v>
                </c:pt>
                <c:pt idx="14">
                  <c:v>53.8</c:v>
                </c:pt>
                <c:pt idx="15">
                  <c:v>56.5</c:v>
                </c:pt>
                <c:pt idx="16">
                  <c:v>55.3</c:v>
                </c:pt>
                <c:pt idx="17">
                  <c:v>54.4</c:v>
                </c:pt>
                <c:pt idx="18">
                  <c:v>52.6</c:v>
                </c:pt>
                <c:pt idx="19">
                  <c:v>54.9</c:v>
                </c:pt>
                <c:pt idx="20">
                  <c:v>53.2</c:v>
                </c:pt>
                <c:pt idx="21">
                  <c:v>52</c:v>
                </c:pt>
                <c:pt idx="22">
                  <c:v>52.6</c:v>
                </c:pt>
                <c:pt idx="23">
                  <c:v>54.5</c:v>
                </c:pt>
                <c:pt idx="24">
                  <c:v>57.3</c:v>
                </c:pt>
                <c:pt idx="25">
                  <c:v>57.1</c:v>
                </c:pt>
                <c:pt idx="26">
                  <c:v>56.1</c:v>
                </c:pt>
                <c:pt idx="27">
                  <c:v>55.7</c:v>
                </c:pt>
                <c:pt idx="28">
                  <c:v>56.1</c:v>
                </c:pt>
                <c:pt idx="29">
                  <c:v>54.6</c:v>
                </c:pt>
                <c:pt idx="30">
                  <c:v>53</c:v>
                </c:pt>
                <c:pt idx="31">
                  <c:v>51.4</c:v>
                </c:pt>
                <c:pt idx="32">
                  <c:v>48.8</c:v>
                </c:pt>
                <c:pt idx="33">
                  <c:v>48.7</c:v>
                </c:pt>
                <c:pt idx="34">
                  <c:v>51.8</c:v>
                </c:pt>
                <c:pt idx="35">
                  <c:v>51.5</c:v>
                </c:pt>
                <c:pt idx="36">
                  <c:v>52.5</c:v>
                </c:pt>
                <c:pt idx="37">
                  <c:v>52.9</c:v>
                </c:pt>
                <c:pt idx="38">
                  <c:v>51.4</c:v>
                </c:pt>
                <c:pt idx="39">
                  <c:v>50.2</c:v>
                </c:pt>
                <c:pt idx="40">
                  <c:v>50.8</c:v>
                </c:pt>
                <c:pt idx="41">
                  <c:v>47.7</c:v>
                </c:pt>
                <c:pt idx="42">
                  <c:v>46.8</c:v>
                </c:pt>
                <c:pt idx="43">
                  <c:v>46.1</c:v>
                </c:pt>
                <c:pt idx="44">
                  <c:v>49.8</c:v>
                </c:pt>
                <c:pt idx="45">
                  <c:v>49.7</c:v>
                </c:pt>
                <c:pt idx="46">
                  <c:v>50.3</c:v>
                </c:pt>
                <c:pt idx="47">
                  <c:v>50.5</c:v>
                </c:pt>
                <c:pt idx="48">
                  <c:v>47.4</c:v>
                </c:pt>
                <c:pt idx="49">
                  <c:v>44.5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4-4FE3-B8BF-2E029F1F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498560"/>
        <c:axId val="392504448"/>
      </c:area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RS!$B$41:$B$239</c:f>
              <c:numCache>
                <c:formatCode>0.0</c:formatCode>
                <c:ptCount val="199"/>
                <c:pt idx="0">
                  <c:v>54.7</c:v>
                </c:pt>
                <c:pt idx="1">
                  <c:v>54.1</c:v>
                </c:pt>
                <c:pt idx="2">
                  <c:v>53.4</c:v>
                </c:pt>
                <c:pt idx="3">
                  <c:v>52.4</c:v>
                </c:pt>
                <c:pt idx="4">
                  <c:v>53.4</c:v>
                </c:pt>
                <c:pt idx="5">
                  <c:v>53.3</c:v>
                </c:pt>
                <c:pt idx="6">
                  <c:v>55.8</c:v>
                </c:pt>
                <c:pt idx="7">
                  <c:v>57.6</c:v>
                </c:pt>
                <c:pt idx="8">
                  <c:v>55.1</c:v>
                </c:pt>
                <c:pt idx="9">
                  <c:v>56.9</c:v>
                </c:pt>
                <c:pt idx="10">
                  <c:v>55.1</c:v>
                </c:pt>
                <c:pt idx="11">
                  <c:v>53.3</c:v>
                </c:pt>
                <c:pt idx="12">
                  <c:v>53.5</c:v>
                </c:pt>
                <c:pt idx="13">
                  <c:v>54.8</c:v>
                </c:pt>
                <c:pt idx="14">
                  <c:v>53.8</c:v>
                </c:pt>
                <c:pt idx="15">
                  <c:v>56.5</c:v>
                </c:pt>
                <c:pt idx="16">
                  <c:v>55.3</c:v>
                </c:pt>
                <c:pt idx="17">
                  <c:v>54.4</c:v>
                </c:pt>
                <c:pt idx="18">
                  <c:v>52.6</c:v>
                </c:pt>
                <c:pt idx="19">
                  <c:v>54.9</c:v>
                </c:pt>
                <c:pt idx="20">
                  <c:v>53.2</c:v>
                </c:pt>
                <c:pt idx="21">
                  <c:v>52</c:v>
                </c:pt>
                <c:pt idx="22">
                  <c:v>52.6</c:v>
                </c:pt>
                <c:pt idx="23">
                  <c:v>54.5</c:v>
                </c:pt>
                <c:pt idx="24">
                  <c:v>57.3</c:v>
                </c:pt>
                <c:pt idx="25">
                  <c:v>57.1</c:v>
                </c:pt>
                <c:pt idx="26">
                  <c:v>56.1</c:v>
                </c:pt>
                <c:pt idx="27">
                  <c:v>55.7</c:v>
                </c:pt>
                <c:pt idx="28">
                  <c:v>56.1</c:v>
                </c:pt>
                <c:pt idx="29">
                  <c:v>54.6</c:v>
                </c:pt>
                <c:pt idx="30">
                  <c:v>53</c:v>
                </c:pt>
                <c:pt idx="31">
                  <c:v>51.4</c:v>
                </c:pt>
                <c:pt idx="32">
                  <c:v>48.8</c:v>
                </c:pt>
                <c:pt idx="33">
                  <c:v>48.7</c:v>
                </c:pt>
                <c:pt idx="34">
                  <c:v>51.8</c:v>
                </c:pt>
                <c:pt idx="35">
                  <c:v>51.5</c:v>
                </c:pt>
                <c:pt idx="36">
                  <c:v>52.5</c:v>
                </c:pt>
                <c:pt idx="37">
                  <c:v>52.9</c:v>
                </c:pt>
                <c:pt idx="38">
                  <c:v>51.4</c:v>
                </c:pt>
                <c:pt idx="39">
                  <c:v>50.2</c:v>
                </c:pt>
                <c:pt idx="40">
                  <c:v>50.8</c:v>
                </c:pt>
                <c:pt idx="41">
                  <c:v>47.7</c:v>
                </c:pt>
                <c:pt idx="42">
                  <c:v>46.8</c:v>
                </c:pt>
                <c:pt idx="43">
                  <c:v>46.1</c:v>
                </c:pt>
                <c:pt idx="44">
                  <c:v>49.8</c:v>
                </c:pt>
                <c:pt idx="45">
                  <c:v>49.7</c:v>
                </c:pt>
                <c:pt idx="46">
                  <c:v>50.3</c:v>
                </c:pt>
                <c:pt idx="47">
                  <c:v>50.5</c:v>
                </c:pt>
                <c:pt idx="48">
                  <c:v>47.4</c:v>
                </c:pt>
                <c:pt idx="49">
                  <c:v>44.5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4-4FE3-B8BF-2E029F1F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98560"/>
        <c:axId val="392504448"/>
      </c:lineChart>
      <c:dateAx>
        <c:axId val="39249856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504448"/>
        <c:crossesAt val="50"/>
        <c:auto val="1"/>
        <c:lblOffset val="100"/>
        <c:baseTimeUnit val="months"/>
        <c:majorUnit val="1"/>
        <c:majorTimeUnit val="years"/>
      </c:dateAx>
      <c:valAx>
        <c:axId val="392504448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498560"/>
        <c:crosses val="autoZero"/>
        <c:crossBetween val="between"/>
        <c:majorUnit val="6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72E-2"/>
          <c:y val="0.72120516185476802"/>
          <c:w val="0.14479708112060402"/>
          <c:h val="4.8948704781467511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Russia Service PMI</a:t>
            </a:r>
            <a:r>
              <a:rPr lang="en-US" baseline="0"/>
              <a:t> vs. GDP growth y/y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4"/>
        </c:manualLayout>
      </c:layout>
      <c:areaChart>
        <c:grouping val="standard"/>
        <c:varyColors val="0"/>
        <c:ser>
          <c:idx val="0"/>
          <c:order val="0"/>
          <c:tx>
            <c:strRef>
              <c:f>RS!$B$40</c:f>
              <c:strCache>
                <c:ptCount val="1"/>
                <c:pt idx="0">
                  <c:v>Russia Service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RS!$A$41:$A$239</c:f>
              <c:numCache>
                <c:formatCode>mmm\-yy</c:formatCode>
                <c:ptCount val="199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>
                  <c:v>42979</c:v>
                </c:pt>
                <c:pt idx="84">
                  <c:v>43009</c:v>
                </c:pt>
                <c:pt idx="85">
                  <c:v>43040</c:v>
                </c:pt>
                <c:pt idx="86">
                  <c:v>43070</c:v>
                </c:pt>
                <c:pt idx="87">
                  <c:v>43101</c:v>
                </c:pt>
                <c:pt idx="88">
                  <c:v>43132</c:v>
                </c:pt>
                <c:pt idx="89">
                  <c:v>43160</c:v>
                </c:pt>
                <c:pt idx="90">
                  <c:v>43191</c:v>
                </c:pt>
                <c:pt idx="91">
                  <c:v>43221</c:v>
                </c:pt>
                <c:pt idx="92">
                  <c:v>43252</c:v>
                </c:pt>
                <c:pt idx="93">
                  <c:v>43282</c:v>
                </c:pt>
                <c:pt idx="94">
                  <c:v>43313</c:v>
                </c:pt>
                <c:pt idx="95">
                  <c:v>43344</c:v>
                </c:pt>
                <c:pt idx="96">
                  <c:v>43374</c:v>
                </c:pt>
                <c:pt idx="97">
                  <c:v>43405</c:v>
                </c:pt>
                <c:pt idx="98">
                  <c:v>43435</c:v>
                </c:pt>
                <c:pt idx="99">
                  <c:v>43466</c:v>
                </c:pt>
                <c:pt idx="100">
                  <c:v>43497</c:v>
                </c:pt>
                <c:pt idx="101">
                  <c:v>43525</c:v>
                </c:pt>
                <c:pt idx="102">
                  <c:v>43556</c:v>
                </c:pt>
                <c:pt idx="103">
                  <c:v>43586</c:v>
                </c:pt>
                <c:pt idx="104">
                  <c:v>43617</c:v>
                </c:pt>
                <c:pt idx="105">
                  <c:v>43647</c:v>
                </c:pt>
                <c:pt idx="106">
                  <c:v>43678</c:v>
                </c:pt>
                <c:pt idx="107">
                  <c:v>43709</c:v>
                </c:pt>
                <c:pt idx="108">
                  <c:v>43739</c:v>
                </c:pt>
                <c:pt idx="109">
                  <c:v>43770</c:v>
                </c:pt>
                <c:pt idx="110">
                  <c:v>43800</c:v>
                </c:pt>
                <c:pt idx="111">
                  <c:v>43831</c:v>
                </c:pt>
                <c:pt idx="112">
                  <c:v>43862</c:v>
                </c:pt>
                <c:pt idx="113">
                  <c:v>43891</c:v>
                </c:pt>
                <c:pt idx="114">
                  <c:v>43922</c:v>
                </c:pt>
                <c:pt idx="115">
                  <c:v>43952</c:v>
                </c:pt>
                <c:pt idx="116">
                  <c:v>43983</c:v>
                </c:pt>
                <c:pt idx="117">
                  <c:v>44013</c:v>
                </c:pt>
                <c:pt idx="118">
                  <c:v>44044</c:v>
                </c:pt>
                <c:pt idx="119">
                  <c:v>44075</c:v>
                </c:pt>
                <c:pt idx="120">
                  <c:v>44105</c:v>
                </c:pt>
                <c:pt idx="121">
                  <c:v>44136</c:v>
                </c:pt>
                <c:pt idx="122">
                  <c:v>44166</c:v>
                </c:pt>
                <c:pt idx="123">
                  <c:v>44197</c:v>
                </c:pt>
                <c:pt idx="124">
                  <c:v>44228</c:v>
                </c:pt>
                <c:pt idx="125">
                  <c:v>44256</c:v>
                </c:pt>
                <c:pt idx="126">
                  <c:v>44287</c:v>
                </c:pt>
                <c:pt idx="127">
                  <c:v>44317</c:v>
                </c:pt>
                <c:pt idx="128">
                  <c:v>44348</c:v>
                </c:pt>
                <c:pt idx="129">
                  <c:v>44378</c:v>
                </c:pt>
                <c:pt idx="130">
                  <c:v>44409</c:v>
                </c:pt>
                <c:pt idx="131">
                  <c:v>44440</c:v>
                </c:pt>
                <c:pt idx="132">
                  <c:v>44470</c:v>
                </c:pt>
                <c:pt idx="133">
                  <c:v>44501</c:v>
                </c:pt>
                <c:pt idx="134">
                  <c:v>44531</c:v>
                </c:pt>
                <c:pt idx="135">
                  <c:v>44562</c:v>
                </c:pt>
                <c:pt idx="136">
                  <c:v>44593</c:v>
                </c:pt>
                <c:pt idx="137">
                  <c:v>44621</c:v>
                </c:pt>
                <c:pt idx="138">
                  <c:v>44652</c:v>
                </c:pt>
                <c:pt idx="139">
                  <c:v>44682</c:v>
                </c:pt>
                <c:pt idx="140">
                  <c:v>44713</c:v>
                </c:pt>
                <c:pt idx="141">
                  <c:v>44743</c:v>
                </c:pt>
                <c:pt idx="142">
                  <c:v>44774</c:v>
                </c:pt>
                <c:pt idx="143">
                  <c:v>44805</c:v>
                </c:pt>
                <c:pt idx="144">
                  <c:v>44835</c:v>
                </c:pt>
                <c:pt idx="145">
                  <c:v>44866</c:v>
                </c:pt>
                <c:pt idx="146">
                  <c:v>44896</c:v>
                </c:pt>
                <c:pt idx="147">
                  <c:v>44927</c:v>
                </c:pt>
                <c:pt idx="148">
                  <c:v>44958</c:v>
                </c:pt>
                <c:pt idx="149">
                  <c:v>44986</c:v>
                </c:pt>
                <c:pt idx="150">
                  <c:v>45017</c:v>
                </c:pt>
                <c:pt idx="151">
                  <c:v>45047</c:v>
                </c:pt>
                <c:pt idx="152">
                  <c:v>45078</c:v>
                </c:pt>
                <c:pt idx="153">
                  <c:v>45108</c:v>
                </c:pt>
                <c:pt idx="154">
                  <c:v>45139</c:v>
                </c:pt>
                <c:pt idx="155">
                  <c:v>45170</c:v>
                </c:pt>
                <c:pt idx="156">
                  <c:v>45200</c:v>
                </c:pt>
                <c:pt idx="157">
                  <c:v>45231</c:v>
                </c:pt>
                <c:pt idx="158">
                  <c:v>45261</c:v>
                </c:pt>
                <c:pt idx="159">
                  <c:v>45292</c:v>
                </c:pt>
                <c:pt idx="160">
                  <c:v>45323</c:v>
                </c:pt>
                <c:pt idx="161">
                  <c:v>45352</c:v>
                </c:pt>
                <c:pt idx="162">
                  <c:v>45383</c:v>
                </c:pt>
                <c:pt idx="163">
                  <c:v>45413</c:v>
                </c:pt>
                <c:pt idx="164">
                  <c:v>45444</c:v>
                </c:pt>
                <c:pt idx="165">
                  <c:v>45474</c:v>
                </c:pt>
                <c:pt idx="166">
                  <c:v>45505</c:v>
                </c:pt>
                <c:pt idx="167">
                  <c:v>45536</c:v>
                </c:pt>
                <c:pt idx="168">
                  <c:v>45566</c:v>
                </c:pt>
                <c:pt idx="169">
                  <c:v>45597</c:v>
                </c:pt>
                <c:pt idx="170">
                  <c:v>45627</c:v>
                </c:pt>
                <c:pt idx="171">
                  <c:v>45658</c:v>
                </c:pt>
                <c:pt idx="172">
                  <c:v>45689</c:v>
                </c:pt>
                <c:pt idx="173">
                  <c:v>45717</c:v>
                </c:pt>
                <c:pt idx="174">
                  <c:v>45748</c:v>
                </c:pt>
                <c:pt idx="175">
                  <c:v>45778</c:v>
                </c:pt>
                <c:pt idx="176">
                  <c:v>45809</c:v>
                </c:pt>
                <c:pt idx="177">
                  <c:v>45839</c:v>
                </c:pt>
                <c:pt idx="178">
                  <c:v>45870</c:v>
                </c:pt>
                <c:pt idx="179">
                  <c:v>45901</c:v>
                </c:pt>
                <c:pt idx="180">
                  <c:v>45931</c:v>
                </c:pt>
                <c:pt idx="181">
                  <c:v>45962</c:v>
                </c:pt>
                <c:pt idx="182">
                  <c:v>45992</c:v>
                </c:pt>
                <c:pt idx="183">
                  <c:v>46023</c:v>
                </c:pt>
                <c:pt idx="184">
                  <c:v>46054</c:v>
                </c:pt>
                <c:pt idx="185">
                  <c:v>46082</c:v>
                </c:pt>
                <c:pt idx="186">
                  <c:v>46113</c:v>
                </c:pt>
                <c:pt idx="187">
                  <c:v>46143</c:v>
                </c:pt>
              </c:numCache>
            </c:numRef>
          </c:cat>
          <c:val>
            <c:numRef>
              <c:f>RS!$B$41:$B$239</c:f>
              <c:numCache>
                <c:formatCode>0.0</c:formatCode>
                <c:ptCount val="199"/>
                <c:pt idx="0">
                  <c:v>54.7</c:v>
                </c:pt>
                <c:pt idx="1">
                  <c:v>54.1</c:v>
                </c:pt>
                <c:pt idx="2">
                  <c:v>53.4</c:v>
                </c:pt>
                <c:pt idx="3">
                  <c:v>52.4</c:v>
                </c:pt>
                <c:pt idx="4">
                  <c:v>53.4</c:v>
                </c:pt>
                <c:pt idx="5">
                  <c:v>53.3</c:v>
                </c:pt>
                <c:pt idx="6">
                  <c:v>55.8</c:v>
                </c:pt>
                <c:pt idx="7">
                  <c:v>57.6</c:v>
                </c:pt>
                <c:pt idx="8">
                  <c:v>55.1</c:v>
                </c:pt>
                <c:pt idx="9">
                  <c:v>56.9</c:v>
                </c:pt>
                <c:pt idx="10">
                  <c:v>55.1</c:v>
                </c:pt>
                <c:pt idx="11">
                  <c:v>53.3</c:v>
                </c:pt>
                <c:pt idx="12">
                  <c:v>53.5</c:v>
                </c:pt>
                <c:pt idx="13">
                  <c:v>54.8</c:v>
                </c:pt>
                <c:pt idx="14">
                  <c:v>53.8</c:v>
                </c:pt>
                <c:pt idx="15">
                  <c:v>56.5</c:v>
                </c:pt>
                <c:pt idx="16">
                  <c:v>55.3</c:v>
                </c:pt>
                <c:pt idx="17">
                  <c:v>54.4</c:v>
                </c:pt>
                <c:pt idx="18">
                  <c:v>52.6</c:v>
                </c:pt>
                <c:pt idx="19">
                  <c:v>54.9</c:v>
                </c:pt>
                <c:pt idx="20">
                  <c:v>53.2</c:v>
                </c:pt>
                <c:pt idx="21">
                  <c:v>52</c:v>
                </c:pt>
                <c:pt idx="22">
                  <c:v>52.6</c:v>
                </c:pt>
                <c:pt idx="23">
                  <c:v>54.5</c:v>
                </c:pt>
                <c:pt idx="24">
                  <c:v>57.3</c:v>
                </c:pt>
                <c:pt idx="25">
                  <c:v>57.1</c:v>
                </c:pt>
                <c:pt idx="26">
                  <c:v>56.1</c:v>
                </c:pt>
                <c:pt idx="27">
                  <c:v>55.7</c:v>
                </c:pt>
                <c:pt idx="28">
                  <c:v>56.1</c:v>
                </c:pt>
                <c:pt idx="29">
                  <c:v>54.6</c:v>
                </c:pt>
                <c:pt idx="30">
                  <c:v>53</c:v>
                </c:pt>
                <c:pt idx="31">
                  <c:v>51.4</c:v>
                </c:pt>
                <c:pt idx="32">
                  <c:v>48.8</c:v>
                </c:pt>
                <c:pt idx="33">
                  <c:v>48.7</c:v>
                </c:pt>
                <c:pt idx="34">
                  <c:v>51.8</c:v>
                </c:pt>
                <c:pt idx="35">
                  <c:v>51.5</c:v>
                </c:pt>
                <c:pt idx="36">
                  <c:v>52.5</c:v>
                </c:pt>
                <c:pt idx="37">
                  <c:v>52.9</c:v>
                </c:pt>
                <c:pt idx="38">
                  <c:v>51.4</c:v>
                </c:pt>
                <c:pt idx="39">
                  <c:v>50.2</c:v>
                </c:pt>
                <c:pt idx="40">
                  <c:v>50.8</c:v>
                </c:pt>
                <c:pt idx="41">
                  <c:v>47.7</c:v>
                </c:pt>
                <c:pt idx="42">
                  <c:v>46.8</c:v>
                </c:pt>
                <c:pt idx="43">
                  <c:v>46.1</c:v>
                </c:pt>
                <c:pt idx="44">
                  <c:v>49.8</c:v>
                </c:pt>
                <c:pt idx="45">
                  <c:v>49.7</c:v>
                </c:pt>
                <c:pt idx="46">
                  <c:v>50.3</c:v>
                </c:pt>
                <c:pt idx="47">
                  <c:v>50.5</c:v>
                </c:pt>
                <c:pt idx="48">
                  <c:v>47.4</c:v>
                </c:pt>
                <c:pt idx="49">
                  <c:v>44.5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128-B299-0E13D242B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549504"/>
        <c:axId val="392551040"/>
      </c:areaChart>
      <c:barChart>
        <c:barDir val="col"/>
        <c:grouping val="clustered"/>
        <c:varyColors val="0"/>
        <c:ser>
          <c:idx val="2"/>
          <c:order val="2"/>
          <c:tx>
            <c:strRef>
              <c:f>RS!$D$40</c:f>
              <c:strCache>
                <c:ptCount val="1"/>
                <c:pt idx="0">
                  <c:v>Russian GDP Growth q/q</c:v>
                </c:pt>
              </c:strCache>
            </c:strRef>
          </c:tx>
          <c:spPr>
            <a:solidFill>
              <a:srgbClr val="FF0000">
                <a:alpha val="85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RS!$D$41:$D$239</c:f>
              <c:numCache>
                <c:formatCode>0.0%</c:formatCode>
                <c:ptCount val="199"/>
                <c:pt idx="2">
                  <c:v>0.01</c:v>
                </c:pt>
                <c:pt idx="5">
                  <c:v>8.9999999999999993E-3</c:v>
                </c:pt>
                <c:pt idx="8">
                  <c:v>1.2999999999999999E-2</c:v>
                </c:pt>
                <c:pt idx="11">
                  <c:v>1.4E-2</c:v>
                </c:pt>
                <c:pt idx="14">
                  <c:v>1.4999999999999999E-2</c:v>
                </c:pt>
                <c:pt idx="17">
                  <c:v>8.0000000000000002E-3</c:v>
                </c:pt>
                <c:pt idx="20">
                  <c:v>6.0000000000000001E-3</c:v>
                </c:pt>
                <c:pt idx="23">
                  <c:v>3.0000000000000001E-3</c:v>
                </c:pt>
                <c:pt idx="26">
                  <c:v>-1E-3</c:v>
                </c:pt>
                <c:pt idx="29">
                  <c:v>2E-3</c:v>
                </c:pt>
                <c:pt idx="32">
                  <c:v>4.0000000000000001E-3</c:v>
                </c:pt>
                <c:pt idx="35">
                  <c:v>6.0000000000000001E-3</c:v>
                </c:pt>
                <c:pt idx="38">
                  <c:v>8.9999999999999993E-3</c:v>
                </c:pt>
                <c:pt idx="41">
                  <c:v>-5.0000000000000001E-3</c:v>
                </c:pt>
                <c:pt idx="44">
                  <c:v>2.5000000000000001E-3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8-4128-B299-0E13D242B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2628096"/>
        <c:axId val="39262656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RS!$B$41:$B$239</c:f>
              <c:numCache>
                <c:formatCode>0.0</c:formatCode>
                <c:ptCount val="199"/>
                <c:pt idx="0">
                  <c:v>54.7</c:v>
                </c:pt>
                <c:pt idx="1">
                  <c:v>54.1</c:v>
                </c:pt>
                <c:pt idx="2">
                  <c:v>53.4</c:v>
                </c:pt>
                <c:pt idx="3">
                  <c:v>52.4</c:v>
                </c:pt>
                <c:pt idx="4">
                  <c:v>53.4</c:v>
                </c:pt>
                <c:pt idx="5">
                  <c:v>53.3</c:v>
                </c:pt>
                <c:pt idx="6">
                  <c:v>55.8</c:v>
                </c:pt>
                <c:pt idx="7">
                  <c:v>57.6</c:v>
                </c:pt>
                <c:pt idx="8">
                  <c:v>55.1</c:v>
                </c:pt>
                <c:pt idx="9">
                  <c:v>56.9</c:v>
                </c:pt>
                <c:pt idx="10">
                  <c:v>55.1</c:v>
                </c:pt>
                <c:pt idx="11">
                  <c:v>53.3</c:v>
                </c:pt>
                <c:pt idx="12">
                  <c:v>53.5</c:v>
                </c:pt>
                <c:pt idx="13">
                  <c:v>54.8</c:v>
                </c:pt>
                <c:pt idx="14">
                  <c:v>53.8</c:v>
                </c:pt>
                <c:pt idx="15">
                  <c:v>56.5</c:v>
                </c:pt>
                <c:pt idx="16">
                  <c:v>55.3</c:v>
                </c:pt>
                <c:pt idx="17">
                  <c:v>54.4</c:v>
                </c:pt>
                <c:pt idx="18">
                  <c:v>52.6</c:v>
                </c:pt>
                <c:pt idx="19">
                  <c:v>54.9</c:v>
                </c:pt>
                <c:pt idx="20">
                  <c:v>53.2</c:v>
                </c:pt>
                <c:pt idx="21">
                  <c:v>52</c:v>
                </c:pt>
                <c:pt idx="22">
                  <c:v>52.6</c:v>
                </c:pt>
                <c:pt idx="23">
                  <c:v>54.5</c:v>
                </c:pt>
                <c:pt idx="24">
                  <c:v>57.3</c:v>
                </c:pt>
                <c:pt idx="25">
                  <c:v>57.1</c:v>
                </c:pt>
                <c:pt idx="26">
                  <c:v>56.1</c:v>
                </c:pt>
                <c:pt idx="27">
                  <c:v>55.7</c:v>
                </c:pt>
                <c:pt idx="28">
                  <c:v>56.1</c:v>
                </c:pt>
                <c:pt idx="29">
                  <c:v>54.6</c:v>
                </c:pt>
                <c:pt idx="30">
                  <c:v>53</c:v>
                </c:pt>
                <c:pt idx="31">
                  <c:v>51.4</c:v>
                </c:pt>
                <c:pt idx="32">
                  <c:v>48.8</c:v>
                </c:pt>
                <c:pt idx="33">
                  <c:v>48.7</c:v>
                </c:pt>
                <c:pt idx="34">
                  <c:v>51.8</c:v>
                </c:pt>
                <c:pt idx="35">
                  <c:v>51.5</c:v>
                </c:pt>
                <c:pt idx="36">
                  <c:v>52.5</c:v>
                </c:pt>
                <c:pt idx="37">
                  <c:v>52.9</c:v>
                </c:pt>
                <c:pt idx="38">
                  <c:v>51.4</c:v>
                </c:pt>
                <c:pt idx="39">
                  <c:v>50.2</c:v>
                </c:pt>
                <c:pt idx="40">
                  <c:v>50.8</c:v>
                </c:pt>
                <c:pt idx="41">
                  <c:v>47.7</c:v>
                </c:pt>
                <c:pt idx="42">
                  <c:v>46.8</c:v>
                </c:pt>
                <c:pt idx="43">
                  <c:v>46.1</c:v>
                </c:pt>
                <c:pt idx="44">
                  <c:v>49.8</c:v>
                </c:pt>
                <c:pt idx="45">
                  <c:v>49.7</c:v>
                </c:pt>
                <c:pt idx="46">
                  <c:v>50.3</c:v>
                </c:pt>
                <c:pt idx="47">
                  <c:v>50.5</c:v>
                </c:pt>
                <c:pt idx="48">
                  <c:v>47.4</c:v>
                </c:pt>
                <c:pt idx="49">
                  <c:v>44.5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8-4128-B299-0E13D242B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549504"/>
        <c:axId val="392551040"/>
      </c:lineChart>
      <c:dateAx>
        <c:axId val="3925495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551040"/>
        <c:crossesAt val="50"/>
        <c:auto val="1"/>
        <c:lblOffset val="100"/>
        <c:baseTimeUnit val="months"/>
        <c:majorUnit val="1"/>
        <c:majorTimeUnit val="years"/>
      </c:dateAx>
      <c:valAx>
        <c:axId val="392551040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549504"/>
        <c:crosses val="autoZero"/>
        <c:crossBetween val="between"/>
        <c:majorUnit val="6"/>
      </c:valAx>
      <c:valAx>
        <c:axId val="392626560"/>
        <c:scaling>
          <c:orientation val="minMax"/>
          <c:max val="3.0000000000000009E-2"/>
          <c:min val="-1.500000000000000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0" baseline="0">
                <a:solidFill>
                  <a:schemeClr val="bg1"/>
                </a:solidFill>
              </a:defRPr>
            </a:pPr>
            <a:endParaRPr lang="en-US"/>
          </a:p>
        </c:txPr>
        <c:crossAx val="392628096"/>
        <c:crosses val="max"/>
        <c:crossBetween val="between"/>
      </c:valAx>
      <c:catAx>
        <c:axId val="392628096"/>
        <c:scaling>
          <c:orientation val="minMax"/>
        </c:scaling>
        <c:delete val="1"/>
        <c:axPos val="b"/>
        <c:majorTickMark val="out"/>
        <c:minorTickMark val="none"/>
        <c:tickLblPos val="none"/>
        <c:crossAx val="39262656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72E-2"/>
          <c:y val="0.72120516185476802"/>
          <c:w val="0.1903647878140580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163285</xdr:colOff>
      <xdr:row>63</xdr:row>
      <xdr:rowOff>136072</xdr:rowOff>
    </xdr:from>
    <xdr:to>
      <xdr:col>14</xdr:col>
      <xdr:colOff>102869</xdr:colOff>
      <xdr:row>85</xdr:row>
      <xdr:rowOff>151312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102051</xdr:colOff>
      <xdr:row>61</xdr:row>
      <xdr:rowOff>13607</xdr:rowOff>
    </xdr:from>
    <xdr:to>
      <xdr:col>15</xdr:col>
      <xdr:colOff>41636</xdr:colOff>
      <xdr:row>83</xdr:row>
      <xdr:rowOff>28847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102051</xdr:colOff>
      <xdr:row>85</xdr:row>
      <xdr:rowOff>54428</xdr:rowOff>
    </xdr:from>
    <xdr:to>
      <xdr:col>15</xdr:col>
      <xdr:colOff>41636</xdr:colOff>
      <xdr:row>105</xdr:row>
      <xdr:rowOff>69668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36019</xdr:colOff>
      <xdr:row>60</xdr:row>
      <xdr:rowOff>102454</xdr:rowOff>
    </xdr:from>
    <xdr:to>
      <xdr:col>14</xdr:col>
      <xdr:colOff>587925</xdr:colOff>
      <xdr:row>82</xdr:row>
      <xdr:rowOff>117694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36019</xdr:colOff>
      <xdr:row>85</xdr:row>
      <xdr:rowOff>0</xdr:rowOff>
    </xdr:from>
    <xdr:to>
      <xdr:col>14</xdr:col>
      <xdr:colOff>587925</xdr:colOff>
      <xdr:row>106</xdr:row>
      <xdr:rowOff>15240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81841</xdr:colOff>
      <xdr:row>60</xdr:row>
      <xdr:rowOff>131268</xdr:rowOff>
    </xdr:from>
    <xdr:to>
      <xdr:col>15</xdr:col>
      <xdr:colOff>21426</xdr:colOff>
      <xdr:row>82</xdr:row>
      <xdr:rowOff>146508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81841</xdr:colOff>
      <xdr:row>84</xdr:row>
      <xdr:rowOff>172891</xdr:rowOff>
    </xdr:from>
    <xdr:to>
      <xdr:col>15</xdr:col>
      <xdr:colOff>21426</xdr:colOff>
      <xdr:row>106</xdr:row>
      <xdr:rowOff>188131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89247</xdr:colOff>
      <xdr:row>60</xdr:row>
      <xdr:rowOff>124066</xdr:rowOff>
    </xdr:from>
    <xdr:to>
      <xdr:col>15</xdr:col>
      <xdr:colOff>28832</xdr:colOff>
      <xdr:row>82</xdr:row>
      <xdr:rowOff>139306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89247</xdr:colOff>
      <xdr:row>85</xdr:row>
      <xdr:rowOff>13608</xdr:rowOff>
    </xdr:from>
    <xdr:to>
      <xdr:col>15</xdr:col>
      <xdr:colOff>28832</xdr:colOff>
      <xdr:row>107</xdr:row>
      <xdr:rowOff>28848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45222</xdr:colOff>
      <xdr:row>60</xdr:row>
      <xdr:rowOff>117662</xdr:rowOff>
    </xdr:from>
    <xdr:to>
      <xdr:col>14</xdr:col>
      <xdr:colOff>597128</xdr:colOff>
      <xdr:row>82</xdr:row>
      <xdr:rowOff>132902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45222</xdr:colOff>
      <xdr:row>85</xdr:row>
      <xdr:rowOff>14407</xdr:rowOff>
    </xdr:from>
    <xdr:to>
      <xdr:col>14</xdr:col>
      <xdr:colOff>597128</xdr:colOff>
      <xdr:row>107</xdr:row>
      <xdr:rowOff>29647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99652</xdr:colOff>
      <xdr:row>60</xdr:row>
      <xdr:rowOff>105655</xdr:rowOff>
    </xdr:from>
    <xdr:to>
      <xdr:col>15</xdr:col>
      <xdr:colOff>39237</xdr:colOff>
      <xdr:row>82</xdr:row>
      <xdr:rowOff>120895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99652</xdr:colOff>
      <xdr:row>84</xdr:row>
      <xdr:rowOff>163285</xdr:rowOff>
    </xdr:from>
    <xdr:to>
      <xdr:col>15</xdr:col>
      <xdr:colOff>39237</xdr:colOff>
      <xdr:row>106</xdr:row>
      <xdr:rowOff>178525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78441</xdr:colOff>
      <xdr:row>60</xdr:row>
      <xdr:rowOff>120864</xdr:rowOff>
    </xdr:from>
    <xdr:to>
      <xdr:col>15</xdr:col>
      <xdr:colOff>18026</xdr:colOff>
      <xdr:row>82</xdr:row>
      <xdr:rowOff>136104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78441</xdr:colOff>
      <xdr:row>85</xdr:row>
      <xdr:rowOff>12007</xdr:rowOff>
    </xdr:from>
    <xdr:to>
      <xdr:col>15</xdr:col>
      <xdr:colOff>18026</xdr:colOff>
      <xdr:row>107</xdr:row>
      <xdr:rowOff>27247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23610</xdr:colOff>
      <xdr:row>60</xdr:row>
      <xdr:rowOff>144076</xdr:rowOff>
    </xdr:from>
    <xdr:to>
      <xdr:col>14</xdr:col>
      <xdr:colOff>575516</xdr:colOff>
      <xdr:row>82</xdr:row>
      <xdr:rowOff>159316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23610</xdr:colOff>
      <xdr:row>84</xdr:row>
      <xdr:rowOff>155282</xdr:rowOff>
    </xdr:from>
    <xdr:to>
      <xdr:col>14</xdr:col>
      <xdr:colOff>575516</xdr:colOff>
      <xdr:row>106</xdr:row>
      <xdr:rowOff>170522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34017</xdr:colOff>
      <xdr:row>60</xdr:row>
      <xdr:rowOff>149679</xdr:rowOff>
    </xdr:from>
    <xdr:to>
      <xdr:col>14</xdr:col>
      <xdr:colOff>585923</xdr:colOff>
      <xdr:row>82</xdr:row>
      <xdr:rowOff>164919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34017</xdr:colOff>
      <xdr:row>85</xdr:row>
      <xdr:rowOff>0</xdr:rowOff>
    </xdr:from>
    <xdr:to>
      <xdr:col>14</xdr:col>
      <xdr:colOff>585923</xdr:colOff>
      <xdr:row>107</xdr:row>
      <xdr:rowOff>15240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27214</xdr:colOff>
      <xdr:row>60</xdr:row>
      <xdr:rowOff>149679</xdr:rowOff>
    </xdr:from>
    <xdr:to>
      <xdr:col>14</xdr:col>
      <xdr:colOff>579120</xdr:colOff>
      <xdr:row>82</xdr:row>
      <xdr:rowOff>164919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27214</xdr:colOff>
      <xdr:row>84</xdr:row>
      <xdr:rowOff>149678</xdr:rowOff>
    </xdr:from>
    <xdr:to>
      <xdr:col>14</xdr:col>
      <xdr:colOff>579120</xdr:colOff>
      <xdr:row>106</xdr:row>
      <xdr:rowOff>164918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61232</xdr:colOff>
      <xdr:row>60</xdr:row>
      <xdr:rowOff>108857</xdr:rowOff>
    </xdr:from>
    <xdr:to>
      <xdr:col>15</xdr:col>
      <xdr:colOff>817</xdr:colOff>
      <xdr:row>82</xdr:row>
      <xdr:rowOff>124097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61232</xdr:colOff>
      <xdr:row>85</xdr:row>
      <xdr:rowOff>13607</xdr:rowOff>
    </xdr:from>
    <xdr:to>
      <xdr:col>15</xdr:col>
      <xdr:colOff>817</xdr:colOff>
      <xdr:row>107</xdr:row>
      <xdr:rowOff>28847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44023</xdr:colOff>
      <xdr:row>60</xdr:row>
      <xdr:rowOff>136071</xdr:rowOff>
    </xdr:from>
    <xdr:to>
      <xdr:col>14</xdr:col>
      <xdr:colOff>595929</xdr:colOff>
      <xdr:row>82</xdr:row>
      <xdr:rowOff>151311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44023</xdr:colOff>
      <xdr:row>85</xdr:row>
      <xdr:rowOff>53628</xdr:rowOff>
    </xdr:from>
    <xdr:to>
      <xdr:col>14</xdr:col>
      <xdr:colOff>595929</xdr:colOff>
      <xdr:row>107</xdr:row>
      <xdr:rowOff>68868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69236</xdr:colOff>
      <xdr:row>60</xdr:row>
      <xdr:rowOff>155281</xdr:rowOff>
    </xdr:from>
    <xdr:to>
      <xdr:col>15</xdr:col>
      <xdr:colOff>8821</xdr:colOff>
      <xdr:row>82</xdr:row>
      <xdr:rowOff>170521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69236</xdr:colOff>
      <xdr:row>85</xdr:row>
      <xdr:rowOff>0</xdr:rowOff>
    </xdr:from>
    <xdr:to>
      <xdr:col>15</xdr:col>
      <xdr:colOff>8821</xdr:colOff>
      <xdr:row>107</xdr:row>
      <xdr:rowOff>15240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68036</xdr:colOff>
      <xdr:row>60</xdr:row>
      <xdr:rowOff>163286</xdr:rowOff>
    </xdr:from>
    <xdr:to>
      <xdr:col>15</xdr:col>
      <xdr:colOff>7621</xdr:colOff>
      <xdr:row>82</xdr:row>
      <xdr:rowOff>178526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68036</xdr:colOff>
      <xdr:row>84</xdr:row>
      <xdr:rowOff>185698</xdr:rowOff>
    </xdr:from>
    <xdr:to>
      <xdr:col>15</xdr:col>
      <xdr:colOff>7621</xdr:colOff>
      <xdr:row>107</xdr:row>
      <xdr:rowOff>10438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1:D227" totalsRowShown="0">
  <autoFilter ref="A41:D227" xr:uid="{00000000-0009-0000-0100-000001000000}"/>
  <tableColumns count="4">
    <tableColumn id="1" xr3:uid="{00000000-0010-0000-0000-000001000000}" name="Column1" dataDxfId="63"/>
    <tableColumn id="2" xr3:uid="{00000000-0010-0000-0000-000002000000}" name="Column2" dataDxfId="62"/>
    <tableColumn id="3" xr3:uid="{00000000-0010-0000-0000-000003000000}" name="Column3" dataDxfId="61"/>
    <tableColumn id="4" xr3:uid="{00000000-0010-0000-0000-000004000000}" name="Column4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0:D228" totalsRowShown="0" headerRowDxfId="69" tableBorderDxfId="68">
  <autoFilter ref="A40:D228" xr:uid="{00000000-0009-0000-0100-000002000000}"/>
  <tableColumns count="4">
    <tableColumn id="1" xr3:uid="{00000000-0010-0000-0100-000001000000}" name="Date" dataDxfId="67"/>
    <tableColumn id="2" xr3:uid="{00000000-0010-0000-0100-000002000000}" name="UK Service PMI" dataDxfId="66"/>
    <tableColumn id="3" xr3:uid="{00000000-0010-0000-0100-000003000000}" name="Change" dataDxfId="65">
      <calculatedColumnFormula>IF(AND(ISNUMBER(B41),ISNUMBER(B40)),B41-B40,"")</calculatedColumnFormula>
    </tableColumn>
    <tableColumn id="4" xr3:uid="{00000000-0010-0000-0100-000004000000}" name="UK GDP Growth q/q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90" totalsRowShown="0" tableBorderDxfId="59">
  <autoFilter ref="A1:D90" xr:uid="{00000000-0009-0000-0100-000003000000}"/>
  <tableColumns count="4">
    <tableColumn id="1" xr3:uid="{00000000-0010-0000-0200-000001000000}" name="Date" dataDxfId="58"/>
    <tableColumn id="2" xr3:uid="{00000000-0010-0000-0200-000002000000}" name="Euro-Zone Service PMI" dataDxfId="57"/>
    <tableColumn id="3" xr3:uid="{00000000-0010-0000-0200-000003000000}" name="Change" dataDxfId="56"/>
    <tableColumn id="4" xr3:uid="{00000000-0010-0000-0200-000004000000}" name="Euro Zone GDP q/q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90" totalsRowShown="0" tableBorderDxfId="55">
  <autoFilter ref="A1:D90" xr:uid="{00000000-0009-0000-0100-000004000000}"/>
  <tableColumns count="4">
    <tableColumn id="1" xr3:uid="{00000000-0010-0000-0300-000001000000}" name="Date" dataDxfId="54"/>
    <tableColumn id="2" xr3:uid="{00000000-0010-0000-0300-000002000000}" name="Germany Service PMI" dataDxfId="53"/>
    <tableColumn id="3" xr3:uid="{00000000-0010-0000-0300-000003000000}" name="Change" dataDxfId="52"/>
    <tableColumn id="4" xr3:uid="{00000000-0010-0000-0300-000004000000}" name="Germany GDP q/q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4:D90" totalsRowShown="0" tableBorderDxfId="51">
  <autoFilter ref="A14:D90" xr:uid="{00000000-0009-0000-0100-000005000000}"/>
  <tableColumns count="4">
    <tableColumn id="1" xr3:uid="{00000000-0010-0000-0400-000001000000}" name="Date" dataDxfId="50"/>
    <tableColumn id="2" xr3:uid="{00000000-0010-0000-0400-000002000000}" name="France Service PMI" dataDxfId="49"/>
    <tableColumn id="3" xr3:uid="{00000000-0010-0000-0400-000003000000}" name="Change" dataDxfId="48"/>
    <tableColumn id="4" xr3:uid="{00000000-0010-0000-0400-000004000000}" name="French GDP q/q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40:D90" totalsRowShown="0" tableBorderDxfId="47">
  <autoFilter ref="A40:D90" xr:uid="{00000000-0009-0000-0100-000006000000}"/>
  <tableColumns count="4">
    <tableColumn id="1" xr3:uid="{00000000-0010-0000-0500-000001000000}" name="Date" dataDxfId="46"/>
    <tableColumn id="2" xr3:uid="{00000000-0010-0000-0500-000002000000}" name="Italy Service PMI" dataDxfId="45"/>
    <tableColumn id="3" xr3:uid="{00000000-0010-0000-0500-000003000000}" name="Change" dataDxfId="44"/>
    <tableColumn id="4" xr3:uid="{00000000-0010-0000-0500-000004000000}" name="Italy GDP q/q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40:D90" totalsRowShown="0" tableBorderDxfId="42">
  <autoFilter ref="A40:D90" xr:uid="{00000000-0009-0000-0100-000007000000}"/>
  <tableColumns count="4">
    <tableColumn id="1" xr3:uid="{00000000-0010-0000-0600-000001000000}" name="Date" dataDxfId="41"/>
    <tableColumn id="2" xr3:uid="{00000000-0010-0000-0600-000002000000}" name="Spain Service PMI" dataDxfId="40"/>
    <tableColumn id="3" xr3:uid="{00000000-0010-0000-0600-000003000000}" name="Change" dataDxfId="39"/>
    <tableColumn id="4" xr3:uid="{00000000-0010-0000-0600-000004000000}" name="Spanish GDP q/q" dataDxfId="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40:D90" totalsRowShown="0" tableBorderDxfId="37">
  <autoFilter ref="A40:D90" xr:uid="{00000000-0009-0000-0100-000008000000}"/>
  <tableColumns count="4">
    <tableColumn id="1" xr3:uid="{00000000-0010-0000-0700-000001000000}" name="Date" dataDxfId="36"/>
    <tableColumn id="2" xr3:uid="{00000000-0010-0000-0700-000002000000}" name="Ireland Service PMI" dataDxfId="35"/>
    <tableColumn id="3" xr3:uid="{00000000-0010-0000-0700-000003000000}" name="Change" dataDxfId="34"/>
    <tableColumn id="4" xr3:uid="{00000000-0010-0000-0700-000004000000}" name="Ireland GDP Growth q/q" dataDxfId="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40:D90" totalsRowShown="0" tableBorderDxfId="32">
  <autoFilter ref="A40:D90" xr:uid="{00000000-0009-0000-0100-000009000000}"/>
  <tableColumns count="4">
    <tableColumn id="1" xr3:uid="{00000000-0010-0000-0800-000001000000}" name="Date" dataDxfId="31"/>
    <tableColumn id="2" xr3:uid="{00000000-0010-0000-0800-000002000000}" name="China Service PMI" dataDxfId="30"/>
    <tableColumn id="3" xr3:uid="{00000000-0010-0000-0800-000003000000}" name="Change" dataDxfId="29"/>
    <tableColumn id="4" xr3:uid="{00000000-0010-0000-0800-000004000000}" name="China GDP Growth q/q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40:D90" totalsRowShown="0" tableBorderDxfId="27">
  <autoFilter ref="A40:D90" xr:uid="{00000000-0009-0000-0100-00000A000000}"/>
  <tableColumns count="4">
    <tableColumn id="1" xr3:uid="{00000000-0010-0000-0900-000001000000}" name="Date" dataDxfId="26"/>
    <tableColumn id="2" xr3:uid="{00000000-0010-0000-0900-000002000000}" name="Australia Service PMI" dataDxfId="25"/>
    <tableColumn id="3" xr3:uid="{00000000-0010-0000-0900-000003000000}" name="Change" dataDxfId="24"/>
    <tableColumn id="4" xr3:uid="{00000000-0010-0000-0900-000004000000}" name="GDP Change q/q 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40:D90" totalsRowShown="0" tableBorderDxfId="22">
  <autoFilter ref="A40:D90" xr:uid="{00000000-0009-0000-0100-00000B000000}"/>
  <tableColumns count="4">
    <tableColumn id="1" xr3:uid="{00000000-0010-0000-0A00-000001000000}" name="Date" dataDxfId="21"/>
    <tableColumn id="2" xr3:uid="{00000000-0010-0000-0A00-000002000000}" name="Japan Service PMI" dataDxfId="20"/>
    <tableColumn id="3" xr3:uid="{00000000-0010-0000-0A00-000003000000}" name="Change" dataDxfId="19"/>
    <tableColumn id="4" xr3:uid="{00000000-0010-0000-0A00-000004000000}" name="Japan GDP Growth q/q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40:D90" totalsRowShown="0" headerRowDxfId="17" tableBorderDxfId="16">
  <autoFilter ref="A40:D90" xr:uid="{00000000-0009-0000-0100-00000C000000}"/>
  <tableColumns count="4">
    <tableColumn id="1" xr3:uid="{00000000-0010-0000-0B00-000001000000}" name="Date" dataDxfId="15"/>
    <tableColumn id="2" xr3:uid="{00000000-0010-0000-0B00-000002000000}" name="Brazil Service PMI" dataDxfId="14"/>
    <tableColumn id="3" xr3:uid="{00000000-0010-0000-0B00-000003000000}" name="Change" dataDxfId="13"/>
    <tableColumn id="4" xr3:uid="{00000000-0010-0000-0B00-000004000000}" name="Brazil GDP Growth q/q" dataDxfId="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40:D90" totalsRowShown="0" headerRowDxfId="11" tableBorderDxfId="10">
  <autoFilter ref="A40:D90" xr:uid="{00000000-0009-0000-0100-00000D000000}"/>
  <tableColumns count="4">
    <tableColumn id="1" xr3:uid="{00000000-0010-0000-0C00-000001000000}" name="Date" dataDxfId="9"/>
    <tableColumn id="2" xr3:uid="{00000000-0010-0000-0C00-000002000000}" name="India Service PMI" dataDxfId="8"/>
    <tableColumn id="3" xr3:uid="{00000000-0010-0000-0C00-000003000000}" name="Change" dataDxfId="7"/>
    <tableColumn id="4" xr3:uid="{00000000-0010-0000-0C00-000004000000}" name="India GDP Growth q/q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40:D90" totalsRowShown="0" headerRowDxfId="5" tableBorderDxfId="4">
  <autoFilter ref="A40:D90" xr:uid="{00000000-0009-0000-0100-00000E000000}"/>
  <tableColumns count="4">
    <tableColumn id="1" xr3:uid="{00000000-0010-0000-0D00-000001000000}" name="Date" dataDxfId="3"/>
    <tableColumn id="2" xr3:uid="{00000000-0010-0000-0D00-000002000000}" name="Russia Service PMI" dataDxfId="2"/>
    <tableColumn id="3" xr3:uid="{00000000-0010-0000-0D00-000003000000}" name="Change" dataDxfId="1"/>
    <tableColumn id="4" xr3:uid="{00000000-0010-0000-0D00-000004000000}" name="Russian GDP Growth q/q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4E253B-72A5-445F-9961-F60B8E801E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e6d530-36ea-40e7-a93b-4b0a24572a4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zoomScaleNormal="100" workbookViewId="0">
      <selection activeCell="N22" sqref="N22"/>
    </sheetView>
  </sheetViews>
  <sheetFormatPr defaultRowHeight="14.5" x14ac:dyDescent="0.35"/>
  <cols>
    <col min="1" max="1" width="18.26953125" bestFit="1" customWidth="1"/>
    <col min="2" max="2" width="15.90625" bestFit="1" customWidth="1"/>
    <col min="3" max="3" width="10.1796875" bestFit="1" customWidth="1"/>
    <col min="4" max="4" width="7.90625" bestFit="1" customWidth="1"/>
    <col min="5" max="5" width="8.1796875" bestFit="1" customWidth="1"/>
    <col min="6" max="6" width="7.36328125" bestFit="1" customWidth="1"/>
    <col min="7" max="7" width="7.7265625" bestFit="1" customWidth="1"/>
    <col min="8" max="8" width="10.08984375" bestFit="1" customWidth="1"/>
    <col min="9" max="9" width="24.90625" bestFit="1" customWidth="1"/>
    <col min="13" max="13" width="15.90625" bestFit="1" customWidth="1"/>
    <col min="14" max="14" width="11.90625" bestFit="1" customWidth="1"/>
    <col min="15" max="16" width="4.36328125" bestFit="1" customWidth="1"/>
    <col min="17" max="17" width="8" bestFit="1" customWidth="1"/>
    <col min="18" max="18" width="5.54296875" bestFit="1" customWidth="1"/>
    <col min="19" max="19" width="24.90625" bestFit="1" customWidth="1"/>
  </cols>
  <sheetData>
    <row r="1" spans="1:19" x14ac:dyDescent="0.35">
      <c r="A1" t="s">
        <v>89</v>
      </c>
    </row>
    <row r="4" spans="1:19" x14ac:dyDescent="0.35">
      <c r="B4" s="39" t="s">
        <v>47</v>
      </c>
      <c r="C4" s="40" t="s">
        <v>48</v>
      </c>
      <c r="D4" s="38" t="s">
        <v>49</v>
      </c>
      <c r="E4" s="38" t="s">
        <v>50</v>
      </c>
      <c r="F4" s="38" t="s">
        <v>51</v>
      </c>
      <c r="G4" s="38" t="s">
        <v>52</v>
      </c>
      <c r="H4" s="39" t="s">
        <v>62</v>
      </c>
      <c r="I4" s="39" t="s">
        <v>53</v>
      </c>
      <c r="M4" s="37" t="s">
        <v>47</v>
      </c>
      <c r="N4" s="26" t="s">
        <v>48</v>
      </c>
      <c r="O4" s="27" t="s">
        <v>278</v>
      </c>
      <c r="P4" s="27" t="s">
        <v>80</v>
      </c>
      <c r="Q4" s="28" t="s">
        <v>1</v>
      </c>
      <c r="R4" s="28" t="s">
        <v>63</v>
      </c>
      <c r="S4" s="28" t="s">
        <v>53</v>
      </c>
    </row>
    <row r="5" spans="1:19" ht="13.15" customHeight="1" x14ac:dyDescent="0.35">
      <c r="B5" s="54" t="s">
        <v>55</v>
      </c>
      <c r="C5" s="55">
        <f>VLOOKUP($B5,Data!$K$30:$V$250,COLUMN(C5)-1,FALSE)/SUM(Data!$L$30:$L$250)</f>
        <v>0.19182680779638955</v>
      </c>
      <c r="D5" s="50">
        <f>VLOOKUP($B5,Data!$K$30:$V$250,COLUMN(D5)-1,FALSE)</f>
        <v>2.4E-2</v>
      </c>
      <c r="E5" s="50">
        <f>((1+VLOOKUP($B5,Data!$K$30:$V$250,COLUMN(E5)-1,FALSE))^(1/4))-1</f>
        <v>9.6105657459020222E-3</v>
      </c>
      <c r="F5" s="50">
        <f>VLOOKUP($B5,Data!$K$30:$V$250,COLUMN(F5)-1,FALSE)</f>
        <v>2.5000000000000001E-3</v>
      </c>
      <c r="G5" s="50">
        <f>VLOOKUP($B5,Data!$K$30:$V$250,COLUMN(G5)-1,FALSE)</f>
        <v>1.7000000000000001E-2</v>
      </c>
      <c r="H5" s="51">
        <f>Tabs!F28</f>
        <v>50.7</v>
      </c>
      <c r="I5" s="52" t="str">
        <f t="shared" ref="I5:I18" si="0">VLOOKUP(B5,$M$5:$S$18,7,FALSE)</f>
        <v>Growing, slower</v>
      </c>
      <c r="M5" s="54" t="s">
        <v>44</v>
      </c>
      <c r="N5" s="55">
        <f t="shared" ref="N5:N18" si="1">VLOOKUP(M5,$B$5:$C$18,2,FALSE)</f>
        <v>2.4891811964055312E-3</v>
      </c>
      <c r="O5" s="51" t="str">
        <f>Tabs!AH28</f>
        <v>TBR</v>
      </c>
      <c r="P5" s="51" t="str">
        <f>Tabs!AH27</f>
        <v>TBR</v>
      </c>
      <c r="Q5" s="51" t="e">
        <f t="shared" ref="Q5:Q18" si="2">O5-P5</f>
        <v>#VALUE!</v>
      </c>
      <c r="R5" s="57">
        <v>26</v>
      </c>
      <c r="S5" s="52" t="s">
        <v>56</v>
      </c>
    </row>
    <row r="6" spans="1:19" ht="13.15" customHeight="1" x14ac:dyDescent="0.35">
      <c r="B6" s="54" t="s">
        <v>77</v>
      </c>
      <c r="C6" s="55">
        <f>VLOOKUP(B6,Data!$K$30:$V$250,COLUMN(C6)-1,FALSE)/SUM(Data!$L$30:$L$250)</f>
        <v>0.14558284520261708</v>
      </c>
      <c r="D6" s="50">
        <f>VLOOKUP($B6,Data!$K$30:$V$250,COLUMN(D6)-1,FALSE)</f>
        <v>8.0000000000000002E-3</v>
      </c>
      <c r="E6" s="50">
        <f>VLOOKUP($B6,Data!$K$30:$V$250,COLUMN(E6)-1,FALSE)</f>
        <v>2E-3</v>
      </c>
      <c r="F6" s="50">
        <f>VLOOKUP($B6,Data!$K$30:$V$250,COLUMN(F6)-1,FALSE)</f>
        <v>5.0000000000000001E-4</v>
      </c>
      <c r="G6" s="50">
        <f>VLOOKUP($B6,Data!$K$30:$V$250,COLUMN(G6)-1,FALSE)</f>
        <v>3.0000000000000001E-3</v>
      </c>
      <c r="H6" s="51">
        <f>Tabs!N28</f>
        <v>47.7</v>
      </c>
      <c r="I6" s="52" t="str">
        <f t="shared" si="0"/>
        <v>Growing, slower</v>
      </c>
      <c r="M6" s="54" t="s">
        <v>60</v>
      </c>
      <c r="N6" s="55">
        <f t="shared" si="1"/>
        <v>2.8796857694196099E-2</v>
      </c>
      <c r="O6" s="51">
        <v>48.7</v>
      </c>
      <c r="P6" s="51">
        <v>49.3</v>
      </c>
      <c r="Q6" s="51">
        <f>O6-P6</f>
        <v>-0.59999999999999432</v>
      </c>
      <c r="R6" s="57">
        <v>32</v>
      </c>
      <c r="S6" s="52" t="s">
        <v>56</v>
      </c>
    </row>
    <row r="7" spans="1:19" ht="13.15" customHeight="1" x14ac:dyDescent="0.35">
      <c r="B7" s="54" t="s">
        <v>57</v>
      </c>
      <c r="C7" s="55">
        <f>VLOOKUP(B7,Data!$K$30:$V$250,COLUMN(C7)-1,FALSE)/SUM(Data!$L$30:$L$250)</f>
        <v>0.10550474428801425</v>
      </c>
      <c r="D7" s="50">
        <f>VLOOKUP($B7,Data!$K$30:$V$250,COLUMN(D7)-1,FALSE)</f>
        <v>7.2999999999999995E-2</v>
      </c>
      <c r="E7" s="50">
        <f>VLOOKUP($B7,Data!$K$30:$V$250,COLUMN(E7)-1,FALSE)</f>
        <v>1.9E-2</v>
      </c>
      <c r="F7" s="50">
        <f>VLOOKUP($B7,Data!$K$30:$V$250,COLUMN(F7)-1,FALSE)</f>
        <v>5.6000000000000001E-2</v>
      </c>
      <c r="G7" s="50">
        <f>VLOOKUP($B7,Data!$K$30:$V$250,COLUMN(G7)-1,FALSE)</f>
        <v>1.6E-2</v>
      </c>
      <c r="H7" s="51" t="str">
        <f>Tabs!AX28</f>
        <v>TBR</v>
      </c>
      <c r="I7" s="52" t="str">
        <f t="shared" si="0"/>
        <v>Growing, faster</v>
      </c>
      <c r="M7" s="54" t="s">
        <v>55</v>
      </c>
      <c r="N7" s="55">
        <f t="shared" si="1"/>
        <v>0.19182680779638955</v>
      </c>
      <c r="O7" s="51">
        <f>Tabs!F28</f>
        <v>50.7</v>
      </c>
      <c r="P7" s="51">
        <f>Tabs!F27</f>
        <v>51</v>
      </c>
      <c r="Q7" s="51">
        <f t="shared" si="2"/>
        <v>-0.29999999999999716</v>
      </c>
      <c r="R7" s="57">
        <v>11</v>
      </c>
      <c r="S7" s="52" t="s">
        <v>54</v>
      </c>
    </row>
    <row r="8" spans="1:19" ht="13.15" customHeight="1" x14ac:dyDescent="0.35">
      <c r="B8" s="54" t="s">
        <v>59</v>
      </c>
      <c r="C8" s="55">
        <f>VLOOKUP(B8,Data!$K$30:$V$250,COLUMN(C8)-1,FALSE)/SUM(Data!$L$30:$L$250)</f>
        <v>5.5960903869649116E-2</v>
      </c>
      <c r="D8" s="50">
        <f>VLOOKUP($B8,Data!$K$30:$V$250,COLUMN(D8)-1,FALSE)</f>
        <v>-1.2E-2</v>
      </c>
      <c r="E8" s="50">
        <f>VLOOKUP($B8,Data!$K$30:$V$250,COLUMN(E8)-1,FALSE)</f>
        <v>-4.0000000000000001E-3</v>
      </c>
      <c r="F8" s="50">
        <f>VLOOKUP($B8,Data!$K$30:$V$250,COLUMN(F8)-1,FALSE)</f>
        <v>0</v>
      </c>
      <c r="G8" s="50">
        <f>VLOOKUP($B8,Data!$K$30:$V$250,COLUMN(G8)-1,FALSE)</f>
        <v>2.9000000000000001E-2</v>
      </c>
      <c r="H8" s="51">
        <f>Tabs!AP28</f>
        <v>50</v>
      </c>
      <c r="I8" s="53" t="str">
        <f t="shared" si="0"/>
        <v>Growing, from Contracting</v>
      </c>
      <c r="M8" s="54" t="s">
        <v>57</v>
      </c>
      <c r="N8" s="55">
        <f t="shared" si="1"/>
        <v>0.10550474428801425</v>
      </c>
      <c r="O8" s="51" t="str">
        <f>Tabs!AX28</f>
        <v>TBR</v>
      </c>
      <c r="P8" s="51" t="str">
        <f>Tabs!AX27</f>
        <v>TBR</v>
      </c>
      <c r="Q8" s="51" t="e">
        <f t="shared" si="2"/>
        <v>#VALUE!</v>
      </c>
      <c r="R8" s="57">
        <v>34</v>
      </c>
      <c r="S8" s="52" t="s">
        <v>56</v>
      </c>
    </row>
    <row r="9" spans="1:19" ht="13.15" customHeight="1" x14ac:dyDescent="0.35">
      <c r="B9" s="54" t="s">
        <v>35</v>
      </c>
      <c r="C9" s="55">
        <f>VLOOKUP(B9,Data!$K$30:$V$250,COLUMN(C9)-1,FALSE)/SUM(Data!$L$30:$L$250)</f>
        <v>4.1505383710706903E-2</v>
      </c>
      <c r="D9" s="50">
        <f>VLOOKUP($B9,Data!$K$30:$V$250,COLUMN(D9)-1,FALSE)</f>
        <v>1.2E-2</v>
      </c>
      <c r="E9" s="50">
        <f>VLOOKUP($B9,Data!$K$30:$V$250,COLUMN(E9)-1,FALSE)</f>
        <v>1E-3</v>
      </c>
      <c r="F9" s="50">
        <f>VLOOKUP($B9,Data!$K$30:$V$250,COLUMN(F9)-1,FALSE)</f>
        <v>5.0000000000000001E-4</v>
      </c>
      <c r="G9" s="50">
        <f>VLOOKUP($B9,Data!$K$30:$V$250,COLUMN(G9)-1,FALSE)</f>
        <v>6.0000000000000001E-3</v>
      </c>
      <c r="H9" s="51" t="str">
        <f>Tabs!R28</f>
        <v>TBR</v>
      </c>
      <c r="I9" s="52" t="str">
        <f t="shared" si="0"/>
        <v>Growing, slower</v>
      </c>
      <c r="M9" s="54" t="s">
        <v>39</v>
      </c>
      <c r="N9" s="55">
        <f t="shared" si="1"/>
        <v>1.5506000296874822E-2</v>
      </c>
      <c r="O9" s="51" t="str">
        <f>Tabs!AD28</f>
        <v>TBR</v>
      </c>
      <c r="P9" s="51" t="str">
        <f>Tabs!AD27</f>
        <v>TBR</v>
      </c>
      <c r="Q9" s="51" t="e">
        <f t="shared" si="2"/>
        <v>#VALUE!</v>
      </c>
      <c r="R9" s="57">
        <v>11</v>
      </c>
      <c r="S9" s="52" t="s">
        <v>54</v>
      </c>
    </row>
    <row r="10" spans="1:19" ht="13.15" customHeight="1" x14ac:dyDescent="0.35">
      <c r="B10" s="54" t="s">
        <v>36</v>
      </c>
      <c r="C10" s="55">
        <f>VLOOKUP(B10,Data!$K$30:$V$250,COLUMN(C10)-1,FALSE)/SUM(Data!$L$30:$L$250)</f>
        <v>3.1228947578757466E-2</v>
      </c>
      <c r="D10" s="50">
        <f>VLOOKUP($B10,Data!$K$30:$V$250,COLUMN(D10)-1,FALSE)</f>
        <v>4.0000000000000001E-3</v>
      </c>
      <c r="E10" s="50">
        <f>VLOOKUP($B10,Data!$K$30:$V$250,COLUMN(E10)-1,FALSE)</f>
        <v>3.0000000000000001E-3</v>
      </c>
      <c r="F10" s="50">
        <f>VLOOKUP($B10,Data!$K$30:$V$250,COLUMN(F10)-1,FALSE)</f>
        <v>5.0000000000000001E-4</v>
      </c>
      <c r="G10" s="50">
        <f>VLOOKUP($B10,Data!$K$30:$V$250,COLUMN(G10)-1,FALSE)</f>
        <v>5.0000000000000001E-3</v>
      </c>
      <c r="H10" s="51" t="str">
        <f>Tabs!V28</f>
        <v>TBR</v>
      </c>
      <c r="I10" s="53" t="str">
        <f t="shared" si="0"/>
        <v>Contracting, faster</v>
      </c>
      <c r="M10" s="54" t="s">
        <v>42</v>
      </c>
      <c r="N10" s="55">
        <f t="shared" si="1"/>
        <v>2.1432078466299E-2</v>
      </c>
      <c r="O10" s="51">
        <f>Tabs!BB28</f>
        <v>59.8</v>
      </c>
      <c r="P10" s="51" t="str">
        <f>Tabs!BB27</f>
        <v>TBR</v>
      </c>
      <c r="Q10" s="51" t="e">
        <f t="shared" si="2"/>
        <v>#VALUE!</v>
      </c>
      <c r="R10" s="57">
        <v>6</v>
      </c>
      <c r="S10" s="52" t="s">
        <v>56</v>
      </c>
    </row>
    <row r="11" spans="1:19" ht="13.15" customHeight="1" x14ac:dyDescent="0.35">
      <c r="B11" s="54" t="s">
        <v>60</v>
      </c>
      <c r="C11" s="55">
        <f>VLOOKUP(B11,Data!$K$30:$V$250,COLUMN(C11)-1,FALSE)/SUM(Data!$L$30:$L$250)</f>
        <v>2.8796857694196099E-2</v>
      </c>
      <c r="D11" s="50">
        <f>VLOOKUP($B11,Data!$K$30:$V$250,COLUMN(D11)-1,FALSE)</f>
        <v>0.03</v>
      </c>
      <c r="E11" s="50">
        <f>VLOOKUP($B11,Data!$K$30:$V$250,COLUMN(E11)-1,FALSE)</f>
        <v>7.0000000000000001E-3</v>
      </c>
      <c r="F11" s="50">
        <f>VLOOKUP($B11,Data!$K$30:$V$250,COLUMN(F11)-1,FALSE)</f>
        <v>5.0000000000000001E-3</v>
      </c>
      <c r="G11" s="50">
        <f>VLOOKUP($B11,Data!$K$30:$V$250,COLUMN(G11)-1,FALSE)</f>
        <v>1.2999999999999999E-2</v>
      </c>
      <c r="H11" s="51">
        <v>48.7</v>
      </c>
      <c r="I11" s="52" t="str">
        <f t="shared" si="0"/>
        <v>Growing, faster</v>
      </c>
      <c r="M11" s="54" t="s">
        <v>35</v>
      </c>
      <c r="N11" s="77">
        <f t="shared" si="1"/>
        <v>4.1505383710706903E-2</v>
      </c>
      <c r="O11" s="78" t="str">
        <f>Tabs!R28</f>
        <v>TBR</v>
      </c>
      <c r="P11" s="78" t="str">
        <f>Tabs!R27</f>
        <v>TBR</v>
      </c>
      <c r="Q11" s="78" t="e">
        <f t="shared" si="2"/>
        <v>#VALUE!</v>
      </c>
      <c r="R11" s="57">
        <v>17</v>
      </c>
      <c r="S11" s="52" t="s">
        <v>54</v>
      </c>
    </row>
    <row r="12" spans="1:19" ht="13.15" customHeight="1" x14ac:dyDescent="0.35">
      <c r="B12" s="54" t="s">
        <v>40</v>
      </c>
      <c r="C12" s="55">
        <f>VLOOKUP(B12,Data!$K$30:$V$250,COLUMN(C12)-1,FALSE)/SUM(Data!$L$30:$L$250)</f>
        <v>2.5645417280398267E-2</v>
      </c>
      <c r="D12" s="50">
        <f>VLOOKUP($B12,Data!$K$30:$V$250,COLUMN(D12)-1,FALSE)</f>
        <v>-2E-3</v>
      </c>
      <c r="E12" s="50">
        <f>VLOOKUP($B12,Data!$K$30:$V$250,COLUMN(E12)-1,FALSE)</f>
        <v>1E-3</v>
      </c>
      <c r="F12" s="50">
        <f>VLOOKUP($B12,Data!$K$30:$V$250,COLUMN(F12)-1,FALSE)</f>
        <v>0.11749999999999999</v>
      </c>
      <c r="G12" s="50">
        <f>VLOOKUP($B12,Data!$K$30:$V$250,COLUMN(G12)-1,FALSE)</f>
        <v>6.59E-2</v>
      </c>
      <c r="H12" s="51">
        <f>Tabs!AT28</f>
        <v>50.4</v>
      </c>
      <c r="I12" s="53" t="str">
        <f t="shared" si="0"/>
        <v>Contracting, slower</v>
      </c>
      <c r="M12" s="54" t="s">
        <v>61</v>
      </c>
      <c r="N12" s="55">
        <f t="shared" si="1"/>
        <v>2.3647221365852546E-2</v>
      </c>
      <c r="O12" s="51" t="str">
        <f>Tabs!Z28</f>
        <v>TBR</v>
      </c>
      <c r="P12" s="51" t="str">
        <f>Tabs!Z27</f>
        <v>TBR</v>
      </c>
      <c r="Q12" s="51" t="e">
        <f t="shared" si="2"/>
        <v>#VALUE!</v>
      </c>
      <c r="R12" s="57">
        <v>1</v>
      </c>
      <c r="S12" s="52" t="s">
        <v>56</v>
      </c>
    </row>
    <row r="13" spans="1:19" ht="13.15" customHeight="1" x14ac:dyDescent="0.35">
      <c r="B13" s="54" t="s">
        <v>41</v>
      </c>
      <c r="C13" s="55">
        <f>VLOOKUP(B13,Data!$K$30:$V$250,COLUMN(C13)-1,FALSE)/SUM(Data!$L$30:$L$250)</f>
        <v>2.3944096187442195E-2</v>
      </c>
      <c r="D13" s="50">
        <f>VLOOKUP($B13,Data!$K$30:$V$250,COLUMN(D13)-1,FALSE)</f>
        <v>7.0000000000000001E-3</v>
      </c>
      <c r="E13" s="50">
        <f>VLOOKUP($B13,Data!$K$30:$V$250,COLUMN(E13)-1,FALSE)</f>
        <v>2.5000000000000001E-3</v>
      </c>
      <c r="F13" s="50">
        <f>VLOOKUP($B13,Data!$K$30:$V$250,COLUMN(F13)-1,FALSE)</f>
        <v>9.5000000000000001E-2</v>
      </c>
      <c r="G13" s="50">
        <f>VLOOKUP($B13,Data!$K$30:$V$250,COLUMN(G13)-1,FALSE)</f>
        <v>8.3000000000000004E-2</v>
      </c>
      <c r="H13" s="51">
        <f>Tabs!BF28</f>
        <v>48.7</v>
      </c>
      <c r="I13" s="52" t="str">
        <f t="shared" si="0"/>
        <v>Contracting, faster</v>
      </c>
      <c r="M13" s="54" t="s">
        <v>77</v>
      </c>
      <c r="N13" s="55">
        <f t="shared" si="1"/>
        <v>0.14558284520261708</v>
      </c>
      <c r="O13" s="51">
        <f>Tabs!N28</f>
        <v>47.7</v>
      </c>
      <c r="P13" s="51">
        <f>Tabs!N27</f>
        <v>47.6</v>
      </c>
      <c r="Q13" s="51">
        <f t="shared" si="2"/>
        <v>0.10000000000000142</v>
      </c>
      <c r="R13" s="57">
        <v>14</v>
      </c>
      <c r="S13" s="52" t="s">
        <v>54</v>
      </c>
    </row>
    <row r="14" spans="1:19" ht="13.15" customHeight="1" x14ac:dyDescent="0.35">
      <c r="B14" s="54" t="s">
        <v>61</v>
      </c>
      <c r="C14" s="55">
        <f>VLOOKUP(B14,Data!$K$30:$V$250,COLUMN(C14)-1,FALSE)/SUM(Data!$L$30:$L$250)</f>
        <v>2.3647221365852546E-2</v>
      </c>
      <c r="D14" s="50">
        <f>VLOOKUP($B14,Data!$K$30:$V$250,COLUMN(D14)-1,FALSE)</f>
        <v>-5.0000000000000001E-3</v>
      </c>
      <c r="E14" s="50">
        <f>VLOOKUP($B14,Data!$K$30:$V$250,COLUMN(E14)-1,FALSE)</f>
        <v>-1E-3</v>
      </c>
      <c r="F14" s="50">
        <f>VLOOKUP($B14,Data!$K$30:$V$250,COLUMN(F14)-1,FALSE)</f>
        <v>5.0000000000000001E-4</v>
      </c>
      <c r="G14" s="50">
        <f>VLOOKUP($B14,Data!$K$30:$V$250,COLUMN(G14)-1,FALSE)</f>
        <v>1.9E-3</v>
      </c>
      <c r="H14" s="51" t="str">
        <f>Tabs!Z28</f>
        <v>TBR</v>
      </c>
      <c r="I14" s="52" t="str">
        <f t="shared" si="0"/>
        <v>Growing, faster</v>
      </c>
      <c r="M14" s="54" t="s">
        <v>59</v>
      </c>
      <c r="N14" s="55">
        <f t="shared" si="1"/>
        <v>5.5960903869649116E-2</v>
      </c>
      <c r="O14" s="51">
        <f>Tabs!AP28</f>
        <v>50</v>
      </c>
      <c r="P14" s="51" t="str">
        <f>Tabs!AP27</f>
        <v>TBR</v>
      </c>
      <c r="Q14" s="51" t="e">
        <f t="shared" si="2"/>
        <v>#VALUE!</v>
      </c>
      <c r="R14" s="57">
        <v>1</v>
      </c>
      <c r="S14" s="52" t="s">
        <v>91</v>
      </c>
    </row>
    <row r="15" spans="1:19" ht="13.15" customHeight="1" x14ac:dyDescent="0.35">
      <c r="B15" s="54" t="s">
        <v>42</v>
      </c>
      <c r="C15" s="55">
        <f>VLOOKUP(B15,Data!$K$30:$V$250,COLUMN(C15)-1,FALSE)/SUM(Data!$L$30:$L$250)</f>
        <v>2.1432078466299E-2</v>
      </c>
      <c r="D15" s="50">
        <f>VLOOKUP($B15,Data!$K$30:$V$250,COLUMN(D15)-1,FALSE)</f>
        <v>5.2999999999999999E-2</v>
      </c>
      <c r="E15" s="50">
        <f>VLOOKUP($B15,Data!$K$30:$V$250,COLUMN(E15)-1,FALSE)</f>
        <v>1.2E-2</v>
      </c>
      <c r="F15" s="50">
        <f>VLOOKUP($B15,Data!$K$30:$V$250,COLUMN(F15)-1,FALSE)</f>
        <v>0.08</v>
      </c>
      <c r="G15" s="50">
        <f>VLOOKUP($B15,Data!$K$30:$V$250,COLUMN(G15)-1,FALSE)</f>
        <v>5.5199999999999999E-2</v>
      </c>
      <c r="H15" s="51">
        <f>Tabs!BB28</f>
        <v>59.8</v>
      </c>
      <c r="I15" s="52" t="str">
        <f t="shared" si="0"/>
        <v>Growing, faster</v>
      </c>
      <c r="M15" s="54" t="s">
        <v>40</v>
      </c>
      <c r="N15" s="55">
        <f t="shared" si="1"/>
        <v>2.5645417280398267E-2</v>
      </c>
      <c r="O15" s="51">
        <f>Tabs!AT28</f>
        <v>50.4</v>
      </c>
      <c r="P15" s="51" t="str">
        <f>Tabs!AT27</f>
        <v>TBR</v>
      </c>
      <c r="Q15" s="51" t="e">
        <f t="shared" si="2"/>
        <v>#VALUE!</v>
      </c>
      <c r="R15" s="57">
        <v>1</v>
      </c>
      <c r="S15" s="53" t="s">
        <v>58</v>
      </c>
    </row>
    <row r="16" spans="1:19" ht="13.15" customHeight="1" x14ac:dyDescent="0.35">
      <c r="B16" s="54" t="s">
        <v>43</v>
      </c>
      <c r="C16" s="55">
        <f>VLOOKUP(B16,Data!$K$30:$V$250,COLUMN(C16)-1,FALSE)/SUM(Data!$L$30:$L$250)</f>
        <v>1.7823907557747862E-2</v>
      </c>
      <c r="D16" s="50">
        <f>VLOOKUP($B16,Data!$K$30:$V$250,COLUMN(D16)-1,FALSE)</f>
        <v>2.7E-2</v>
      </c>
      <c r="E16" s="50">
        <f>VLOOKUP($B16,Data!$K$30:$V$250,COLUMN(E16)-1,FALSE)</f>
        <v>3.0000000000000001E-3</v>
      </c>
      <c r="F16" s="50">
        <f>VLOOKUP($B16,Data!$K$30:$V$250,COLUMN(F16)-1,FALSE)</f>
        <v>2.5000000000000001E-2</v>
      </c>
      <c r="G16" s="50">
        <f>VLOOKUP($B16,Data!$K$30:$V$250,COLUMN(G16)-1,FALSE)</f>
        <v>2.3E-2</v>
      </c>
      <c r="H16" s="51" t="str">
        <f>Tabs!AL28</f>
        <v>TBR</v>
      </c>
      <c r="I16" s="53" t="str">
        <f t="shared" si="0"/>
        <v>Contracting, slower</v>
      </c>
      <c r="M16" s="54" t="s">
        <v>36</v>
      </c>
      <c r="N16" s="55">
        <f t="shared" si="1"/>
        <v>3.1228947578757466E-2</v>
      </c>
      <c r="O16" s="51" t="str">
        <f>Tabs!V28</f>
        <v>TBR</v>
      </c>
      <c r="P16" s="51" t="str">
        <f>Tabs!V27</f>
        <v>TBR</v>
      </c>
      <c r="Q16" s="51" t="e">
        <f t="shared" si="2"/>
        <v>#VALUE!</v>
      </c>
      <c r="R16" s="57">
        <v>3</v>
      </c>
      <c r="S16" s="53" t="s">
        <v>90</v>
      </c>
    </row>
    <row r="17" spans="1:19" ht="13.15" customHeight="1" x14ac:dyDescent="0.35">
      <c r="B17" s="54" t="s">
        <v>39</v>
      </c>
      <c r="C17" s="55">
        <f>VLOOKUP(B17,Data!$K$30:$V$250,COLUMN(C17)-1,FALSE)/SUM(Data!$L$30:$L$250)</f>
        <v>1.5506000296874822E-2</v>
      </c>
      <c r="D17" s="50">
        <f>VLOOKUP($B17,Data!$K$30:$V$250,COLUMN(D17)-1,FALSE)</f>
        <v>1.6E-2</v>
      </c>
      <c r="E17" s="50">
        <f>VLOOKUP($B17,Data!$K$30:$V$250,COLUMN(E17)-1,FALSE)</f>
        <v>5.0000000000000001E-3</v>
      </c>
      <c r="F17" s="50">
        <f>VLOOKUP($B17,Data!$K$30:$V$250,COLUMN(F17)-1,FALSE)</f>
        <v>5.0000000000000001E-4</v>
      </c>
      <c r="G17" s="50">
        <f>VLOOKUP($B17,Data!$K$30:$V$250,COLUMN(G17)-1,FALSE)</f>
        <v>-4.0000000000000001E-3</v>
      </c>
      <c r="H17" s="51" t="str">
        <f>Tabs!AD28</f>
        <v>TBR</v>
      </c>
      <c r="I17" s="52" t="str">
        <f t="shared" si="0"/>
        <v>Growing, slower</v>
      </c>
      <c r="M17" s="54" t="s">
        <v>41</v>
      </c>
      <c r="N17" s="55">
        <f t="shared" si="1"/>
        <v>2.3944096187442195E-2</v>
      </c>
      <c r="O17" s="51">
        <f>Tabs!BF28</f>
        <v>48.7</v>
      </c>
      <c r="P17" s="51" t="str">
        <f>Tabs!BF27</f>
        <v>TBR</v>
      </c>
      <c r="Q17" s="51" t="e">
        <f t="shared" si="2"/>
        <v>#VALUE!</v>
      </c>
      <c r="R17" s="57">
        <v>1</v>
      </c>
      <c r="S17" s="53" t="s">
        <v>90</v>
      </c>
    </row>
    <row r="18" spans="1:19" ht="13.15" customHeight="1" x14ac:dyDescent="0.35">
      <c r="B18" s="56" t="s">
        <v>44</v>
      </c>
      <c r="C18" s="29">
        <f>VLOOKUP(B18,Data!$K$30:$V$250,COLUMN(C18)-1,FALSE)/SUM(Data!$L$30:$L$250)</f>
        <v>2.4891811964055312E-3</v>
      </c>
      <c r="D18" s="50">
        <f>VLOOKUP($B18,Data!$K$30:$V$250,COLUMN(D18)-1,FALSE)</f>
        <v>7.6999999999999999E-2</v>
      </c>
      <c r="E18" s="50">
        <f>VLOOKUP($B18,Data!$K$30:$V$250,COLUMN(E18)-1,FALSE)</f>
        <v>1.4999999999999999E-2</v>
      </c>
      <c r="F18" s="50">
        <f>VLOOKUP($B18,Data!$K$30:$V$250,COLUMN(F18)-1,FALSE)</f>
        <v>5.0000000000000001E-4</v>
      </c>
      <c r="G18" s="50">
        <f>VLOOKUP($B18,Data!$K$30:$V$250,COLUMN(G18)-1,FALSE)</f>
        <v>2E-3</v>
      </c>
      <c r="H18" s="51" t="str">
        <f>Tabs!AH28</f>
        <v>TBR</v>
      </c>
      <c r="I18" s="52" t="str">
        <f t="shared" si="0"/>
        <v>Growing, faster</v>
      </c>
      <c r="M18" s="56" t="s">
        <v>43</v>
      </c>
      <c r="N18" s="29">
        <f t="shared" si="1"/>
        <v>1.7823907557747862E-2</v>
      </c>
      <c r="O18" s="51" t="str">
        <f>Tabs!AL28</f>
        <v>TBR</v>
      </c>
      <c r="P18" s="51" t="str">
        <f>Tabs!AL27</f>
        <v>TBR</v>
      </c>
      <c r="Q18" s="51" t="e">
        <f t="shared" si="2"/>
        <v>#VALUE!</v>
      </c>
      <c r="R18" s="57">
        <v>7</v>
      </c>
      <c r="S18" s="53" t="s">
        <v>58</v>
      </c>
    </row>
    <row r="21" spans="1:19" x14ac:dyDescent="0.35">
      <c r="C21" s="43"/>
      <c r="D21" s="43"/>
      <c r="E21" s="43"/>
      <c r="F21" s="43"/>
    </row>
    <row r="22" spans="1:19" x14ac:dyDescent="0.35">
      <c r="C22" s="43"/>
      <c r="D22" s="43"/>
      <c r="E22" s="43"/>
      <c r="F22" s="43"/>
    </row>
    <row r="23" spans="1:19" x14ac:dyDescent="0.35">
      <c r="A23" s="44"/>
      <c r="B23" s="45"/>
      <c r="C23" s="43"/>
      <c r="D23" s="43"/>
      <c r="E23" s="43"/>
      <c r="F23" s="43"/>
      <c r="G23" s="43"/>
      <c r="H23" s="43"/>
      <c r="I23" s="43"/>
      <c r="J23" s="45"/>
      <c r="K23" s="45"/>
      <c r="L23" s="45"/>
    </row>
    <row r="24" spans="1:19" x14ac:dyDescent="0.35">
      <c r="A24" s="44"/>
      <c r="B24" s="45"/>
      <c r="C24" s="43"/>
      <c r="D24" s="43"/>
      <c r="E24" s="43"/>
      <c r="F24" s="43"/>
      <c r="G24" s="43"/>
      <c r="H24" s="43"/>
      <c r="I24" s="43"/>
      <c r="J24" s="45"/>
      <c r="K24" s="45"/>
      <c r="L24" s="45"/>
    </row>
    <row r="25" spans="1:19" x14ac:dyDescent="0.35">
      <c r="A25" s="44"/>
      <c r="B25" s="45"/>
      <c r="C25" s="43"/>
      <c r="D25" s="43"/>
      <c r="E25" s="43"/>
      <c r="F25" s="43"/>
      <c r="G25" s="43"/>
      <c r="H25" s="43"/>
      <c r="I25" s="43"/>
      <c r="J25" s="45"/>
      <c r="K25" s="45"/>
      <c r="L25" s="45"/>
    </row>
    <row r="26" spans="1:19" x14ac:dyDescent="0.35">
      <c r="A26" s="44"/>
      <c r="B26" s="45"/>
      <c r="C26" s="43"/>
      <c r="D26" s="43"/>
      <c r="E26" s="43"/>
      <c r="F26" s="43"/>
      <c r="G26" s="43"/>
      <c r="H26" s="43"/>
      <c r="I26" s="43"/>
      <c r="J26" s="45"/>
      <c r="K26" s="45"/>
      <c r="L26" s="45"/>
    </row>
    <row r="27" spans="1:19" x14ac:dyDescent="0.35">
      <c r="A27" s="44"/>
      <c r="B27" s="45"/>
      <c r="C27" s="43"/>
      <c r="D27" s="43"/>
      <c r="E27" s="43"/>
      <c r="F27" s="43"/>
      <c r="G27" s="43"/>
      <c r="H27" s="43"/>
      <c r="I27" s="43"/>
      <c r="J27" s="45"/>
      <c r="K27" s="45"/>
      <c r="L27" s="45"/>
    </row>
    <row r="28" spans="1:19" x14ac:dyDescent="0.35">
      <c r="A28" s="44"/>
      <c r="B28" s="45"/>
      <c r="C28" s="43"/>
      <c r="D28" s="43"/>
      <c r="E28" s="43"/>
      <c r="F28" s="43"/>
      <c r="G28" s="43"/>
      <c r="H28" s="43"/>
      <c r="I28" s="43"/>
      <c r="J28" s="45"/>
      <c r="K28" s="45"/>
      <c r="L28" s="45"/>
    </row>
    <row r="29" spans="1:19" x14ac:dyDescent="0.35">
      <c r="A29" s="44"/>
      <c r="B29" s="45"/>
      <c r="C29" s="43"/>
      <c r="D29" s="43"/>
      <c r="E29" s="43"/>
      <c r="F29" s="43"/>
      <c r="G29" s="43"/>
      <c r="H29" s="43"/>
      <c r="I29" s="43"/>
      <c r="J29" s="45"/>
      <c r="K29" s="45"/>
      <c r="L29" s="45"/>
    </row>
    <row r="30" spans="1:19" x14ac:dyDescent="0.35">
      <c r="A30" s="44"/>
      <c r="B30" s="45"/>
      <c r="C30" s="43"/>
      <c r="D30" s="43"/>
      <c r="E30" s="43"/>
      <c r="F30" s="43"/>
      <c r="G30" s="43"/>
      <c r="H30" s="43"/>
      <c r="I30" s="43"/>
      <c r="J30" s="45"/>
      <c r="K30" s="45"/>
      <c r="L30" s="45"/>
    </row>
    <row r="31" spans="1:19" x14ac:dyDescent="0.35">
      <c r="A31" s="44"/>
      <c r="B31" s="45"/>
      <c r="C31" s="43"/>
      <c r="D31" s="43"/>
      <c r="E31" s="43"/>
      <c r="F31" s="43"/>
      <c r="G31" s="43"/>
      <c r="H31" s="43"/>
      <c r="I31" s="43"/>
      <c r="J31" s="45"/>
      <c r="K31" s="45"/>
      <c r="L31" s="45"/>
    </row>
    <row r="32" spans="1:19" x14ac:dyDescent="0.35">
      <c r="A32" s="44"/>
      <c r="B32" s="45"/>
      <c r="C32" s="43"/>
      <c r="D32" s="43"/>
      <c r="E32" s="43"/>
      <c r="F32" s="43"/>
      <c r="G32" s="43"/>
      <c r="H32" s="43"/>
      <c r="I32" s="43"/>
      <c r="J32" s="45"/>
      <c r="K32" s="45"/>
      <c r="L32" s="45"/>
    </row>
    <row r="33" spans="1:12" x14ac:dyDescent="0.35">
      <c r="A33" s="44"/>
      <c r="B33" s="45"/>
      <c r="C33" s="43"/>
      <c r="D33" s="43"/>
      <c r="E33" s="43"/>
      <c r="F33" s="43"/>
      <c r="G33" s="43"/>
      <c r="H33" s="43"/>
      <c r="I33" s="43"/>
      <c r="J33" s="45"/>
      <c r="K33" s="45"/>
      <c r="L33" s="45"/>
    </row>
    <row r="34" spans="1:12" x14ac:dyDescent="0.35">
      <c r="A34" s="44"/>
      <c r="B34" s="45"/>
      <c r="C34" s="43"/>
      <c r="D34" s="43"/>
      <c r="E34" s="43"/>
      <c r="F34" s="43"/>
      <c r="G34" s="43"/>
      <c r="H34" s="43"/>
      <c r="I34" s="43"/>
      <c r="J34" s="45"/>
      <c r="K34" s="45"/>
      <c r="L34" s="45"/>
    </row>
  </sheetData>
  <conditionalFormatting sqref="D5:G18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62">
      <colorScale>
        <cfvo type="min"/>
        <cfvo type="max"/>
        <color rgb="FFFCFCFF"/>
        <color rgb="FFF8696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5:E18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:F18">
    <cfRule type="colorScale" priority="12">
      <colorScale>
        <cfvo type="min"/>
        <cfvo type="max"/>
        <color rgb="FFFCFCFF"/>
        <color rgb="FF63BE7B"/>
      </colorScale>
    </cfRule>
  </conditionalFormatting>
  <conditionalFormatting sqref="G5:G18">
    <cfRule type="colorScale" priority="165">
      <colorScale>
        <cfvo type="min"/>
        <cfvo type="max"/>
        <color rgb="FFFCFCFF"/>
        <color rgb="FFF8696B"/>
      </colorScale>
    </cfRule>
  </conditionalFormatting>
  <conditionalFormatting sqref="H5:H18">
    <cfRule type="colorScale" priority="166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O5:O18">
    <cfRule type="colorScale" priority="4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P5:Q18">
    <cfRule type="colorScale" priority="11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Q5:Q1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5:R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G28"/>
  <sheetViews>
    <sheetView topLeftCell="T1" zoomScale="55" zoomScaleNormal="55" workbookViewId="0">
      <selection activeCell="BB38" sqref="BB38"/>
    </sheetView>
  </sheetViews>
  <sheetFormatPr defaultRowHeight="14.5" x14ac:dyDescent="0.35"/>
  <cols>
    <col min="1" max="3" width="8.7265625" customWidth="1"/>
    <col min="4" max="4" width="4.7265625" customWidth="1"/>
    <col min="5" max="7" width="8.7265625" customWidth="1"/>
    <col min="8" max="8" width="4.7265625" customWidth="1"/>
    <col min="9" max="11" width="8.7265625" customWidth="1"/>
    <col min="12" max="12" width="4.7265625" customWidth="1"/>
    <col min="13" max="15" width="8.7265625" customWidth="1"/>
    <col min="16" max="16" width="4.7265625" customWidth="1"/>
    <col min="17" max="19" width="8.7265625" customWidth="1"/>
    <col min="20" max="20" width="4.7265625" customWidth="1"/>
    <col min="21" max="23" width="8.7265625" customWidth="1"/>
    <col min="24" max="24" width="4.7265625" customWidth="1"/>
    <col min="25" max="27" width="8.7265625" customWidth="1"/>
    <col min="28" max="28" width="4.7265625" customWidth="1"/>
    <col min="29" max="31" width="8.7265625" customWidth="1"/>
    <col min="32" max="32" width="4.7265625" customWidth="1"/>
    <col min="33" max="35" width="8.7265625" customWidth="1"/>
    <col min="36" max="36" width="4.7265625" customWidth="1"/>
    <col min="37" max="39" width="8.7265625" customWidth="1"/>
    <col min="40" max="40" width="4.7265625" customWidth="1"/>
    <col min="41" max="43" width="8.7265625" customWidth="1"/>
    <col min="44" max="44" width="4.7265625" customWidth="1"/>
    <col min="45" max="47" width="8.7265625" customWidth="1"/>
    <col min="48" max="48" width="4.7265625" customWidth="1"/>
    <col min="49" max="51" width="8.7265625" customWidth="1"/>
    <col min="52" max="52" width="4.7265625" customWidth="1"/>
    <col min="53" max="55" width="8.7265625" customWidth="1"/>
    <col min="56" max="56" width="4.7265625" customWidth="1"/>
    <col min="57" max="59" width="8.7265625" customWidth="1"/>
  </cols>
  <sheetData>
    <row r="3" spans="1:59" x14ac:dyDescent="0.35">
      <c r="A3" s="79" t="s">
        <v>30</v>
      </c>
      <c r="B3" s="79"/>
      <c r="C3" s="79"/>
      <c r="E3" s="79" t="s">
        <v>31</v>
      </c>
      <c r="F3" s="79"/>
      <c r="G3" s="79"/>
      <c r="I3" s="79" t="s">
        <v>37</v>
      </c>
      <c r="J3" s="79"/>
      <c r="K3" s="79"/>
      <c r="M3" s="79" t="s">
        <v>65</v>
      </c>
      <c r="N3" s="79"/>
      <c r="O3" s="79"/>
      <c r="Q3" s="79" t="s">
        <v>66</v>
      </c>
      <c r="R3" s="79"/>
      <c r="S3" s="79"/>
      <c r="U3" s="79" t="s">
        <v>67</v>
      </c>
      <c r="V3" s="79"/>
      <c r="W3" s="79"/>
      <c r="Y3" s="79" t="s">
        <v>68</v>
      </c>
      <c r="Z3" s="79"/>
      <c r="AA3" s="79"/>
      <c r="AC3" s="79" t="s">
        <v>69</v>
      </c>
      <c r="AD3" s="79"/>
      <c r="AE3" s="79"/>
      <c r="AG3" s="79" t="s">
        <v>70</v>
      </c>
      <c r="AH3" s="79"/>
      <c r="AI3" s="79"/>
      <c r="AK3" s="79" t="s">
        <v>71</v>
      </c>
      <c r="AL3" s="79"/>
      <c r="AM3" s="79"/>
      <c r="AO3" s="79" t="s">
        <v>72</v>
      </c>
      <c r="AP3" s="79"/>
      <c r="AQ3" s="79"/>
      <c r="AS3" s="79" t="s">
        <v>73</v>
      </c>
      <c r="AT3" s="79"/>
      <c r="AU3" s="79"/>
      <c r="AW3" s="79" t="s">
        <v>74</v>
      </c>
      <c r="AX3" s="79"/>
      <c r="AY3" s="79"/>
      <c r="BA3" s="79" t="s">
        <v>75</v>
      </c>
      <c r="BB3" s="79"/>
      <c r="BC3" s="79"/>
      <c r="BE3" s="79" t="s">
        <v>76</v>
      </c>
      <c r="BF3" s="79"/>
      <c r="BG3" s="79"/>
    </row>
    <row r="4" spans="1:59" x14ac:dyDescent="0.35">
      <c r="A4" s="31" t="s">
        <v>0</v>
      </c>
      <c r="B4" s="32" t="s">
        <v>64</v>
      </c>
      <c r="C4" s="33" t="s">
        <v>1</v>
      </c>
      <c r="E4" s="31" t="s">
        <v>0</v>
      </c>
      <c r="F4" s="32" t="s">
        <v>64</v>
      </c>
      <c r="G4" s="33" t="s">
        <v>1</v>
      </c>
      <c r="I4" s="31" t="s">
        <v>0</v>
      </c>
      <c r="J4" s="32" t="s">
        <v>64</v>
      </c>
      <c r="K4" s="33" t="s">
        <v>1</v>
      </c>
      <c r="M4" s="31" t="s">
        <v>0</v>
      </c>
      <c r="N4" s="32" t="s">
        <v>64</v>
      </c>
      <c r="O4" s="33" t="s">
        <v>1</v>
      </c>
      <c r="Q4" s="31" t="s">
        <v>0</v>
      </c>
      <c r="R4" s="32" t="s">
        <v>64</v>
      </c>
      <c r="S4" s="33" t="s">
        <v>1</v>
      </c>
      <c r="U4" s="31" t="s">
        <v>0</v>
      </c>
      <c r="V4" s="32" t="s">
        <v>64</v>
      </c>
      <c r="W4" s="33" t="s">
        <v>1</v>
      </c>
      <c r="Y4" s="31" t="s">
        <v>0</v>
      </c>
      <c r="Z4" s="32" t="s">
        <v>64</v>
      </c>
      <c r="AA4" s="33" t="s">
        <v>1</v>
      </c>
      <c r="AC4" s="31" t="s">
        <v>0</v>
      </c>
      <c r="AD4" s="32" t="s">
        <v>64</v>
      </c>
      <c r="AE4" s="33" t="s">
        <v>1</v>
      </c>
      <c r="AG4" s="31" t="s">
        <v>0</v>
      </c>
      <c r="AH4" s="32" t="s">
        <v>64</v>
      </c>
      <c r="AI4" s="33" t="s">
        <v>1</v>
      </c>
      <c r="AK4" s="31" t="s">
        <v>0</v>
      </c>
      <c r="AL4" s="32" t="s">
        <v>64</v>
      </c>
      <c r="AM4" s="33" t="s">
        <v>1</v>
      </c>
      <c r="AO4" s="31" t="s">
        <v>0</v>
      </c>
      <c r="AP4" s="32" t="s">
        <v>64</v>
      </c>
      <c r="AQ4" s="33" t="s">
        <v>1</v>
      </c>
      <c r="AS4" s="31" t="s">
        <v>0</v>
      </c>
      <c r="AT4" s="32" t="s">
        <v>64</v>
      </c>
      <c r="AU4" s="33" t="s">
        <v>1</v>
      </c>
      <c r="AW4" s="31" t="s">
        <v>0</v>
      </c>
      <c r="AX4" s="32" t="s">
        <v>64</v>
      </c>
      <c r="AY4" s="33" t="s">
        <v>1</v>
      </c>
      <c r="BA4" s="31" t="s">
        <v>0</v>
      </c>
      <c r="BB4" s="32" t="s">
        <v>64</v>
      </c>
      <c r="BC4" s="33" t="s">
        <v>1</v>
      </c>
      <c r="BE4" s="31" t="s">
        <v>0</v>
      </c>
      <c r="BF4" s="32" t="s">
        <v>64</v>
      </c>
      <c r="BG4" s="33" t="s">
        <v>1</v>
      </c>
    </row>
    <row r="5" spans="1:59" x14ac:dyDescent="0.35">
      <c r="A5" s="10">
        <f>Global!A67</f>
        <v>41244</v>
      </c>
      <c r="B5" s="11">
        <f>Global!B67</f>
        <v>54.8</v>
      </c>
      <c r="C5" s="12">
        <f>Global!C67</f>
        <v>0</v>
      </c>
      <c r="E5" s="10">
        <f>US!A68</f>
        <v>41244</v>
      </c>
      <c r="F5" s="11" t="str">
        <f>US!B68</f>
        <v>No data</v>
      </c>
      <c r="G5" s="12">
        <f>US!C68</f>
        <v>0</v>
      </c>
      <c r="I5" s="10">
        <f>UK!A67</f>
        <v>41244</v>
      </c>
      <c r="J5" s="11">
        <f>UK!B67</f>
        <v>50.2</v>
      </c>
      <c r="K5" s="12">
        <f>UK!C67</f>
        <v>-0.39999999999999858</v>
      </c>
      <c r="M5" s="10">
        <f>EZ!A67</f>
        <v>41244</v>
      </c>
      <c r="N5" s="11">
        <f>EZ!B67</f>
        <v>47.2</v>
      </c>
      <c r="O5" s="12">
        <f>EZ!C67</f>
        <v>0.5</v>
      </c>
      <c r="Q5" s="10">
        <f>DE!A67</f>
        <v>41244</v>
      </c>
      <c r="R5" s="11">
        <f>DE!B67</f>
        <v>55.7</v>
      </c>
      <c r="S5" s="12">
        <f>DE!C67</f>
        <v>6</v>
      </c>
      <c r="U5" s="10">
        <f>FR!A67</f>
        <v>41244</v>
      </c>
      <c r="V5" s="11">
        <f>FR!B67</f>
        <v>44.1</v>
      </c>
      <c r="W5" s="12">
        <f>FR!C67</f>
        <v>-1.6999999999999957</v>
      </c>
      <c r="Y5" s="10">
        <f>IT!A67</f>
        <v>41244</v>
      </c>
      <c r="Z5" s="11">
        <f>IT!B67</f>
        <v>43.1</v>
      </c>
      <c r="AA5" s="12">
        <f>IT!C67</f>
        <v>-1.5</v>
      </c>
      <c r="AC5" s="10">
        <f>ES!A67</f>
        <v>41244</v>
      </c>
      <c r="AD5" s="11">
        <f>ES!B67</f>
        <v>44.1</v>
      </c>
      <c r="AE5" s="12">
        <f>ES!C67</f>
        <v>1.7000000000000028</v>
      </c>
      <c r="AG5" s="10">
        <f>IR!A67</f>
        <v>41244</v>
      </c>
      <c r="AH5" s="11">
        <f>IR!B67</f>
        <v>56.5</v>
      </c>
      <c r="AI5" s="12">
        <f>IR!C67</f>
        <v>0.39999999999999858</v>
      </c>
      <c r="AK5" s="10">
        <f>AU!A67</f>
        <v>41244</v>
      </c>
      <c r="AL5" s="11">
        <f>AU!B67</f>
        <v>46.3</v>
      </c>
      <c r="AM5" s="12">
        <f>AU!C67</f>
        <v>-0.80000000000000426</v>
      </c>
      <c r="AO5" s="10">
        <f>JP!A67</f>
        <v>41244</v>
      </c>
      <c r="AP5" s="11">
        <f>JP!B67</f>
        <v>50.1</v>
      </c>
      <c r="AQ5" s="12">
        <f>JP!C67</f>
        <v>1</v>
      </c>
      <c r="AS5" s="10">
        <f>BR!A67</f>
        <v>41244</v>
      </c>
      <c r="AT5" s="11">
        <f>BR!B67</f>
        <v>53.2</v>
      </c>
      <c r="AU5" s="12">
        <f>BR!C67</f>
        <v>0.70000000000000284</v>
      </c>
      <c r="AW5" s="10">
        <f>CH!A67</f>
        <v>41244</v>
      </c>
      <c r="AX5" s="11">
        <f>CH!B67</f>
        <v>53.5</v>
      </c>
      <c r="AY5" s="12">
        <f>CH!C67</f>
        <v>1.3999999999999986</v>
      </c>
      <c r="BA5" s="10">
        <f>IN!A67</f>
        <v>41244</v>
      </c>
      <c r="BB5" s="11">
        <f>IN!B67</f>
        <v>52.1</v>
      </c>
      <c r="BC5" s="12">
        <f>IN!C67</f>
        <v>-1.6999999999999957</v>
      </c>
      <c r="BE5" s="10">
        <f>RS!A67</f>
        <v>41244</v>
      </c>
      <c r="BF5" s="11">
        <f>RS!B67</f>
        <v>56.1</v>
      </c>
      <c r="BG5" s="12">
        <f>RS!C67</f>
        <v>-1</v>
      </c>
    </row>
    <row r="6" spans="1:59" x14ac:dyDescent="0.35">
      <c r="A6" s="10">
        <f>Global!A68</f>
        <v>41275</v>
      </c>
      <c r="B6" s="11">
        <f>Global!B68</f>
        <v>53.6</v>
      </c>
      <c r="C6" s="12">
        <f>Global!C68</f>
        <v>-1.1999999999999957</v>
      </c>
      <c r="E6" s="10">
        <f>US!A69</f>
        <v>41275</v>
      </c>
      <c r="F6" s="11" t="str">
        <f>US!B69</f>
        <v>No data</v>
      </c>
      <c r="G6" s="12">
        <f>US!C69</f>
        <v>0</v>
      </c>
      <c r="I6" s="10">
        <f>UK!A68</f>
        <v>41275</v>
      </c>
      <c r="J6" s="11">
        <f>UK!B68</f>
        <v>51.5</v>
      </c>
      <c r="K6" s="12">
        <f>UK!C68</f>
        <v>1.2999999999999972</v>
      </c>
      <c r="M6" s="10">
        <f>EZ!A68</f>
        <v>41275</v>
      </c>
      <c r="N6" s="11">
        <f>EZ!B68</f>
        <v>48.6</v>
      </c>
      <c r="O6" s="12">
        <f>EZ!C68</f>
        <v>1.3999999999999986</v>
      </c>
      <c r="Q6" s="10">
        <f>DE!A68</f>
        <v>41275</v>
      </c>
      <c r="R6" s="11">
        <f>DE!B68</f>
        <v>54.7</v>
      </c>
      <c r="S6" s="12">
        <f>DE!C68</f>
        <v>-1</v>
      </c>
      <c r="U6" s="10">
        <f>FR!A68</f>
        <v>41275</v>
      </c>
      <c r="V6" s="11">
        <f>FR!B68</f>
        <v>43.6</v>
      </c>
      <c r="W6" s="12">
        <f>FR!C68</f>
        <v>-0.5</v>
      </c>
      <c r="Y6" s="10">
        <f>IT!A68</f>
        <v>41275</v>
      </c>
      <c r="Z6" s="11">
        <f>IT!B68</f>
        <v>43.9</v>
      </c>
      <c r="AA6" s="12">
        <f>IT!C68</f>
        <v>0.79999999999999716</v>
      </c>
      <c r="AC6" s="10">
        <f>ES!A68</f>
        <v>41275</v>
      </c>
      <c r="AD6" s="11">
        <f>ES!B68</f>
        <v>47</v>
      </c>
      <c r="AE6" s="12">
        <f>ES!C68</f>
        <v>2.8999999999999986</v>
      </c>
      <c r="AG6" s="10">
        <f>IR!A68</f>
        <v>41275</v>
      </c>
      <c r="AH6" s="11">
        <f>IR!B68</f>
        <v>56.8</v>
      </c>
      <c r="AI6" s="12">
        <f>IR!C68</f>
        <v>0.29999999999999716</v>
      </c>
      <c r="AK6" s="10">
        <f>AU!A68</f>
        <v>41275</v>
      </c>
      <c r="AL6" s="11">
        <f>AU!B68</f>
        <v>45.4</v>
      </c>
      <c r="AM6" s="12">
        <f>AU!C68</f>
        <v>-0.89999999999999858</v>
      </c>
      <c r="AO6" s="10">
        <f>JP!A68</f>
        <v>41275</v>
      </c>
      <c r="AP6" s="11">
        <f>JP!B68</f>
        <v>50.4</v>
      </c>
      <c r="AQ6" s="12">
        <f>JP!C68</f>
        <v>0.29999999999999716</v>
      </c>
      <c r="AS6" s="10">
        <f>BR!A68</f>
        <v>41275</v>
      </c>
      <c r="AT6" s="11">
        <f>BR!B68</f>
        <v>54.5</v>
      </c>
      <c r="AU6" s="12">
        <f>BR!C68</f>
        <v>1.2999999999999972</v>
      </c>
      <c r="AW6" s="10">
        <f>CH!A68</f>
        <v>41275</v>
      </c>
      <c r="AX6" s="11">
        <f>CH!B68</f>
        <v>54</v>
      </c>
      <c r="AY6" s="12">
        <f>CH!C68</f>
        <v>0.5</v>
      </c>
      <c r="BA6" s="10">
        <f>IN!A68</f>
        <v>41275</v>
      </c>
      <c r="BB6" s="11">
        <f>IN!B68</f>
        <v>57.5</v>
      </c>
      <c r="BC6" s="12">
        <f>IN!C68</f>
        <v>5.3999999999999986</v>
      </c>
      <c r="BE6" s="10">
        <f>RS!A68</f>
        <v>41275</v>
      </c>
      <c r="BF6" s="11">
        <f>RS!B68</f>
        <v>55.7</v>
      </c>
      <c r="BG6" s="12">
        <f>RS!C68</f>
        <v>-0.39999999999999858</v>
      </c>
    </row>
    <row r="7" spans="1:59" x14ac:dyDescent="0.35">
      <c r="A7" s="10">
        <f>Global!A69</f>
        <v>41306</v>
      </c>
      <c r="B7" s="11">
        <f>Global!B69</f>
        <v>53.2</v>
      </c>
      <c r="C7" s="12">
        <f>Global!C69</f>
        <v>-0.39999999999999858</v>
      </c>
      <c r="E7" s="10">
        <f>US!A70</f>
        <v>41306</v>
      </c>
      <c r="F7" s="11" t="str">
        <f>US!B70</f>
        <v>No data</v>
      </c>
      <c r="G7" s="12">
        <f>US!C70</f>
        <v>0</v>
      </c>
      <c r="I7" s="10">
        <f>UK!A69</f>
        <v>41306</v>
      </c>
      <c r="J7" s="11">
        <f>UK!B69</f>
        <v>51.8</v>
      </c>
      <c r="K7" s="12">
        <f>UK!C69</f>
        <v>0.29999999999999716</v>
      </c>
      <c r="M7" s="10">
        <f>EZ!A69</f>
        <v>41306</v>
      </c>
      <c r="N7" s="11">
        <f>EZ!B69</f>
        <v>47.9</v>
      </c>
      <c r="O7" s="12">
        <f>EZ!C69</f>
        <v>-0.70000000000000284</v>
      </c>
      <c r="Q7" s="10">
        <f>DE!A69</f>
        <v>41306</v>
      </c>
      <c r="R7" s="11">
        <f>DE!B69</f>
        <v>50.9</v>
      </c>
      <c r="S7" s="12">
        <f>DE!C69</f>
        <v>-3.8000000000000043</v>
      </c>
      <c r="U7" s="10">
        <f>FR!A69</f>
        <v>41306</v>
      </c>
      <c r="V7" s="11">
        <f>FR!B69</f>
        <v>43.7</v>
      </c>
      <c r="W7" s="12">
        <f>FR!C69</f>
        <v>0.10000000000000142</v>
      </c>
      <c r="Y7" s="10">
        <f>IT!A69</f>
        <v>41306</v>
      </c>
      <c r="Z7" s="11">
        <f>IT!B69</f>
        <v>43.6</v>
      </c>
      <c r="AA7" s="12">
        <f>IT!C69</f>
        <v>-0.29999999999999716</v>
      </c>
      <c r="AC7" s="10">
        <f>ES!A69</f>
        <v>41306</v>
      </c>
      <c r="AD7" s="11">
        <f>ES!B69</f>
        <v>44.7</v>
      </c>
      <c r="AE7" s="12">
        <f>ES!C69</f>
        <v>-2.2999999999999972</v>
      </c>
      <c r="AG7" s="10">
        <f>IR!A69</f>
        <v>41306</v>
      </c>
      <c r="AH7" s="11">
        <f>IR!B69</f>
        <v>53.6</v>
      </c>
      <c r="AI7" s="12">
        <f>IR!C69</f>
        <v>-3.1999999999999957</v>
      </c>
      <c r="AK7" s="10">
        <f>AU!A69</f>
        <v>41306</v>
      </c>
      <c r="AL7" s="11">
        <f>AU!B69</f>
        <v>48.5</v>
      </c>
      <c r="AM7" s="12">
        <f>AU!C69</f>
        <v>3.1000000000000014</v>
      </c>
      <c r="AO7" s="10">
        <f>JP!A69</f>
        <v>41306</v>
      </c>
      <c r="AP7" s="11">
        <f>JP!B69</f>
        <v>51.3</v>
      </c>
      <c r="AQ7" s="12">
        <f>JP!C69</f>
        <v>0.89999999999999858</v>
      </c>
      <c r="AS7" s="10">
        <f>BR!A69</f>
        <v>41306</v>
      </c>
      <c r="AT7" s="11">
        <f>BR!B69</f>
        <v>52.1</v>
      </c>
      <c r="AU7" s="12">
        <f>BR!C69</f>
        <v>-2.3999999999999986</v>
      </c>
      <c r="AW7" s="10">
        <f>CH!A69</f>
        <v>41306</v>
      </c>
      <c r="AX7" s="11">
        <f>CH!B69</f>
        <v>52.1</v>
      </c>
      <c r="AY7" s="12">
        <f>CH!C69</f>
        <v>-1.8999999999999986</v>
      </c>
      <c r="BA7" s="10">
        <f>IN!A69</f>
        <v>41306</v>
      </c>
      <c r="BB7" s="11">
        <f>IN!B69</f>
        <v>54.2</v>
      </c>
      <c r="BC7" s="12">
        <f>IN!C69</f>
        <v>-3.2999999999999972</v>
      </c>
      <c r="BE7" s="10">
        <f>RS!A69</f>
        <v>41306</v>
      </c>
      <c r="BF7" s="11">
        <f>RS!B69</f>
        <v>56.1</v>
      </c>
      <c r="BG7" s="12">
        <f>RS!C69</f>
        <v>0.39999999999999858</v>
      </c>
    </row>
    <row r="8" spans="1:59" x14ac:dyDescent="0.35">
      <c r="A8" s="10">
        <f>Global!A70</f>
        <v>41334</v>
      </c>
      <c r="B8" s="11">
        <f>Global!B70</f>
        <v>53.4</v>
      </c>
      <c r="C8" s="12">
        <f>Global!C70</f>
        <v>0.19999999999999574</v>
      </c>
      <c r="E8" s="10">
        <f>US!A71</f>
        <v>41334</v>
      </c>
      <c r="F8" s="11" t="str">
        <f>US!B71</f>
        <v>No data</v>
      </c>
      <c r="G8" s="12">
        <f>US!C71</f>
        <v>0</v>
      </c>
      <c r="I8" s="10">
        <f>UK!A70</f>
        <v>41334</v>
      </c>
      <c r="J8" s="11">
        <f>UK!B70</f>
        <v>52.4</v>
      </c>
      <c r="K8" s="12">
        <f>UK!C70</f>
        <v>0.60000000000000142</v>
      </c>
      <c r="M8" s="10">
        <f>EZ!A70</f>
        <v>41334</v>
      </c>
      <c r="N8" s="11">
        <f>EZ!B70</f>
        <v>46.4</v>
      </c>
      <c r="O8" s="12">
        <f>EZ!C70</f>
        <v>-1.5</v>
      </c>
      <c r="Q8" s="10">
        <f>DE!A70</f>
        <v>41334</v>
      </c>
      <c r="R8" s="11">
        <f>DE!B70</f>
        <v>49.6</v>
      </c>
      <c r="S8" s="12">
        <f>DE!C70</f>
        <v>-1.2999999999999972</v>
      </c>
      <c r="U8" s="10">
        <f>FR!A70</f>
        <v>41334</v>
      </c>
      <c r="V8" s="11">
        <f>FR!B70</f>
        <v>41.3</v>
      </c>
      <c r="W8" s="12">
        <f>FR!C70</f>
        <v>-2.4000000000000057</v>
      </c>
      <c r="Y8" s="10">
        <f>IT!A70</f>
        <v>41334</v>
      </c>
      <c r="Z8" s="11">
        <f>IT!B70</f>
        <v>45.5</v>
      </c>
      <c r="AA8" s="12">
        <f>IT!C70</f>
        <v>1.8999999999999986</v>
      </c>
      <c r="AC8" s="10">
        <f>ES!A70</f>
        <v>41334</v>
      </c>
      <c r="AD8" s="11">
        <f>ES!B70</f>
        <v>45.3</v>
      </c>
      <c r="AE8" s="12">
        <f>ES!C70</f>
        <v>0.59999999999999432</v>
      </c>
      <c r="AG8" s="10">
        <f>IR!A70</f>
        <v>41334</v>
      </c>
      <c r="AH8" s="11">
        <f>IR!B70</f>
        <v>52.3</v>
      </c>
      <c r="AI8" s="12">
        <f>IR!C70</f>
        <v>-1.3000000000000043</v>
      </c>
      <c r="AK8" s="10">
        <f>AU!A70</f>
        <v>41334</v>
      </c>
      <c r="AL8" s="11">
        <f>AU!B70</f>
        <v>49.6</v>
      </c>
      <c r="AM8" s="12">
        <f>AU!C70</f>
        <v>1.1000000000000014</v>
      </c>
      <c r="AO8" s="10">
        <f>JP!A70</f>
        <v>41334</v>
      </c>
      <c r="AP8" s="11">
        <f>JP!B70</f>
        <v>53.4</v>
      </c>
      <c r="AQ8" s="12">
        <f>JP!C70</f>
        <v>2.1000000000000014</v>
      </c>
      <c r="AS8" s="10">
        <f>BR!A70</f>
        <v>41334</v>
      </c>
      <c r="AT8" s="11">
        <f>BR!B70</f>
        <v>50.3</v>
      </c>
      <c r="AU8" s="12">
        <f>BR!C70</f>
        <v>-1.8000000000000043</v>
      </c>
      <c r="AW8" s="10">
        <f>CH!A70</f>
        <v>41334</v>
      </c>
      <c r="AX8" s="11">
        <f>CH!B70</f>
        <v>54.3</v>
      </c>
      <c r="AY8" s="12">
        <f>CH!C70</f>
        <v>2.1999999999999957</v>
      </c>
      <c r="BA8" s="10">
        <f>IN!A70</f>
        <v>41334</v>
      </c>
      <c r="BB8" s="11">
        <f>IN!B70</f>
        <v>51.4</v>
      </c>
      <c r="BC8" s="12">
        <f>IN!C70</f>
        <v>-2.8000000000000043</v>
      </c>
      <c r="BE8" s="10">
        <f>RS!A70</f>
        <v>41334</v>
      </c>
      <c r="BF8" s="11">
        <f>RS!B70</f>
        <v>54.6</v>
      </c>
      <c r="BG8" s="12">
        <f>RS!C70</f>
        <v>-1.5</v>
      </c>
    </row>
    <row r="9" spans="1:59" x14ac:dyDescent="0.35">
      <c r="A9" s="10">
        <f>Global!A71</f>
        <v>41365</v>
      </c>
      <c r="B9" s="11">
        <f>Global!B71</f>
        <v>52.1</v>
      </c>
      <c r="C9" s="12">
        <f>Global!C71</f>
        <v>-1.2999999999999972</v>
      </c>
      <c r="E9" s="10">
        <f>US!A72</f>
        <v>41365</v>
      </c>
      <c r="F9" s="11" t="str">
        <f>US!B72</f>
        <v>No data</v>
      </c>
      <c r="G9" s="12">
        <f>US!C72</f>
        <v>0</v>
      </c>
      <c r="I9" s="10">
        <f>UK!A71</f>
        <v>41365</v>
      </c>
      <c r="J9" s="11">
        <f>UK!B71</f>
        <v>52.9</v>
      </c>
      <c r="K9" s="12">
        <f>UK!C71</f>
        <v>0.5</v>
      </c>
      <c r="M9" s="10">
        <f>EZ!A71</f>
        <v>41365</v>
      </c>
      <c r="N9" s="11">
        <f>EZ!B71</f>
        <v>47</v>
      </c>
      <c r="O9" s="12">
        <f>EZ!C71</f>
        <v>0.60000000000000142</v>
      </c>
      <c r="Q9" s="10">
        <f>DE!A71</f>
        <v>41365</v>
      </c>
      <c r="R9" s="11">
        <f>DE!B71</f>
        <v>49.7</v>
      </c>
      <c r="S9" s="12">
        <f>DE!C71</f>
        <v>0.10000000000000142</v>
      </c>
      <c r="U9" s="10">
        <f>FR!A71</f>
        <v>41365</v>
      </c>
      <c r="V9" s="11">
        <f>FR!B71</f>
        <v>44.3</v>
      </c>
      <c r="W9" s="12">
        <f>FR!C71</f>
        <v>3</v>
      </c>
      <c r="Y9" s="10">
        <f>IT!A71</f>
        <v>41365</v>
      </c>
      <c r="Z9" s="11">
        <f>IT!B71</f>
        <v>47</v>
      </c>
      <c r="AA9" s="12">
        <f>IT!C71</f>
        <v>1.5</v>
      </c>
      <c r="AC9" s="10">
        <f>ES!A71</f>
        <v>41365</v>
      </c>
      <c r="AD9" s="11">
        <f>ES!B71</f>
        <v>44.4</v>
      </c>
      <c r="AE9" s="12">
        <f>ES!C71</f>
        <v>-0.89999999999999858</v>
      </c>
      <c r="AG9" s="10">
        <f>IR!A71</f>
        <v>41365</v>
      </c>
      <c r="AH9" s="11">
        <f>IR!B71</f>
        <v>55.2</v>
      </c>
      <c r="AI9" s="12">
        <f>IR!C71</f>
        <v>2.9000000000000057</v>
      </c>
      <c r="AK9" s="10">
        <f>AU!A71</f>
        <v>41365</v>
      </c>
      <c r="AL9" s="11">
        <f>AU!B71</f>
        <v>44.1</v>
      </c>
      <c r="AM9" s="12">
        <f>AU!C71</f>
        <v>-5.5</v>
      </c>
      <c r="AO9" s="10">
        <f>JP!A71</f>
        <v>41365</v>
      </c>
      <c r="AP9" s="11">
        <f>JP!B71</f>
        <v>52.5</v>
      </c>
      <c r="AQ9" s="12">
        <f>JP!C71</f>
        <v>-0.89999999999999858</v>
      </c>
      <c r="AS9" s="10">
        <f>BR!A71</f>
        <v>41365</v>
      </c>
      <c r="AT9" s="11">
        <f>BR!B71</f>
        <v>51</v>
      </c>
      <c r="AU9" s="12">
        <f>BR!C71</f>
        <v>0.70000000000000284</v>
      </c>
      <c r="AW9" s="10">
        <f>CH!A71</f>
        <v>41365</v>
      </c>
      <c r="AX9" s="11">
        <f>CH!B71</f>
        <v>51.1</v>
      </c>
      <c r="AY9" s="12">
        <f>CH!C71</f>
        <v>-3.1999999999999957</v>
      </c>
      <c r="BA9" s="10">
        <f>IN!A71</f>
        <v>41365</v>
      </c>
      <c r="BB9" s="11">
        <f>IN!B71</f>
        <v>50.7</v>
      </c>
      <c r="BC9" s="12">
        <f>IN!C71</f>
        <v>-0.69999999999999574</v>
      </c>
      <c r="BE9" s="10">
        <f>RS!A71</f>
        <v>41365</v>
      </c>
      <c r="BF9" s="11">
        <f>RS!B71</f>
        <v>53</v>
      </c>
      <c r="BG9" s="12">
        <f>RS!C71</f>
        <v>-1.6000000000000014</v>
      </c>
    </row>
    <row r="10" spans="1:59" x14ac:dyDescent="0.35">
      <c r="A10" s="10">
        <f>Global!A72</f>
        <v>41395</v>
      </c>
      <c r="B10" s="11">
        <f>Global!B72</f>
        <v>53.7</v>
      </c>
      <c r="C10" s="12">
        <f>Global!C72</f>
        <v>1.6000000000000014</v>
      </c>
      <c r="E10" s="10">
        <f>US!A73</f>
        <v>41395</v>
      </c>
      <c r="F10" s="11" t="str">
        <f>US!B73</f>
        <v>No data</v>
      </c>
      <c r="G10" s="12">
        <f>US!C73</f>
        <v>0</v>
      </c>
      <c r="I10" s="10">
        <f>UK!A72</f>
        <v>41395</v>
      </c>
      <c r="J10" s="11">
        <f>UK!B72</f>
        <v>54.9</v>
      </c>
      <c r="K10" s="12">
        <f>UK!C72</f>
        <v>2</v>
      </c>
      <c r="M10" s="10">
        <f>EZ!A72</f>
        <v>41395</v>
      </c>
      <c r="N10" s="11">
        <f>EZ!B72</f>
        <v>47.2</v>
      </c>
      <c r="O10" s="12">
        <f>EZ!C72</f>
        <v>0.20000000000000284</v>
      </c>
      <c r="Q10" s="10">
        <f>DE!A72</f>
        <v>41395</v>
      </c>
      <c r="R10" s="11">
        <f>DE!B72</f>
        <v>50.4</v>
      </c>
      <c r="S10" s="12">
        <f>DE!C72</f>
        <v>0.69999999999999574</v>
      </c>
      <c r="U10" s="10">
        <f>FR!A72</f>
        <v>41395</v>
      </c>
      <c r="V10" s="11">
        <f>FR!B72</f>
        <v>44.3</v>
      </c>
      <c r="W10" s="12">
        <f>FR!C72</f>
        <v>0</v>
      </c>
      <c r="Y10" s="10">
        <f>IT!A72</f>
        <v>41395</v>
      </c>
      <c r="Z10" s="11">
        <f>IT!B72</f>
        <v>46.5</v>
      </c>
      <c r="AA10" s="12">
        <f>IT!C72</f>
        <v>-0.5</v>
      </c>
      <c r="AC10" s="10">
        <f>ES!A72</f>
        <v>41395</v>
      </c>
      <c r="AD10" s="11">
        <f>ES!B72</f>
        <v>47.3</v>
      </c>
      <c r="AE10" s="12">
        <f>ES!C72</f>
        <v>2.8999999999999986</v>
      </c>
      <c r="AG10" s="10">
        <f>IR!A72</f>
        <v>41395</v>
      </c>
      <c r="AH10" s="11">
        <f>IR!B72</f>
        <v>52.7</v>
      </c>
      <c r="AI10" s="12">
        <f>IR!C72</f>
        <v>-2.5</v>
      </c>
      <c r="AK10" s="10">
        <f>AU!A72</f>
        <v>41395</v>
      </c>
      <c r="AL10" s="11">
        <f>AU!B72</f>
        <v>40.6</v>
      </c>
      <c r="AM10" s="12">
        <f>AU!C72</f>
        <v>-3.5</v>
      </c>
      <c r="AO10" s="10">
        <f>JP!A72</f>
        <v>41395</v>
      </c>
      <c r="AP10" s="11">
        <f>JP!B72</f>
        <v>54.8</v>
      </c>
      <c r="AQ10" s="12">
        <f>JP!C72</f>
        <v>2.2999999999999972</v>
      </c>
      <c r="AS10" s="10">
        <f>BR!A72</f>
        <v>41395</v>
      </c>
      <c r="AT10" s="11">
        <f>BR!B72</f>
        <v>51</v>
      </c>
      <c r="AU10" s="12">
        <f>BR!C72</f>
        <v>0</v>
      </c>
      <c r="AW10" s="10">
        <f>CH!A72</f>
        <v>41395</v>
      </c>
      <c r="AX10" s="11">
        <f>CH!B72</f>
        <v>51.2</v>
      </c>
      <c r="AY10" s="12">
        <f>CH!C72</f>
        <v>0.10000000000000142</v>
      </c>
      <c r="BA10" s="10">
        <f>IN!A72</f>
        <v>41395</v>
      </c>
      <c r="BB10" s="11">
        <f>IN!B72</f>
        <v>53.6</v>
      </c>
      <c r="BC10" s="12">
        <f>IN!C72</f>
        <v>2.8999999999999986</v>
      </c>
      <c r="BE10" s="10">
        <f>RS!A72</f>
        <v>41395</v>
      </c>
      <c r="BF10" s="11">
        <f>RS!B72</f>
        <v>51.4</v>
      </c>
      <c r="BG10" s="12">
        <f>RS!C72</f>
        <v>-1.6000000000000014</v>
      </c>
    </row>
    <row r="11" spans="1:59" x14ac:dyDescent="0.35">
      <c r="A11" s="10">
        <f>Global!A73</f>
        <v>41426</v>
      </c>
      <c r="B11" s="11">
        <f>Global!B73</f>
        <v>51.3</v>
      </c>
      <c r="C11" s="12">
        <f>Global!C73</f>
        <v>-2.4000000000000057</v>
      </c>
      <c r="E11" s="10">
        <f>US!A74</f>
        <v>41426</v>
      </c>
      <c r="F11" s="11" t="str">
        <f>US!B74</f>
        <v>No data</v>
      </c>
      <c r="G11" s="12">
        <f>US!C74</f>
        <v>0</v>
      </c>
      <c r="I11" s="10">
        <f>UK!A73</f>
        <v>41426</v>
      </c>
      <c r="J11" s="11">
        <f>UK!B73</f>
        <v>56.9</v>
      </c>
      <c r="K11" s="12">
        <f>UK!C73</f>
        <v>2</v>
      </c>
      <c r="M11" s="10">
        <f>EZ!A73</f>
        <v>41426</v>
      </c>
      <c r="N11" s="11">
        <f>EZ!B73</f>
        <v>48.3</v>
      </c>
      <c r="O11" s="12">
        <f>EZ!C73</f>
        <v>1.0999999999999943</v>
      </c>
      <c r="Q11" s="10">
        <f>DE!A73</f>
        <v>41426</v>
      </c>
      <c r="R11" s="11">
        <f>DE!B73</f>
        <v>51.3</v>
      </c>
      <c r="S11" s="12">
        <f>DE!C73</f>
        <v>0.89999999999999858</v>
      </c>
      <c r="U11" s="10">
        <f>FR!A73</f>
        <v>41426</v>
      </c>
      <c r="V11" s="11">
        <f>FR!B73</f>
        <v>47.2</v>
      </c>
      <c r="W11" s="12">
        <f>FR!C73</f>
        <v>2.9000000000000057</v>
      </c>
      <c r="Y11" s="10">
        <f>IT!A73</f>
        <v>41426</v>
      </c>
      <c r="Z11" s="11">
        <f>IT!B73</f>
        <v>45.8</v>
      </c>
      <c r="AA11" s="12">
        <f>IT!C73</f>
        <v>-0.70000000000000284</v>
      </c>
      <c r="AC11" s="10">
        <f>ES!A73</f>
        <v>41426</v>
      </c>
      <c r="AD11" s="11">
        <f>ES!B73</f>
        <v>47.8</v>
      </c>
      <c r="AE11" s="12">
        <f>ES!C73</f>
        <v>0.5</v>
      </c>
      <c r="AG11" s="10">
        <f>IR!A73</f>
        <v>41426</v>
      </c>
      <c r="AH11" s="11">
        <f>IR!B73</f>
        <v>61.6</v>
      </c>
      <c r="AI11" s="12">
        <f>IR!C73</f>
        <v>8.8999999999999986</v>
      </c>
      <c r="AK11" s="10">
        <f>AU!A73</f>
        <v>41426</v>
      </c>
      <c r="AL11" s="11">
        <f>AU!B73</f>
        <v>41.5</v>
      </c>
      <c r="AM11" s="12">
        <f>AU!C73</f>
        <v>0.89999999999999858</v>
      </c>
      <c r="AO11" s="10">
        <f>JP!A73</f>
        <v>41426</v>
      </c>
      <c r="AP11" s="11">
        <f>JP!B73</f>
        <v>52.1</v>
      </c>
      <c r="AQ11" s="12">
        <f>JP!C73</f>
        <v>-2.6999999999999957</v>
      </c>
      <c r="AS11" s="10">
        <f>BR!A73</f>
        <v>41426</v>
      </c>
      <c r="AT11" s="11">
        <f>BR!B73</f>
        <v>50.3</v>
      </c>
      <c r="AU11" s="12">
        <f>BR!C73</f>
        <v>-0.70000000000000284</v>
      </c>
      <c r="AW11" s="10">
        <f>CH!A73</f>
        <v>41426</v>
      </c>
      <c r="AX11" s="11">
        <f>CH!B73</f>
        <v>51.3</v>
      </c>
      <c r="AY11" s="12">
        <f>CH!C73</f>
        <v>9.9999999999994316E-2</v>
      </c>
      <c r="BA11" s="10">
        <f>IN!A73</f>
        <v>41426</v>
      </c>
      <c r="BB11" s="11">
        <f>IN!B73</f>
        <v>51.7</v>
      </c>
      <c r="BC11" s="12">
        <f>IN!C73</f>
        <v>-1.8999999999999986</v>
      </c>
      <c r="BE11" s="10">
        <f>RS!A73</f>
        <v>41426</v>
      </c>
      <c r="BF11" s="11">
        <f>RS!B73</f>
        <v>48.8</v>
      </c>
      <c r="BG11" s="12">
        <f>RS!C73</f>
        <v>-2.6000000000000014</v>
      </c>
    </row>
    <row r="12" spans="1:59" x14ac:dyDescent="0.35">
      <c r="A12" s="10">
        <f>Global!A74</f>
        <v>41456</v>
      </c>
      <c r="B12" s="11">
        <f>Global!B74</f>
        <v>54.9</v>
      </c>
      <c r="C12" s="12">
        <f>Global!C74</f>
        <v>3.6000000000000014</v>
      </c>
      <c r="E12" s="10">
        <f>US!A75</f>
        <v>41456</v>
      </c>
      <c r="F12" s="11" t="str">
        <f>US!B75</f>
        <v>No data</v>
      </c>
      <c r="G12" s="12">
        <f>US!C75</f>
        <v>0</v>
      </c>
      <c r="I12" s="10">
        <f>UK!A74</f>
        <v>41456</v>
      </c>
      <c r="J12" s="11">
        <f>UK!B74</f>
        <v>60.2</v>
      </c>
      <c r="K12" s="12">
        <f>UK!C74</f>
        <v>3.3000000000000043</v>
      </c>
      <c r="M12" s="10">
        <f>EZ!A74</f>
        <v>41456</v>
      </c>
      <c r="N12" s="11">
        <f>EZ!B74</f>
        <v>49.8</v>
      </c>
      <c r="O12" s="12">
        <f>EZ!C74</f>
        <v>1.5</v>
      </c>
      <c r="Q12" s="10">
        <f>DE!A74</f>
        <v>41456</v>
      </c>
      <c r="R12" s="11">
        <f>DE!B74</f>
        <v>52.8</v>
      </c>
      <c r="S12" s="12">
        <f>DE!C74</f>
        <v>1.5</v>
      </c>
      <c r="U12" s="10">
        <f>FR!A74</f>
        <v>41456</v>
      </c>
      <c r="V12" s="11">
        <f>FR!B74</f>
        <v>48.6</v>
      </c>
      <c r="W12" s="12">
        <f>FR!C74</f>
        <v>1.3999999999999986</v>
      </c>
      <c r="Y12" s="10">
        <f>IT!A74</f>
        <v>41456</v>
      </c>
      <c r="Z12" s="11">
        <f>IT!B74</f>
        <v>48.7</v>
      </c>
      <c r="AA12" s="12">
        <f>IT!C74</f>
        <v>2.9000000000000057</v>
      </c>
      <c r="AC12" s="10">
        <f>ES!A74</f>
        <v>41456</v>
      </c>
      <c r="AD12" s="11">
        <f>ES!B74</f>
        <v>48.5</v>
      </c>
      <c r="AE12" s="12">
        <f>ES!C74</f>
        <v>0.70000000000000284</v>
      </c>
      <c r="AG12" s="10">
        <f>IR!A74</f>
        <v>41456</v>
      </c>
      <c r="AH12" s="11">
        <f>IR!B74</f>
        <v>59.6</v>
      </c>
      <c r="AI12" s="12">
        <f>IR!C74</f>
        <v>-2</v>
      </c>
      <c r="AK12" s="10">
        <f>AU!A74</f>
        <v>41456</v>
      </c>
      <c r="AL12" s="11">
        <f>AU!B74</f>
        <v>39.4</v>
      </c>
      <c r="AM12" s="12">
        <f>AU!C74</f>
        <v>-2.1000000000000014</v>
      </c>
      <c r="AO12" s="10">
        <f>JP!A74</f>
        <v>41456</v>
      </c>
      <c r="AP12" s="11">
        <f>JP!B74</f>
        <v>50.6</v>
      </c>
      <c r="AQ12" s="12">
        <f>JP!C74</f>
        <v>-1.5</v>
      </c>
      <c r="AS12" s="10">
        <f>BR!A74</f>
        <v>41456</v>
      </c>
      <c r="AT12" s="11">
        <f>BR!B74</f>
        <v>49.7</v>
      </c>
      <c r="AU12" s="12">
        <f>BR!C74</f>
        <v>-0.59999999999999432</v>
      </c>
      <c r="AW12" s="10">
        <f>CH!A74</f>
        <v>41456</v>
      </c>
      <c r="AX12" s="11">
        <f>CH!B74</f>
        <v>51.3</v>
      </c>
      <c r="AY12" s="12">
        <f>CH!C74</f>
        <v>0</v>
      </c>
      <c r="BA12" s="10">
        <f>IN!A74</f>
        <v>41456</v>
      </c>
      <c r="BB12" s="11">
        <f>IN!B74</f>
        <v>47.9</v>
      </c>
      <c r="BC12" s="12">
        <f>IN!C74</f>
        <v>-3.8000000000000043</v>
      </c>
      <c r="BE12" s="10">
        <f>RS!A74</f>
        <v>41456</v>
      </c>
      <c r="BF12" s="11">
        <f>RS!B74</f>
        <v>48.7</v>
      </c>
      <c r="BG12" s="12">
        <f>RS!C74</f>
        <v>-9.9999999999994316E-2</v>
      </c>
    </row>
    <row r="13" spans="1:59" x14ac:dyDescent="0.35">
      <c r="A13" s="10">
        <f>Global!A75</f>
        <v>41487</v>
      </c>
      <c r="B13" s="11">
        <f>Global!B75</f>
        <v>56</v>
      </c>
      <c r="C13" s="12">
        <f>Global!C75</f>
        <v>1.1000000000000014</v>
      </c>
      <c r="E13" s="10">
        <f>US!A76</f>
        <v>41487</v>
      </c>
      <c r="F13" s="11" t="str">
        <f>US!B76</f>
        <v>No data</v>
      </c>
      <c r="G13" s="12">
        <f>US!C76</f>
        <v>0</v>
      </c>
      <c r="I13" s="10">
        <f>UK!A75</f>
        <v>41487</v>
      </c>
      <c r="J13" s="11">
        <f>UK!B75</f>
        <v>60.5</v>
      </c>
      <c r="K13" s="12">
        <f>UK!C75</f>
        <v>0.29999999999999716</v>
      </c>
      <c r="M13" s="10">
        <f>EZ!A75</f>
        <v>41487</v>
      </c>
      <c r="N13" s="11">
        <f>EZ!B75</f>
        <v>50.7</v>
      </c>
      <c r="O13" s="12">
        <f>EZ!C75</f>
        <v>0.90000000000000568</v>
      </c>
      <c r="Q13" s="10">
        <f>DE!A75</f>
        <v>41487</v>
      </c>
      <c r="R13" s="11">
        <f>DE!B75</f>
        <v>53.7</v>
      </c>
      <c r="S13" s="12">
        <f>DE!C75</f>
        <v>0.90000000000000568</v>
      </c>
      <c r="U13" s="10">
        <f>FR!A75</f>
        <v>41487</v>
      </c>
      <c r="V13" s="11">
        <f>FR!B75</f>
        <v>48.9</v>
      </c>
      <c r="W13" s="12">
        <f>FR!C75</f>
        <v>0.29999999999999716</v>
      </c>
      <c r="Y13" s="10">
        <f>IT!A75</f>
        <v>41487</v>
      </c>
      <c r="Z13" s="11">
        <f>IT!B75</f>
        <v>48.8</v>
      </c>
      <c r="AA13" s="12">
        <f>IT!C75</f>
        <v>9.9999999999994316E-2</v>
      </c>
      <c r="AC13" s="10">
        <f>ES!A75</f>
        <v>41487</v>
      </c>
      <c r="AD13" s="11">
        <f>ES!B75</f>
        <v>50.5</v>
      </c>
      <c r="AE13" s="12">
        <f>ES!C75</f>
        <v>2</v>
      </c>
      <c r="AG13" s="10">
        <f>IR!A75</f>
        <v>41487</v>
      </c>
      <c r="AH13" s="11">
        <f>IR!B75</f>
        <v>57.2</v>
      </c>
      <c r="AI13" s="12">
        <f>IR!C75</f>
        <v>-2.3999999999999986</v>
      </c>
      <c r="AK13" s="10">
        <f>AU!A75</f>
        <v>41487</v>
      </c>
      <c r="AL13" s="11">
        <f>AU!B75</f>
        <v>39</v>
      </c>
      <c r="AM13" s="12">
        <f>AU!C75</f>
        <v>-0.39999999999999858</v>
      </c>
      <c r="AO13" s="10">
        <f>JP!A75</f>
        <v>41487</v>
      </c>
      <c r="AP13" s="11">
        <f>JP!B75</f>
        <v>51.2</v>
      </c>
      <c r="AQ13" s="12">
        <f>JP!C75</f>
        <v>0.60000000000000142</v>
      </c>
      <c r="AS13" s="10">
        <f>BR!A75</f>
        <v>41487</v>
      </c>
      <c r="AT13" s="11">
        <f>BR!B75</f>
        <v>50.7</v>
      </c>
      <c r="AU13" s="12">
        <f>BR!C75</f>
        <v>1</v>
      </c>
      <c r="AW13" s="10">
        <f>CH!A75</f>
        <v>41487</v>
      </c>
      <c r="AX13" s="11">
        <f>CH!B75</f>
        <v>52.8</v>
      </c>
      <c r="AY13" s="12">
        <f>CH!C75</f>
        <v>1.5</v>
      </c>
      <c r="BA13" s="10">
        <f>IN!A75</f>
        <v>41487</v>
      </c>
      <c r="BB13" s="11">
        <f>IN!B75</f>
        <v>47.6</v>
      </c>
      <c r="BC13" s="12">
        <f>IN!C75</f>
        <v>-0.29999999999999716</v>
      </c>
      <c r="BE13" s="10">
        <f>RS!A75</f>
        <v>41487</v>
      </c>
      <c r="BF13" s="11">
        <f>RS!B75</f>
        <v>51.8</v>
      </c>
      <c r="BG13" s="12">
        <f>RS!C75</f>
        <v>3.0999999999999943</v>
      </c>
    </row>
    <row r="14" spans="1:59" x14ac:dyDescent="0.35">
      <c r="A14" s="10">
        <f>Global!A76</f>
        <v>41518</v>
      </c>
      <c r="B14" s="11">
        <f>Global!B76</f>
        <v>53.6</v>
      </c>
      <c r="C14" s="12">
        <f>Global!C76</f>
        <v>-2.3999999999999986</v>
      </c>
      <c r="E14" s="10">
        <f>US!A77</f>
        <v>41518</v>
      </c>
      <c r="F14" s="11" t="str">
        <f>US!B77</f>
        <v>No data</v>
      </c>
      <c r="G14" s="12">
        <f>US!C77</f>
        <v>0</v>
      </c>
      <c r="I14" s="10">
        <f>UK!A76</f>
        <v>41518</v>
      </c>
      <c r="J14" s="11">
        <f>UK!B76</f>
        <v>60.3</v>
      </c>
      <c r="K14" s="12">
        <f>UK!C76</f>
        <v>-0.20000000000000284</v>
      </c>
      <c r="M14" s="10">
        <f>EZ!A76</f>
        <v>41518</v>
      </c>
      <c r="N14" s="11">
        <f>EZ!B76</f>
        <v>52.2</v>
      </c>
      <c r="O14" s="12">
        <f>EZ!C76</f>
        <v>1.5</v>
      </c>
      <c r="Q14" s="10">
        <f>DE!A76</f>
        <v>41518</v>
      </c>
      <c r="R14" s="11">
        <f>DE!B76</f>
        <v>52.9</v>
      </c>
      <c r="S14" s="12">
        <f>DE!C76</f>
        <v>-0.80000000000000426</v>
      </c>
      <c r="U14" s="10">
        <f>FR!A76</f>
        <v>41518</v>
      </c>
      <c r="V14" s="11">
        <f>FR!B76</f>
        <v>51</v>
      </c>
      <c r="W14" s="12">
        <f>FR!C76</f>
        <v>2.1000000000000014</v>
      </c>
      <c r="Y14" s="10">
        <f>IT!A76</f>
        <v>41518</v>
      </c>
      <c r="Z14" s="11">
        <f>IT!B76</f>
        <v>52.7</v>
      </c>
      <c r="AA14" s="12">
        <f>IT!C76</f>
        <v>3.9000000000000057</v>
      </c>
      <c r="AC14" s="10">
        <f>ES!A76</f>
        <v>41518</v>
      </c>
      <c r="AD14" s="11">
        <f>ES!B76</f>
        <v>49</v>
      </c>
      <c r="AE14" s="12">
        <f>ES!C76</f>
        <v>-1.5</v>
      </c>
      <c r="AG14" s="10">
        <f>IR!A76</f>
        <v>41518</v>
      </c>
      <c r="AH14" s="11">
        <f>IR!B76</f>
        <v>56.8</v>
      </c>
      <c r="AI14" s="12">
        <f>IR!C76</f>
        <v>-0.40000000000000568</v>
      </c>
      <c r="AK14" s="10">
        <f>AU!A76</f>
        <v>41518</v>
      </c>
      <c r="AL14" s="11">
        <f>AU!B76</f>
        <v>47.1</v>
      </c>
      <c r="AM14" s="12">
        <f>AU!C76</f>
        <v>8.1000000000000014</v>
      </c>
      <c r="AO14" s="10">
        <f>JP!A76</f>
        <v>41518</v>
      </c>
      <c r="AP14" s="11">
        <f>JP!B76</f>
        <v>53</v>
      </c>
      <c r="AQ14" s="12">
        <f>JP!C76</f>
        <v>1.7999999999999972</v>
      </c>
      <c r="AS14" s="10">
        <f>BR!A76</f>
        <v>41518</v>
      </c>
      <c r="AT14" s="11">
        <f>BR!B76</f>
        <v>52.1</v>
      </c>
      <c r="AU14" s="12">
        <f>BR!C76</f>
        <v>1.3999999999999986</v>
      </c>
      <c r="AW14" s="10">
        <f>CH!A76</f>
        <v>41518</v>
      </c>
      <c r="AX14" s="11">
        <f>CH!B76</f>
        <v>52.4</v>
      </c>
      <c r="AY14" s="12">
        <f>CH!C76</f>
        <v>-0.39999999999999858</v>
      </c>
      <c r="BA14" s="10">
        <f>IN!A76</f>
        <v>41518</v>
      </c>
      <c r="BB14" s="11">
        <f>IN!B76</f>
        <v>44.6</v>
      </c>
      <c r="BC14" s="12">
        <f>IN!C76</f>
        <v>-3</v>
      </c>
      <c r="BE14" s="10">
        <f>RS!A76</f>
        <v>41518</v>
      </c>
      <c r="BF14" s="11">
        <f>RS!B76</f>
        <v>51.5</v>
      </c>
      <c r="BG14" s="12">
        <f>RS!C76</f>
        <v>-0.29999999999999716</v>
      </c>
    </row>
    <row r="15" spans="1:59" x14ac:dyDescent="0.35">
      <c r="A15" s="10">
        <f>Global!A77</f>
        <v>41548</v>
      </c>
      <c r="B15" s="11">
        <f>Global!B77</f>
        <v>51.8</v>
      </c>
      <c r="C15" s="12">
        <f>Global!C77</f>
        <v>-1.8000000000000043</v>
      </c>
      <c r="E15" s="10">
        <f>US!A78</f>
        <v>41548</v>
      </c>
      <c r="F15" s="11">
        <f>US!B78</f>
        <v>49.3</v>
      </c>
      <c r="G15" s="12">
        <f>US!C78</f>
        <v>0</v>
      </c>
      <c r="I15" s="10">
        <f>UK!A77</f>
        <v>41548</v>
      </c>
      <c r="J15" s="11">
        <f>UK!B77</f>
        <v>62.5</v>
      </c>
      <c r="K15" s="12">
        <f>UK!C77</f>
        <v>2.2000000000000028</v>
      </c>
      <c r="M15" s="10">
        <f>EZ!A77</f>
        <v>41548</v>
      </c>
      <c r="N15" s="11">
        <f>EZ!B77</f>
        <v>51.6</v>
      </c>
      <c r="O15" s="12">
        <f>EZ!C77</f>
        <v>-0.60000000000000142</v>
      </c>
      <c r="Q15" s="10">
        <f>DE!A77</f>
        <v>41548</v>
      </c>
      <c r="R15" s="11">
        <f>DE!B77</f>
        <v>55.7</v>
      </c>
      <c r="S15" s="12">
        <f>DE!C77</f>
        <v>2.8000000000000043</v>
      </c>
      <c r="U15" s="10">
        <f>FR!A77</f>
        <v>41548</v>
      </c>
      <c r="V15" s="11">
        <f>FR!B77</f>
        <v>50.9</v>
      </c>
      <c r="W15" s="12">
        <f>FR!C77</f>
        <v>-0.10000000000000142</v>
      </c>
      <c r="Y15" s="10">
        <f>IT!A77</f>
        <v>41548</v>
      </c>
      <c r="Z15" s="11">
        <f>IT!B77</f>
        <v>50.5</v>
      </c>
      <c r="AA15" s="12">
        <f>IT!C77</f>
        <v>-2.2000000000000028</v>
      </c>
      <c r="AC15" s="10">
        <f>ES!A77</f>
        <v>41548</v>
      </c>
      <c r="AD15" s="11">
        <f>ES!B77</f>
        <v>49.6</v>
      </c>
      <c r="AE15" s="12">
        <f>ES!C77</f>
        <v>0.60000000000000142</v>
      </c>
      <c r="AG15" s="10">
        <f>IR!A77</f>
        <v>41548</v>
      </c>
      <c r="AH15" s="11">
        <f>IR!B77</f>
        <v>60.1</v>
      </c>
      <c r="AI15" s="12">
        <f>IR!C77</f>
        <v>3.3000000000000043</v>
      </c>
      <c r="AK15" s="10">
        <f>AU!A77</f>
        <v>41548</v>
      </c>
      <c r="AL15" s="11">
        <f>AU!B77</f>
        <v>47.9</v>
      </c>
      <c r="AM15" s="12">
        <f>AU!C77</f>
        <v>0.79999999999999716</v>
      </c>
      <c r="AO15" s="10">
        <f>JP!A77</f>
        <v>41548</v>
      </c>
      <c r="AP15" s="11">
        <f>JP!B77</f>
        <v>55.3</v>
      </c>
      <c r="AQ15" s="12">
        <f>JP!C77</f>
        <v>2.2999999999999972</v>
      </c>
      <c r="AS15" s="10">
        <f>BR!A77</f>
        <v>41548</v>
      </c>
      <c r="AT15" s="11">
        <f>BR!B77</f>
        <v>52.3</v>
      </c>
      <c r="AU15" s="12">
        <f>BR!C77</f>
        <v>0.19999999999999574</v>
      </c>
      <c r="AW15" s="10">
        <f>CH!A77</f>
        <v>41548</v>
      </c>
      <c r="AX15" s="11">
        <f>CH!B77</f>
        <v>52.6</v>
      </c>
      <c r="AY15" s="12">
        <f>CH!C77</f>
        <v>0.20000000000000284</v>
      </c>
      <c r="BA15" s="10">
        <f>IN!A77</f>
        <v>41548</v>
      </c>
      <c r="BB15" s="11">
        <f>IN!B77</f>
        <v>47.1</v>
      </c>
      <c r="BC15" s="12">
        <f>IN!C77</f>
        <v>2.5</v>
      </c>
      <c r="BE15" s="10">
        <f>RS!A77</f>
        <v>41548</v>
      </c>
      <c r="BF15" s="11">
        <f>RS!B77</f>
        <v>52.5</v>
      </c>
      <c r="BG15" s="12">
        <f>RS!C77</f>
        <v>1</v>
      </c>
    </row>
    <row r="16" spans="1:59" x14ac:dyDescent="0.35">
      <c r="A16" s="10">
        <f>Global!A78</f>
        <v>41579</v>
      </c>
      <c r="B16" s="11">
        <f>Global!B78</f>
        <v>53.9</v>
      </c>
      <c r="C16" s="12">
        <f>Global!C78</f>
        <v>2.1000000000000014</v>
      </c>
      <c r="E16" s="10">
        <f>US!A79</f>
        <v>41579</v>
      </c>
      <c r="F16" s="11">
        <f>US!B79</f>
        <v>55.9</v>
      </c>
      <c r="G16" s="12">
        <f>US!C79</f>
        <v>6.6000000000000014</v>
      </c>
      <c r="I16" s="10">
        <f>UK!A78</f>
        <v>41579</v>
      </c>
      <c r="J16" s="11">
        <f>UK!B78</f>
        <v>60</v>
      </c>
      <c r="K16" s="12">
        <f>UK!C78</f>
        <v>-2.5</v>
      </c>
      <c r="M16" s="10">
        <f>EZ!A78</f>
        <v>41579</v>
      </c>
      <c r="N16" s="11">
        <f>EZ!B78</f>
        <v>51.2</v>
      </c>
      <c r="O16" s="12">
        <f>EZ!C78</f>
        <v>-0.39999999999999858</v>
      </c>
      <c r="Q16" s="10">
        <f>DE!A78</f>
        <v>41579</v>
      </c>
      <c r="R16" s="11">
        <f>DE!B78</f>
        <v>53.5</v>
      </c>
      <c r="S16" s="12">
        <f>DE!C78</f>
        <v>-2.2000000000000028</v>
      </c>
      <c r="U16" s="10">
        <f>FR!A78</f>
        <v>41579</v>
      </c>
      <c r="V16" s="11">
        <f>FR!B78</f>
        <v>48</v>
      </c>
      <c r="W16" s="12">
        <f>FR!C78</f>
        <v>-2.8999999999999986</v>
      </c>
      <c r="Y16" s="10">
        <f>IT!A78</f>
        <v>41579</v>
      </c>
      <c r="Z16" s="11">
        <f>IT!B78</f>
        <v>47.2</v>
      </c>
      <c r="AA16" s="12">
        <f>IT!C78</f>
        <v>-3.2999999999999972</v>
      </c>
      <c r="AC16" s="10">
        <f>ES!A78</f>
        <v>41579</v>
      </c>
      <c r="AD16" s="11">
        <f>ES!B78</f>
        <v>51.5</v>
      </c>
      <c r="AE16" s="12">
        <f>ES!C78</f>
        <v>1.8999999999999986</v>
      </c>
      <c r="AG16" s="10">
        <f>IR!A78</f>
        <v>41579</v>
      </c>
      <c r="AH16" s="11">
        <f>IR!B78</f>
        <v>57.1</v>
      </c>
      <c r="AI16" s="12">
        <f>IR!C78</f>
        <v>-3</v>
      </c>
      <c r="AK16" s="10">
        <f>AU!A78</f>
        <v>41579</v>
      </c>
      <c r="AL16" s="11">
        <f>AU!B78</f>
        <v>48.9</v>
      </c>
      <c r="AM16" s="12">
        <f>AU!C78</f>
        <v>1</v>
      </c>
      <c r="AO16" s="10">
        <f>JP!A78</f>
        <v>41579</v>
      </c>
      <c r="AP16" s="11">
        <f>JP!B78</f>
        <v>51.8</v>
      </c>
      <c r="AQ16" s="12">
        <f>JP!C78</f>
        <v>-3.5</v>
      </c>
      <c r="AS16" s="10">
        <f>BR!A78</f>
        <v>41579</v>
      </c>
      <c r="AT16" s="11">
        <f>BR!B78</f>
        <v>51.7</v>
      </c>
      <c r="AU16" s="12">
        <f>BR!C78</f>
        <v>-0.59999999999999432</v>
      </c>
      <c r="AW16" s="10">
        <f>CH!A78</f>
        <v>41579</v>
      </c>
      <c r="AX16" s="11">
        <f>CH!B78</f>
        <v>52.5</v>
      </c>
      <c r="AY16" s="12">
        <f>CH!C78</f>
        <v>-0.10000000000000142</v>
      </c>
      <c r="BA16" s="10">
        <f>IN!A78</f>
        <v>41579</v>
      </c>
      <c r="BB16" s="11">
        <f>IN!B78</f>
        <v>47.2</v>
      </c>
      <c r="BC16" s="12">
        <f>IN!C78</f>
        <v>0.10000000000000142</v>
      </c>
      <c r="BE16" s="10">
        <f>RS!A78</f>
        <v>41579</v>
      </c>
      <c r="BF16" s="11">
        <f>RS!B78</f>
        <v>52.9</v>
      </c>
      <c r="BG16" s="12">
        <f>RS!C78</f>
        <v>0.39999999999999858</v>
      </c>
    </row>
    <row r="17" spans="1:59" x14ac:dyDescent="0.35">
      <c r="A17" s="10">
        <f>Global!A79</f>
        <v>41609</v>
      </c>
      <c r="B17" s="11">
        <f>Global!B79</f>
        <v>53.5</v>
      </c>
      <c r="C17" s="12">
        <f>Global!C79</f>
        <v>-0.39999999999999858</v>
      </c>
      <c r="E17" s="10">
        <f>US!A80</f>
        <v>41609</v>
      </c>
      <c r="F17" s="11">
        <f>US!B80</f>
        <v>55.7</v>
      </c>
      <c r="G17" s="12">
        <f>US!C80</f>
        <v>-0.19999999999999574</v>
      </c>
      <c r="I17" s="10">
        <f>UK!A79</f>
        <v>41609</v>
      </c>
      <c r="J17" s="11">
        <f>UK!B79</f>
        <v>58.8</v>
      </c>
      <c r="K17" s="12">
        <f>UK!C79</f>
        <v>-1.2000000000000028</v>
      </c>
      <c r="M17" s="10">
        <f>EZ!A79</f>
        <v>41609</v>
      </c>
      <c r="N17" s="11">
        <f>EZ!B79</f>
        <v>51</v>
      </c>
      <c r="O17" s="12">
        <f>EZ!C79</f>
        <v>-0.20000000000000284</v>
      </c>
      <c r="Q17" s="10">
        <f>DE!A79</f>
        <v>41609</v>
      </c>
      <c r="R17" s="11">
        <f>DE!B79</f>
        <v>53.1</v>
      </c>
      <c r="S17" s="12">
        <f>DE!C79</f>
        <v>-0.39999999999999858</v>
      </c>
      <c r="U17" s="10">
        <f>FR!A79</f>
        <v>41609</v>
      </c>
      <c r="V17" s="11">
        <f>FR!B79</f>
        <v>48.1</v>
      </c>
      <c r="W17" s="12">
        <f>FR!C79</f>
        <v>0.10000000000000142</v>
      </c>
      <c r="Y17" s="10">
        <f>IT!A79</f>
        <v>41609</v>
      </c>
      <c r="Z17" s="11">
        <f>IT!B79</f>
        <v>48.6</v>
      </c>
      <c r="AA17" s="12">
        <f>IT!C79</f>
        <v>1.3999999999999986</v>
      </c>
      <c r="AC17" s="10">
        <f>ES!A79</f>
        <v>41609</v>
      </c>
      <c r="AD17" s="11">
        <f>ES!B79</f>
        <v>53.2</v>
      </c>
      <c r="AE17" s="12">
        <f>ES!C79</f>
        <v>1.7000000000000028</v>
      </c>
      <c r="AG17" s="10">
        <f>IR!A79</f>
        <v>41609</v>
      </c>
      <c r="AH17" s="11">
        <f>IR!B79</f>
        <v>59.3</v>
      </c>
      <c r="AI17" s="12">
        <f>IR!C79</f>
        <v>2.1999999999999957</v>
      </c>
      <c r="AK17" s="10">
        <f>AU!A79</f>
        <v>41609</v>
      </c>
      <c r="AL17" s="11">
        <f>AU!B79</f>
        <v>46.1</v>
      </c>
      <c r="AM17" s="12">
        <f>AU!C79</f>
        <v>-2.7999999999999972</v>
      </c>
      <c r="AO17" s="10">
        <f>JP!A79</f>
        <v>41609</v>
      </c>
      <c r="AP17" s="11">
        <f>JP!B79</f>
        <v>52.1</v>
      </c>
      <c r="AQ17" s="12">
        <f>JP!C79</f>
        <v>0.30000000000000426</v>
      </c>
      <c r="AS17" s="10">
        <f>BR!A79</f>
        <v>41609</v>
      </c>
      <c r="AT17" s="11">
        <f>BR!B79</f>
        <v>50.5</v>
      </c>
      <c r="AU17" s="12">
        <f>BR!C79</f>
        <v>-1.2000000000000028</v>
      </c>
      <c r="AW17" s="10">
        <f>CH!A79</f>
        <v>41609</v>
      </c>
      <c r="AX17" s="11">
        <f>CH!B79</f>
        <v>51.4</v>
      </c>
      <c r="AY17" s="12">
        <f>CH!C79</f>
        <v>-1.1000000000000014</v>
      </c>
      <c r="BA17" s="10">
        <f>IN!A79</f>
        <v>41609</v>
      </c>
      <c r="BB17" s="11">
        <f>IN!B79</f>
        <v>47.9</v>
      </c>
      <c r="BC17" s="12">
        <f>IN!C79</f>
        <v>0.69999999999999574</v>
      </c>
      <c r="BE17" s="10">
        <f>RS!A79</f>
        <v>41609</v>
      </c>
      <c r="BF17" s="11">
        <f>RS!B79</f>
        <v>51.4</v>
      </c>
      <c r="BG17" s="12">
        <f>RS!C79</f>
        <v>-1.5</v>
      </c>
    </row>
    <row r="18" spans="1:59" x14ac:dyDescent="0.35">
      <c r="A18" s="10">
        <f>Global!A80</f>
        <v>41640</v>
      </c>
      <c r="B18" s="11">
        <f>Global!B80</f>
        <v>53.8</v>
      </c>
      <c r="C18" s="12">
        <f>Global!C80</f>
        <v>0.29999999999999716</v>
      </c>
      <c r="E18" s="10">
        <f>US!A81</f>
        <v>41640</v>
      </c>
      <c r="F18" s="11">
        <f>US!B81</f>
        <v>56.7</v>
      </c>
      <c r="G18" s="12">
        <f>US!C81</f>
        <v>1</v>
      </c>
      <c r="I18" s="10">
        <f>UK!A80</f>
        <v>41640</v>
      </c>
      <c r="J18" s="11">
        <f>UK!B80</f>
        <v>58.3</v>
      </c>
      <c r="K18" s="12">
        <f>UK!C80</f>
        <v>-0.5</v>
      </c>
      <c r="M18" s="10">
        <f>EZ!A80</f>
        <v>41640</v>
      </c>
      <c r="N18" s="11">
        <f>EZ!B80</f>
        <v>51.6</v>
      </c>
      <c r="O18" s="12">
        <f>EZ!C80</f>
        <v>0.60000000000000142</v>
      </c>
      <c r="Q18" s="10">
        <f>DE!A80</f>
        <v>41640</v>
      </c>
      <c r="R18" s="11">
        <f>DE!B80</f>
        <v>55.9</v>
      </c>
      <c r="S18" s="12">
        <f>DE!C80</f>
        <v>2.7999999999999972</v>
      </c>
      <c r="U18" s="10">
        <f>FR!A80</f>
        <v>41640</v>
      </c>
      <c r="V18" s="11">
        <f>FR!B80</f>
        <v>48.9</v>
      </c>
      <c r="W18" s="12">
        <f>FR!C80</f>
        <v>0.79999999999999716</v>
      </c>
      <c r="Y18" s="10">
        <f>IT!A80</f>
        <v>41640</v>
      </c>
      <c r="Z18" s="11">
        <f>IT!B80</f>
        <v>49.4</v>
      </c>
      <c r="AA18" s="12">
        <f>IT!C80</f>
        <v>0.79999999999999716</v>
      </c>
      <c r="AC18" s="10">
        <f>ES!A80</f>
        <v>41640</v>
      </c>
      <c r="AD18" s="11">
        <f>ES!B80</f>
        <v>54.9</v>
      </c>
      <c r="AE18" s="12">
        <f>ES!C80</f>
        <v>1.6999999999999957</v>
      </c>
      <c r="AG18" s="10">
        <f>IR!A80</f>
        <v>41640</v>
      </c>
      <c r="AH18" s="11">
        <f>IR!B80</f>
        <v>61.5</v>
      </c>
      <c r="AI18" s="12">
        <f>IR!C80</f>
        <v>2.2000000000000028</v>
      </c>
      <c r="AK18" s="10">
        <f>AU!A80</f>
        <v>41640</v>
      </c>
      <c r="AL18" s="11">
        <f>AU!B80</f>
        <v>49.3</v>
      </c>
      <c r="AM18" s="12">
        <f>AU!C80</f>
        <v>3.1999999999999957</v>
      </c>
      <c r="AO18" s="10">
        <f>JP!A80</f>
        <v>41640</v>
      </c>
      <c r="AP18" s="11">
        <f>JP!B80</f>
        <v>51.2</v>
      </c>
      <c r="AQ18" s="12">
        <f>JP!C80</f>
        <v>-0.89999999999999858</v>
      </c>
      <c r="AS18" s="10">
        <f>BR!A80</f>
        <v>41640</v>
      </c>
      <c r="AT18" s="11">
        <f>BR!B80</f>
        <v>49.6</v>
      </c>
      <c r="AU18" s="12">
        <f>BR!C80</f>
        <v>-0.89999999999999858</v>
      </c>
      <c r="AW18" s="10">
        <f>CH!A80</f>
        <v>41640</v>
      </c>
      <c r="AX18" s="11">
        <f>CH!B80</f>
        <v>50.7</v>
      </c>
      <c r="AY18" s="12">
        <f>CH!C80</f>
        <v>-0.69999999999999574</v>
      </c>
      <c r="BA18" s="10">
        <f>IN!A80</f>
        <v>41640</v>
      </c>
      <c r="BB18" s="11">
        <f>IN!B80</f>
        <v>48.3</v>
      </c>
      <c r="BC18" s="12">
        <f>IN!C80</f>
        <v>0.39999999999999858</v>
      </c>
      <c r="BE18" s="10">
        <f>RS!A80</f>
        <v>41640</v>
      </c>
      <c r="BF18" s="11">
        <f>RS!B80</f>
        <v>50.2</v>
      </c>
      <c r="BG18" s="12">
        <f>RS!C80</f>
        <v>-1.1999999999999957</v>
      </c>
    </row>
    <row r="19" spans="1:59" x14ac:dyDescent="0.35">
      <c r="A19" s="10">
        <f>Global!A81</f>
        <v>41671</v>
      </c>
      <c r="B19" s="11">
        <f>Global!B81</f>
        <v>52.7</v>
      </c>
      <c r="C19" s="12">
        <f>Global!C81</f>
        <v>-1.0999999999999943</v>
      </c>
      <c r="E19" s="10">
        <f>US!A82</f>
        <v>41671</v>
      </c>
      <c r="F19" s="11">
        <f>US!B82</f>
        <v>53.3</v>
      </c>
      <c r="G19" s="12">
        <f>US!C82</f>
        <v>-3.4000000000000057</v>
      </c>
      <c r="I19" s="10">
        <f>UK!A81</f>
        <v>41671</v>
      </c>
      <c r="J19" s="11">
        <f>UK!B81</f>
        <v>58.2</v>
      </c>
      <c r="K19" s="12">
        <f>UK!C81</f>
        <v>-9.9999999999994316E-2</v>
      </c>
      <c r="M19" s="10">
        <f>EZ!A81</f>
        <v>41671</v>
      </c>
      <c r="N19" s="11">
        <f>EZ!B81</f>
        <v>52.6</v>
      </c>
      <c r="O19" s="12">
        <f>EZ!C81</f>
        <v>1</v>
      </c>
      <c r="Q19" s="10">
        <f>DE!A81</f>
        <v>41671</v>
      </c>
      <c r="R19" s="11">
        <f>DE!B81</f>
        <v>53</v>
      </c>
      <c r="S19" s="12">
        <f>DE!C81</f>
        <v>-2.8999999999999986</v>
      </c>
      <c r="U19" s="10">
        <f>FR!A81</f>
        <v>41671</v>
      </c>
      <c r="V19" s="11">
        <f>FR!B81</f>
        <v>47.2</v>
      </c>
      <c r="W19" s="12">
        <f>FR!C81</f>
        <v>-1.6999999999999957</v>
      </c>
      <c r="Y19" s="10">
        <f>IT!A81</f>
        <v>41671</v>
      </c>
      <c r="Z19" s="11">
        <f>IT!B81</f>
        <v>52.9</v>
      </c>
      <c r="AA19" s="12">
        <f>IT!C81</f>
        <v>3.5</v>
      </c>
      <c r="AC19" s="10">
        <f>ES!A81</f>
        <v>41671</v>
      </c>
      <c r="AD19" s="11">
        <f>ES!B81</f>
        <v>53.7</v>
      </c>
      <c r="AE19" s="12">
        <f>ES!C81</f>
        <v>-1.1999999999999957</v>
      </c>
      <c r="AG19" s="10">
        <f>IR!A81</f>
        <v>41671</v>
      </c>
      <c r="AH19" s="11">
        <f>IR!B81</f>
        <v>57.5</v>
      </c>
      <c r="AI19" s="12">
        <f>IR!C81</f>
        <v>-4</v>
      </c>
      <c r="AK19" s="10">
        <f>AU!A81</f>
        <v>41671</v>
      </c>
      <c r="AL19" s="11">
        <f>AU!B81</f>
        <v>55.2</v>
      </c>
      <c r="AM19" s="12">
        <f>AU!C81</f>
        <v>5.9000000000000057</v>
      </c>
      <c r="AO19" s="10">
        <f>JP!A81</f>
        <v>41671</v>
      </c>
      <c r="AP19" s="11">
        <f>JP!B81</f>
        <v>49.3</v>
      </c>
      <c r="AQ19" s="12">
        <f>JP!C81</f>
        <v>-1.9000000000000057</v>
      </c>
      <c r="AS19" s="10">
        <f>BR!A81</f>
        <v>41671</v>
      </c>
      <c r="AT19" s="11">
        <f>BR!B81</f>
        <v>50.8</v>
      </c>
      <c r="AU19" s="12">
        <f>BR!C81</f>
        <v>1.1999999999999957</v>
      </c>
      <c r="AW19" s="10">
        <f>CH!A81</f>
        <v>41671</v>
      </c>
      <c r="AX19" s="11">
        <f>CH!B81</f>
        <v>51</v>
      </c>
      <c r="AY19" s="12">
        <f>CH!C81</f>
        <v>0.29999999999999716</v>
      </c>
      <c r="BA19" s="10">
        <f>IN!A81</f>
        <v>41671</v>
      </c>
      <c r="BB19" s="11">
        <f>IN!B81</f>
        <v>48.8</v>
      </c>
      <c r="BC19" s="12">
        <f>IN!C81</f>
        <v>0.5</v>
      </c>
      <c r="BE19" s="10">
        <f>RS!A81</f>
        <v>41671</v>
      </c>
      <c r="BF19" s="11">
        <f>RS!B81</f>
        <v>50.8</v>
      </c>
      <c r="BG19" s="12">
        <f>RS!C81</f>
        <v>0.59999999999999432</v>
      </c>
    </row>
    <row r="20" spans="1:59" x14ac:dyDescent="0.35">
      <c r="A20" s="10">
        <f>Global!A82</f>
        <v>41699</v>
      </c>
      <c r="B20" s="11">
        <f>Global!B82</f>
        <v>53.5</v>
      </c>
      <c r="C20" s="12">
        <f>Global!C82</f>
        <v>0.79999999999999716</v>
      </c>
      <c r="E20" s="10">
        <f>US!A83</f>
        <v>41699</v>
      </c>
      <c r="F20" s="11">
        <f>US!B83</f>
        <v>55.3</v>
      </c>
      <c r="G20" s="12">
        <f>US!C83</f>
        <v>2</v>
      </c>
      <c r="I20" s="10">
        <f>UK!A82</f>
        <v>41699</v>
      </c>
      <c r="J20" s="11">
        <f>UK!B82</f>
        <v>57.6</v>
      </c>
      <c r="K20" s="12">
        <f>UK!C82</f>
        <v>-0.60000000000000142</v>
      </c>
      <c r="M20" s="10">
        <f>EZ!A82</f>
        <v>41699</v>
      </c>
      <c r="N20" s="11">
        <f>EZ!B82</f>
        <v>52.2</v>
      </c>
      <c r="O20" s="12">
        <f>EZ!C82</f>
        <v>-0.39999999999999858</v>
      </c>
      <c r="Q20" s="10">
        <f>DE!A82</f>
        <v>41699</v>
      </c>
      <c r="R20" s="11">
        <f>DE!B82</f>
        <v>54.7</v>
      </c>
      <c r="S20" s="12">
        <f>DE!C82</f>
        <v>1.7000000000000028</v>
      </c>
      <c r="U20" s="10">
        <f>FR!A82</f>
        <v>41699</v>
      </c>
      <c r="V20" s="11">
        <f>FR!B82</f>
        <v>51.5</v>
      </c>
      <c r="W20" s="12">
        <f>FR!C82</f>
        <v>4.2999999999999972</v>
      </c>
      <c r="Y20" s="10">
        <f>IT!A82</f>
        <v>41699</v>
      </c>
      <c r="Z20" s="11">
        <f>IT!B82</f>
        <v>49.5</v>
      </c>
      <c r="AA20" s="12">
        <f>IT!C82</f>
        <v>-3.3999999999999986</v>
      </c>
      <c r="AC20" s="10">
        <f>ES!A82</f>
        <v>41699</v>
      </c>
      <c r="AD20" s="11">
        <f>ES!B82</f>
        <v>54</v>
      </c>
      <c r="AE20" s="12">
        <f>ES!C82</f>
        <v>0.29999999999999716</v>
      </c>
      <c r="AG20" s="10">
        <f>IR!A82</f>
        <v>41699</v>
      </c>
      <c r="AH20" s="11">
        <f>IR!B82</f>
        <v>60.7</v>
      </c>
      <c r="AI20" s="12">
        <f>IR!C82</f>
        <v>3.2000000000000028</v>
      </c>
      <c r="AK20" s="10">
        <f>AU!A82</f>
        <v>41699</v>
      </c>
      <c r="AL20" s="11">
        <f>AU!B82</f>
        <v>48.9</v>
      </c>
      <c r="AM20" s="12">
        <f>AU!C82</f>
        <v>-6.3000000000000043</v>
      </c>
      <c r="AO20" s="10">
        <f>JP!A82</f>
        <v>41699</v>
      </c>
      <c r="AP20" s="11">
        <f>JP!B82</f>
        <v>52.2</v>
      </c>
      <c r="AQ20" s="12">
        <f>JP!C82</f>
        <v>2.9000000000000057</v>
      </c>
      <c r="AS20" s="10">
        <f>BR!A82</f>
        <v>41699</v>
      </c>
      <c r="AT20" s="11">
        <f>BR!B82</f>
        <v>51</v>
      </c>
      <c r="AU20" s="12">
        <f>BR!C82</f>
        <v>0.20000000000000284</v>
      </c>
      <c r="AW20" s="10">
        <f>CH!A82</f>
        <v>41699</v>
      </c>
      <c r="AX20" s="11">
        <f>CH!B82</f>
        <v>51.9</v>
      </c>
      <c r="AY20" s="12">
        <f>CH!C82</f>
        <v>0.89999999999999858</v>
      </c>
      <c r="BA20" s="10">
        <f>IN!A82</f>
        <v>41699</v>
      </c>
      <c r="BB20" s="11">
        <f>IN!B82</f>
        <v>47.5</v>
      </c>
      <c r="BC20" s="12">
        <f>IN!C82</f>
        <v>-1.2999999999999972</v>
      </c>
      <c r="BE20" s="10">
        <f>RS!A82</f>
        <v>41699</v>
      </c>
      <c r="BF20" s="11">
        <f>RS!B82</f>
        <v>47.7</v>
      </c>
      <c r="BG20" s="12">
        <f>RS!C82</f>
        <v>-3.0999999999999943</v>
      </c>
    </row>
    <row r="21" spans="1:59" x14ac:dyDescent="0.35">
      <c r="A21" s="10">
        <f>Global!A83</f>
        <v>41730</v>
      </c>
      <c r="B21" s="11">
        <f>Global!B83</f>
        <v>52.7</v>
      </c>
      <c r="C21" s="12">
        <f>Global!C83</f>
        <v>-0.79999999999999716</v>
      </c>
      <c r="E21" s="10">
        <f>US!A84</f>
        <v>41730</v>
      </c>
      <c r="F21" s="11">
        <f>US!B84</f>
        <v>55</v>
      </c>
      <c r="G21" s="12">
        <f>US!C84</f>
        <v>-0.29999999999999716</v>
      </c>
      <c r="I21" s="10">
        <f>UK!A83</f>
        <v>41730</v>
      </c>
      <c r="J21" s="11">
        <f>UK!B83</f>
        <v>58.7</v>
      </c>
      <c r="K21" s="12">
        <f>UK!C83</f>
        <v>1.1000000000000014</v>
      </c>
      <c r="M21" s="10">
        <f>EZ!A83</f>
        <v>41730</v>
      </c>
      <c r="N21" s="11">
        <f>EZ!B83</f>
        <v>53.1</v>
      </c>
      <c r="O21" s="12">
        <f>EZ!C83</f>
        <v>0.89999999999999858</v>
      </c>
      <c r="Q21" s="10">
        <f>DE!A83</f>
        <v>41730</v>
      </c>
      <c r="R21" s="11">
        <f>DE!B83</f>
        <v>56.4</v>
      </c>
      <c r="S21" s="12">
        <f>DE!C83</f>
        <v>1.6999999999999957</v>
      </c>
      <c r="U21" s="10">
        <f>FR!A83</f>
        <v>41730</v>
      </c>
      <c r="V21" s="11">
        <f>FR!B83</f>
        <v>50.4</v>
      </c>
      <c r="W21" s="12">
        <f>FR!C83</f>
        <v>-1.1000000000000014</v>
      </c>
      <c r="Y21" s="10">
        <f>IT!A83</f>
        <v>41730</v>
      </c>
      <c r="Z21" s="11">
        <f>IT!B83</f>
        <v>51.1</v>
      </c>
      <c r="AA21" s="12">
        <f>IT!C83</f>
        <v>1.6000000000000014</v>
      </c>
      <c r="AC21" s="10">
        <f>ES!A83</f>
        <v>41730</v>
      </c>
      <c r="AD21" s="11">
        <f>ES!B83</f>
        <v>56.5</v>
      </c>
      <c r="AE21" s="12">
        <f>ES!C83</f>
        <v>2.5</v>
      </c>
      <c r="AG21" s="10">
        <f>IR!A83</f>
        <v>41730</v>
      </c>
      <c r="AH21" s="11">
        <f>IR!B83</f>
        <v>61.9</v>
      </c>
      <c r="AI21" s="12">
        <f>IR!C83</f>
        <v>1.1999999999999957</v>
      </c>
      <c r="AK21" s="10">
        <f>AU!A83</f>
        <v>41730</v>
      </c>
      <c r="AL21" s="11">
        <f>AU!B83</f>
        <v>48.6</v>
      </c>
      <c r="AM21" s="12">
        <f>AU!C83</f>
        <v>-0.29999999999999716</v>
      </c>
      <c r="AO21" s="10">
        <f>JP!A83</f>
        <v>41730</v>
      </c>
      <c r="AP21" s="11">
        <f>JP!B83</f>
        <v>46.4</v>
      </c>
      <c r="AQ21" s="12">
        <f>JP!C83</f>
        <v>-5.8000000000000043</v>
      </c>
      <c r="AS21" s="10">
        <f>BR!A83</f>
        <v>41730</v>
      </c>
      <c r="AT21" s="11">
        <f>BR!B83</f>
        <v>48.6</v>
      </c>
      <c r="AU21" s="12">
        <f>BR!C83</f>
        <v>-2.3999999999999986</v>
      </c>
      <c r="AW21" s="10">
        <f>CH!A83</f>
        <v>41730</v>
      </c>
      <c r="AX21" s="11">
        <f>CH!B83</f>
        <v>51.4</v>
      </c>
      <c r="AY21" s="12">
        <f>CH!C83</f>
        <v>-0.5</v>
      </c>
      <c r="BA21" s="10">
        <f>IN!A83</f>
        <v>41730</v>
      </c>
      <c r="BB21" s="11">
        <f>IN!B83</f>
        <v>48.5</v>
      </c>
      <c r="BC21" s="12">
        <f>IN!C83</f>
        <v>1</v>
      </c>
      <c r="BE21" s="10">
        <f>RS!A83</f>
        <v>41730</v>
      </c>
      <c r="BF21" s="11">
        <f>RS!B83</f>
        <v>46.8</v>
      </c>
      <c r="BG21" s="12">
        <f>RS!C83</f>
        <v>-0.90000000000000568</v>
      </c>
    </row>
    <row r="22" spans="1:59" x14ac:dyDescent="0.35">
      <c r="A22" s="10">
        <f>Global!A84</f>
        <v>41760</v>
      </c>
      <c r="B22" s="11">
        <f>Global!B84</f>
        <v>54.6</v>
      </c>
      <c r="C22" s="12">
        <f>Global!C84</f>
        <v>1.8999999999999986</v>
      </c>
      <c r="E22" s="10">
        <f>US!A85</f>
        <v>41760</v>
      </c>
      <c r="F22" s="11">
        <f>US!B85</f>
        <v>58</v>
      </c>
      <c r="G22" s="12">
        <f>US!C85</f>
        <v>3</v>
      </c>
      <c r="I22" s="10">
        <f>UK!A84</f>
        <v>41760</v>
      </c>
      <c r="J22" s="11">
        <f>UK!B84</f>
        <v>58.6</v>
      </c>
      <c r="K22" s="12">
        <f>UK!C84</f>
        <v>-0.10000000000000142</v>
      </c>
      <c r="M22" s="10">
        <f>EZ!A84</f>
        <v>41760</v>
      </c>
      <c r="N22" s="11">
        <f>EZ!B84</f>
        <v>53.2</v>
      </c>
      <c r="O22" s="12">
        <f>EZ!C84</f>
        <v>0.10000000000000142</v>
      </c>
      <c r="Q22" s="10">
        <f>DE!A84</f>
        <v>41760</v>
      </c>
      <c r="R22" s="11">
        <f>DE!B84</f>
        <v>56</v>
      </c>
      <c r="S22" s="12">
        <f>DE!C84</f>
        <v>-0.39999999999999858</v>
      </c>
      <c r="U22" s="10">
        <f>FR!A84</f>
        <v>41760</v>
      </c>
      <c r="V22" s="11">
        <f>FR!B84</f>
        <v>49.1</v>
      </c>
      <c r="W22" s="12">
        <f>FR!C84</f>
        <v>-1.2999999999999972</v>
      </c>
      <c r="Y22" s="10">
        <f>IT!A84</f>
        <v>41760</v>
      </c>
      <c r="Z22" s="11">
        <f>IT!B84</f>
        <v>51.6</v>
      </c>
      <c r="AA22" s="12">
        <f>IT!C84</f>
        <v>0.5</v>
      </c>
      <c r="AC22" s="10">
        <f>ES!A84</f>
        <v>41760</v>
      </c>
      <c r="AD22" s="11">
        <f>ES!B84</f>
        <v>55.7</v>
      </c>
      <c r="AE22" s="12">
        <f>ES!C84</f>
        <v>-0.79999999999999716</v>
      </c>
      <c r="AG22" s="10">
        <f>IR!A84</f>
        <v>41760</v>
      </c>
      <c r="AH22" s="11">
        <f>IR!B84</f>
        <v>61.7</v>
      </c>
      <c r="AI22" s="12">
        <f>IR!C84</f>
        <v>-0.19999999999999574</v>
      </c>
      <c r="AK22" s="10">
        <f>AU!A84</f>
        <v>41760</v>
      </c>
      <c r="AL22" s="11">
        <f>AU!B84</f>
        <v>49.9</v>
      </c>
      <c r="AM22" s="12">
        <f>AU!C84</f>
        <v>1.2999999999999972</v>
      </c>
      <c r="AO22" s="10">
        <f>JP!A84</f>
        <v>41760</v>
      </c>
      <c r="AP22" s="11">
        <f>JP!B84</f>
        <v>49.3</v>
      </c>
      <c r="AQ22" s="12">
        <f>JP!C84</f>
        <v>2.8999999999999986</v>
      </c>
      <c r="AS22" s="10">
        <f>BR!A84</f>
        <v>41760</v>
      </c>
      <c r="AT22" s="11">
        <f>BR!B84</f>
        <v>50.6</v>
      </c>
      <c r="AU22" s="12">
        <f>BR!C84</f>
        <v>2</v>
      </c>
      <c r="AW22" s="10">
        <f>CH!A84</f>
        <v>41760</v>
      </c>
      <c r="AX22" s="11">
        <f>CH!B84</f>
        <v>50.7</v>
      </c>
      <c r="AY22" s="12">
        <f>CH!C84</f>
        <v>-0.69999999999999574</v>
      </c>
      <c r="BA22" s="10">
        <f>IN!A84</f>
        <v>41760</v>
      </c>
      <c r="BB22" s="11">
        <f>IN!B84</f>
        <v>50.7</v>
      </c>
      <c r="BC22" s="12">
        <f>IN!C84</f>
        <v>2.2000000000000028</v>
      </c>
      <c r="BE22" s="10">
        <f>RS!A84</f>
        <v>41760</v>
      </c>
      <c r="BF22" s="11">
        <f>RS!B84</f>
        <v>46.1</v>
      </c>
      <c r="BG22" s="12">
        <f>RS!C84</f>
        <v>-0.69999999999999574</v>
      </c>
    </row>
    <row r="23" spans="1:59" x14ac:dyDescent="0.35">
      <c r="A23" s="10">
        <f>Global!A85</f>
        <v>41791</v>
      </c>
      <c r="B23" s="11">
        <f>Global!B85</f>
        <v>55.8</v>
      </c>
      <c r="C23" s="12">
        <f>Global!C85</f>
        <v>1.1999999999999957</v>
      </c>
      <c r="E23" s="10">
        <f>US!A86</f>
        <v>41791</v>
      </c>
      <c r="F23" s="11">
        <f>US!B86</f>
        <v>61</v>
      </c>
      <c r="G23" s="12">
        <f>US!C86</f>
        <v>0</v>
      </c>
      <c r="I23" s="10">
        <f>UK!A85</f>
        <v>41791</v>
      </c>
      <c r="J23" s="11">
        <f>UK!B85</f>
        <v>57.7</v>
      </c>
      <c r="K23" s="12">
        <f>UK!C85</f>
        <v>-0.89999999999999858</v>
      </c>
      <c r="M23" s="10">
        <f>EZ!A85</f>
        <v>41791</v>
      </c>
      <c r="N23" s="11">
        <f>EZ!B85</f>
        <v>52.8</v>
      </c>
      <c r="O23" s="12">
        <f>EZ!C85</f>
        <v>-0.40000000000000568</v>
      </c>
      <c r="Q23" s="10">
        <f>DE!A85</f>
        <v>41791</v>
      </c>
      <c r="R23" s="11">
        <f>DE!B85</f>
        <v>54.6</v>
      </c>
      <c r="S23" s="12">
        <f>DE!C85</f>
        <v>-1.3999999999999986</v>
      </c>
      <c r="U23" s="10">
        <f>FR!A85</f>
        <v>41791</v>
      </c>
      <c r="V23" s="11">
        <f>FR!B85</f>
        <v>48.2</v>
      </c>
      <c r="W23" s="12">
        <f>FR!C85</f>
        <v>-0.89999999999999858</v>
      </c>
      <c r="Y23" s="10">
        <f>IT!A85</f>
        <v>41791</v>
      </c>
      <c r="Z23" s="11">
        <f>IT!B85</f>
        <v>53.6</v>
      </c>
      <c r="AA23" s="12">
        <f>IT!C85</f>
        <v>2</v>
      </c>
      <c r="AC23" s="10">
        <f>ES!A85</f>
        <v>41791</v>
      </c>
      <c r="AD23" s="11">
        <f>ES!B85</f>
        <v>54.8</v>
      </c>
      <c r="AE23" s="12">
        <f>ES!C85</f>
        <v>-0.90000000000000568</v>
      </c>
      <c r="AG23" s="10">
        <f>IR!A85</f>
        <v>41791</v>
      </c>
      <c r="AH23" s="11">
        <f>IR!B85</f>
        <v>62.6</v>
      </c>
      <c r="AI23" s="12">
        <f>IR!C85</f>
        <v>0.89999999999999858</v>
      </c>
      <c r="AK23" s="10">
        <f>AU!A85</f>
        <v>41791</v>
      </c>
      <c r="AL23" s="11">
        <f>AU!B85</f>
        <v>47.6</v>
      </c>
      <c r="AM23" s="12">
        <f>AU!C85</f>
        <v>-2.2999999999999972</v>
      </c>
      <c r="AO23" s="10">
        <f>JP!A85</f>
        <v>41791</v>
      </c>
      <c r="AP23" s="11">
        <f>JP!B85</f>
        <v>49</v>
      </c>
      <c r="AQ23" s="12">
        <f>JP!C85</f>
        <v>-0.29999999999999716</v>
      </c>
      <c r="AS23" s="10">
        <f>BR!A85</f>
        <v>41791</v>
      </c>
      <c r="AT23" s="11">
        <f>BR!B85</f>
        <v>51.4</v>
      </c>
      <c r="AU23" s="12">
        <f>BR!C85</f>
        <v>0.79999999999999716</v>
      </c>
      <c r="AW23" s="10">
        <f>CH!A85</f>
        <v>41791</v>
      </c>
      <c r="AX23" s="11">
        <f>CH!B85</f>
        <v>53.1</v>
      </c>
      <c r="AY23" s="12">
        <f>CH!C85</f>
        <v>2.3999999999999986</v>
      </c>
      <c r="BA23" s="10">
        <f>IN!A85</f>
        <v>41791</v>
      </c>
      <c r="BB23" s="11">
        <f>IN!B85</f>
        <v>54.4</v>
      </c>
      <c r="BC23" s="12">
        <f>IN!C85</f>
        <v>3.6999999999999957</v>
      </c>
      <c r="BE23" s="10">
        <f>RS!A85</f>
        <v>41791</v>
      </c>
      <c r="BF23" s="11">
        <f>RS!B85</f>
        <v>49.8</v>
      </c>
      <c r="BG23" s="12">
        <f>RS!C85</f>
        <v>3.6999999999999957</v>
      </c>
    </row>
    <row r="24" spans="1:59" x14ac:dyDescent="0.35">
      <c r="A24" s="10">
        <f>Global!A86</f>
        <v>41821</v>
      </c>
      <c r="B24" s="11">
        <f>Global!B86</f>
        <v>56</v>
      </c>
      <c r="C24" s="12">
        <f>Global!C86</f>
        <v>0.20000000000000284</v>
      </c>
      <c r="E24" s="10">
        <f>US!A87</f>
        <v>41821</v>
      </c>
      <c r="F24" s="11">
        <f>US!B87</f>
        <v>60.8</v>
      </c>
      <c r="G24" s="12">
        <f>US!C87</f>
        <v>-0.20000000000000284</v>
      </c>
      <c r="I24" s="10">
        <f>UK!A86</f>
        <v>41821</v>
      </c>
      <c r="J24" s="11">
        <f>UK!B86</f>
        <v>59.1</v>
      </c>
      <c r="K24" s="12">
        <f>UK!C86</f>
        <v>1.3999999999999986</v>
      </c>
      <c r="M24" s="10">
        <f>EZ!A86</f>
        <v>41821</v>
      </c>
      <c r="N24" s="11">
        <f>EZ!B86</f>
        <v>54.2</v>
      </c>
      <c r="O24" s="12">
        <f>EZ!C86</f>
        <v>1.4000000000000057</v>
      </c>
      <c r="Q24" s="10">
        <f>DE!A86</f>
        <v>41821</v>
      </c>
      <c r="R24" s="11">
        <f>DE!B86</f>
        <v>56.7</v>
      </c>
      <c r="S24" s="12">
        <f>DE!C86</f>
        <v>2.1000000000000014</v>
      </c>
      <c r="U24" s="10">
        <f>FR!A86</f>
        <v>41821</v>
      </c>
      <c r="V24" s="11">
        <f>FR!B86</f>
        <v>50.4</v>
      </c>
      <c r="W24" s="12">
        <f>FR!C86</f>
        <v>2.1999999999999957</v>
      </c>
      <c r="Y24" s="10">
        <f>IT!A86</f>
        <v>41821</v>
      </c>
      <c r="Z24" s="11">
        <f>IT!B86</f>
        <v>52.8</v>
      </c>
      <c r="AA24" s="12">
        <f>IT!C86</f>
        <v>-0.80000000000000426</v>
      </c>
      <c r="AC24" s="10">
        <f>ES!A86</f>
        <v>41821</v>
      </c>
      <c r="AD24" s="11">
        <f>ES!B86</f>
        <v>56.2</v>
      </c>
      <c r="AE24" s="12">
        <f>ES!C86</f>
        <v>1.4000000000000057</v>
      </c>
      <c r="AG24" s="10">
        <f>IR!A86</f>
        <v>41821</v>
      </c>
      <c r="AH24" s="11">
        <f>IR!B86</f>
        <v>61.3</v>
      </c>
      <c r="AI24" s="12">
        <f>IR!C86</f>
        <v>-1.3000000000000043</v>
      </c>
      <c r="AK24" s="10">
        <f>AU!A86</f>
        <v>41821</v>
      </c>
      <c r="AL24" s="11">
        <f>AU!B86</f>
        <v>49.3</v>
      </c>
      <c r="AM24" s="12">
        <f>AU!C86</f>
        <v>1.6999999999999957</v>
      </c>
      <c r="AO24" s="10">
        <f>JP!A86</f>
        <v>41821</v>
      </c>
      <c r="AP24" s="11">
        <f>JP!B86</f>
        <v>50.4</v>
      </c>
      <c r="AQ24" s="12">
        <f>JP!C86</f>
        <v>1.3999999999999986</v>
      </c>
      <c r="AS24" s="10">
        <f>BR!A86</f>
        <v>41821</v>
      </c>
      <c r="AT24" s="11">
        <f>BR!B86</f>
        <v>50.2</v>
      </c>
      <c r="AU24" s="12">
        <f>BR!C86</f>
        <v>-1.1999999999999957</v>
      </c>
      <c r="AW24" s="10">
        <f>CH!A86</f>
        <v>41821</v>
      </c>
      <c r="AX24" s="11">
        <f>CH!B86</f>
        <v>50</v>
      </c>
      <c r="AY24" s="12">
        <f>CH!C86</f>
        <v>-3.1000000000000014</v>
      </c>
      <c r="BA24" s="10">
        <f>IN!A86</f>
        <v>41821</v>
      </c>
      <c r="BB24" s="11">
        <f>IN!B86</f>
        <v>52.2</v>
      </c>
      <c r="BC24" s="12">
        <f>IN!C86</f>
        <v>-2.1999999999999957</v>
      </c>
      <c r="BE24" s="10">
        <f>RS!A86</f>
        <v>41821</v>
      </c>
      <c r="BF24" s="11">
        <f>RS!B86</f>
        <v>49.7</v>
      </c>
      <c r="BG24" s="12">
        <f>RS!C86</f>
        <v>-9.9999999999994316E-2</v>
      </c>
    </row>
    <row r="25" spans="1:59" x14ac:dyDescent="0.35">
      <c r="A25" s="10">
        <f>Global!A87</f>
        <v>41852</v>
      </c>
      <c r="B25" s="11">
        <f>Global!B87</f>
        <v>55.5</v>
      </c>
      <c r="C25" s="12">
        <f>Global!C87</f>
        <v>-0.5</v>
      </c>
      <c r="E25" s="10">
        <f>US!A88</f>
        <v>41852</v>
      </c>
      <c r="F25" s="11">
        <f>US!B88</f>
        <v>59.5</v>
      </c>
      <c r="G25" s="12">
        <f>US!C88</f>
        <v>-1.2999999999999972</v>
      </c>
      <c r="I25" s="10">
        <f>UK!A87</f>
        <v>41852</v>
      </c>
      <c r="J25" s="11">
        <f>UK!B87</f>
        <v>60.5</v>
      </c>
      <c r="K25" s="12">
        <f>UK!C87</f>
        <v>1.3999999999999986</v>
      </c>
      <c r="M25" s="10">
        <f>EZ!A87</f>
        <v>41852</v>
      </c>
      <c r="N25" s="11">
        <f>EZ!B87</f>
        <v>53.1</v>
      </c>
      <c r="O25" s="12">
        <f>EZ!C87</f>
        <v>-1.1000000000000014</v>
      </c>
      <c r="Q25" s="10">
        <f>DE!A87</f>
        <v>41852</v>
      </c>
      <c r="R25" s="11">
        <f>DE!B87</f>
        <v>54.9</v>
      </c>
      <c r="S25" s="12">
        <f>DE!C87</f>
        <v>-1.8000000000000043</v>
      </c>
      <c r="U25" s="10">
        <f>FR!A87</f>
        <v>41852</v>
      </c>
      <c r="V25" s="11">
        <f>FR!B87</f>
        <v>50.3</v>
      </c>
      <c r="W25" s="12">
        <f>FR!C87</f>
        <v>-0.10000000000000142</v>
      </c>
      <c r="Y25" s="10">
        <f>IT!A87</f>
        <v>41852</v>
      </c>
      <c r="Z25" s="11">
        <f>IT!B87</f>
        <v>49.8</v>
      </c>
      <c r="AA25" s="12">
        <f>IT!C87</f>
        <v>-3</v>
      </c>
      <c r="AC25" s="10">
        <f>ES!A87</f>
        <v>41852</v>
      </c>
      <c r="AD25" s="11">
        <f>ES!B87</f>
        <v>58.1</v>
      </c>
      <c r="AE25" s="12">
        <f>ES!C87</f>
        <v>1.8999999999999986</v>
      </c>
      <c r="AG25" s="10">
        <f>IR!A87</f>
        <v>41852</v>
      </c>
      <c r="AH25" s="11">
        <f>IR!B87</f>
        <v>62.4</v>
      </c>
      <c r="AI25" s="12">
        <f>IR!C87</f>
        <v>1.1000000000000014</v>
      </c>
      <c r="AK25" s="10">
        <f>AU!A87</f>
        <v>41852</v>
      </c>
      <c r="AL25" s="11">
        <f>AU!B87</f>
        <v>49.4</v>
      </c>
      <c r="AM25" s="12">
        <f>AU!C87</f>
        <v>0.10000000000000142</v>
      </c>
      <c r="AO25" s="10">
        <f>JP!A87</f>
        <v>41852</v>
      </c>
      <c r="AP25" s="11">
        <f>JP!B87</f>
        <v>49.9</v>
      </c>
      <c r="AQ25" s="12">
        <f>JP!C87</f>
        <v>-0.5</v>
      </c>
      <c r="AS25" s="10">
        <f>BR!A87</f>
        <v>41852</v>
      </c>
      <c r="AT25" s="11">
        <f>BR!B87</f>
        <v>49.2</v>
      </c>
      <c r="AU25" s="12">
        <f>BR!C87</f>
        <v>-1</v>
      </c>
      <c r="AW25" s="10">
        <f>CH!A87</f>
        <v>41852</v>
      </c>
      <c r="AX25" s="11">
        <f>CH!B87</f>
        <v>54.1</v>
      </c>
      <c r="AY25" s="12">
        <f>CH!C87</f>
        <v>4.1000000000000014</v>
      </c>
      <c r="BA25" s="10">
        <f>IN!A87</f>
        <v>41852</v>
      </c>
      <c r="BB25" s="11">
        <f>IN!B87</f>
        <v>50.6</v>
      </c>
      <c r="BC25" s="12">
        <f>IN!C87</f>
        <v>-1.6000000000000014</v>
      </c>
      <c r="BE25" s="10">
        <f>RS!A87</f>
        <v>41852</v>
      </c>
      <c r="BF25" s="11">
        <f>RS!B87</f>
        <v>50.3</v>
      </c>
      <c r="BG25" s="12">
        <f>RS!C87</f>
        <v>0.59999999999999432</v>
      </c>
    </row>
    <row r="26" spans="1:59" x14ac:dyDescent="0.35">
      <c r="A26" s="10">
        <f>Global!A88</f>
        <v>41883</v>
      </c>
      <c r="B26" s="11">
        <f>Global!B88</f>
        <v>55.3</v>
      </c>
      <c r="C26" s="12">
        <f>Global!C88</f>
        <v>-0.20000000000000284</v>
      </c>
      <c r="E26" s="10">
        <f>US!A89</f>
        <v>41883</v>
      </c>
      <c r="F26" s="11">
        <f>US!B89</f>
        <v>58.9</v>
      </c>
      <c r="G26" s="12">
        <f>US!C89</f>
        <v>-0.60000000000000142</v>
      </c>
      <c r="I26" s="10">
        <f>UK!A88</f>
        <v>41883</v>
      </c>
      <c r="J26" s="11">
        <f>UK!B88</f>
        <v>58.7</v>
      </c>
      <c r="K26" s="12">
        <f>UK!C88</f>
        <v>-1.7999999999999972</v>
      </c>
      <c r="M26" s="10">
        <f>EZ!A88</f>
        <v>41883</v>
      </c>
      <c r="N26" s="11">
        <f>EZ!B88</f>
        <v>52.4</v>
      </c>
      <c r="O26" s="12">
        <f>EZ!C88</f>
        <v>-0.70000000000000284</v>
      </c>
      <c r="Q26" s="10">
        <f>DE!A88</f>
        <v>41883</v>
      </c>
      <c r="R26" s="11">
        <f>DE!B88</f>
        <v>55.7</v>
      </c>
      <c r="S26" s="12">
        <f>DE!C88</f>
        <v>0.80000000000000426</v>
      </c>
      <c r="U26" s="10">
        <f>FR!A88</f>
        <v>41883</v>
      </c>
      <c r="V26" s="11">
        <f>FR!B88</f>
        <v>48.4</v>
      </c>
      <c r="W26" s="12">
        <f>FR!C88</f>
        <v>-1.8999999999999986</v>
      </c>
      <c r="Y26" s="10">
        <f>IT!A88</f>
        <v>41883</v>
      </c>
      <c r="Z26" s="11">
        <f>IT!B88</f>
        <v>48.8</v>
      </c>
      <c r="AA26" s="12">
        <f>IT!C88</f>
        <v>-1</v>
      </c>
      <c r="AC26" s="10">
        <f>ES!A88</f>
        <v>41883</v>
      </c>
      <c r="AD26" s="11">
        <f>ES!B88</f>
        <v>55.8</v>
      </c>
      <c r="AE26" s="12">
        <f>ES!C88</f>
        <v>-2.3000000000000043</v>
      </c>
      <c r="AG26" s="10">
        <f>IR!A88</f>
        <v>41883</v>
      </c>
      <c r="AH26" s="11">
        <f>IR!B88</f>
        <v>62.5</v>
      </c>
      <c r="AI26" s="12">
        <f>IR!C88</f>
        <v>0.10000000000000142</v>
      </c>
      <c r="AK26" s="10">
        <f>AU!A88</f>
        <v>41883</v>
      </c>
      <c r="AL26" s="11">
        <f>AU!B88</f>
        <v>45.5</v>
      </c>
      <c r="AM26" s="12">
        <f>AU!C88</f>
        <v>-3.8999999999999986</v>
      </c>
      <c r="AO26" s="10">
        <f>JP!A88</f>
        <v>41883</v>
      </c>
      <c r="AP26" s="11">
        <f>JP!B88</f>
        <v>52.5</v>
      </c>
      <c r="AQ26" s="12">
        <f>JP!C88</f>
        <v>2.6000000000000014</v>
      </c>
      <c r="AS26" s="10">
        <f>BR!A88</f>
        <v>41883</v>
      </c>
      <c r="AT26" s="11">
        <f>BR!B88</f>
        <v>51.2</v>
      </c>
      <c r="AU26" s="12">
        <f>BR!C88</f>
        <v>2</v>
      </c>
      <c r="AW26" s="10">
        <f>CH!A88</f>
        <v>41883</v>
      </c>
      <c r="AX26" s="11">
        <f>CH!B88</f>
        <v>53.5</v>
      </c>
      <c r="AY26" s="12">
        <f>CH!C88</f>
        <v>-0.60000000000000142</v>
      </c>
      <c r="BA26" s="10">
        <f>IN!A88</f>
        <v>41883</v>
      </c>
      <c r="BB26" s="11">
        <f>IN!B88</f>
        <v>51.6</v>
      </c>
      <c r="BC26" s="12">
        <f>IN!C88</f>
        <v>1</v>
      </c>
      <c r="BE26" s="10">
        <f>RS!A88</f>
        <v>41883</v>
      </c>
      <c r="BF26" s="11">
        <f>RS!B88</f>
        <v>50.5</v>
      </c>
      <c r="BG26" s="12">
        <f>RS!C88</f>
        <v>0.20000000000000284</v>
      </c>
    </row>
    <row r="27" spans="1:59" x14ac:dyDescent="0.35">
      <c r="A27">
        <f>Global!A227</f>
        <v>46113</v>
      </c>
      <c r="B27" t="str">
        <f>Global!B227</f>
        <v>TBR</v>
      </c>
      <c r="C27" t="str">
        <f>Global!C227</f>
        <v/>
      </c>
      <c r="E27">
        <f>US!A363</f>
        <v>46113</v>
      </c>
      <c r="F27">
        <f>US!B363</f>
        <v>51</v>
      </c>
      <c r="G27">
        <f>US!C363</f>
        <v>-2.7999999999999972</v>
      </c>
      <c r="I27">
        <f>UK!A226</f>
        <v>46113</v>
      </c>
      <c r="J27">
        <f>UK!B226</f>
        <v>52.7</v>
      </c>
      <c r="K27">
        <f>UK!C226</f>
        <v>2.2000000000000028</v>
      </c>
      <c r="M27">
        <f>EZ!A227</f>
        <v>46113</v>
      </c>
      <c r="N27">
        <f>EZ!B227</f>
        <v>47.6</v>
      </c>
      <c r="O27" t="str">
        <f>EZ!C227</f>
        <v/>
      </c>
      <c r="Q27">
        <f>DE!A227</f>
        <v>46113</v>
      </c>
      <c r="R27" t="str">
        <f>DE!B227</f>
        <v>TBR</v>
      </c>
      <c r="S27" t="str">
        <f>DE!C227</f>
        <v/>
      </c>
      <c r="U27">
        <f>FR!A227</f>
        <v>46113</v>
      </c>
      <c r="V27" t="str">
        <f>FR!B227</f>
        <v>TBR</v>
      </c>
      <c r="W27" t="str">
        <f>FR!C227</f>
        <v/>
      </c>
      <c r="Y27">
        <f>IT!A227</f>
        <v>46113</v>
      </c>
      <c r="Z27" t="str">
        <f>IT!B227</f>
        <v>TBR</v>
      </c>
      <c r="AA27" t="str">
        <f>IT!C227</f>
        <v/>
      </c>
      <c r="AC27">
        <f>ES!A227</f>
        <v>46113</v>
      </c>
      <c r="AD27" t="str">
        <f>ES!B227</f>
        <v>TBR</v>
      </c>
      <c r="AE27" t="str">
        <f>ES!C227</f>
        <v/>
      </c>
      <c r="AG27">
        <f>IR!A227</f>
        <v>46113</v>
      </c>
      <c r="AH27" t="str">
        <f>IR!B227</f>
        <v>TBR</v>
      </c>
      <c r="AI27" t="str">
        <f>IR!C227</f>
        <v/>
      </c>
      <c r="AK27">
        <f>AU!A227</f>
        <v>46113</v>
      </c>
      <c r="AL27" t="str">
        <f>AU!B227</f>
        <v>TBR</v>
      </c>
      <c r="AM27" t="str">
        <f>AU!C227</f>
        <v/>
      </c>
      <c r="AO27">
        <f>JP!A227</f>
        <v>46113</v>
      </c>
      <c r="AP27" t="str">
        <f>JP!B227</f>
        <v>TBR</v>
      </c>
      <c r="AQ27" t="str">
        <f>JP!C227</f>
        <v/>
      </c>
      <c r="AS27">
        <f>BR!A227</f>
        <v>46113</v>
      </c>
      <c r="AT27" t="str">
        <f>BR!B227</f>
        <v>TBR</v>
      </c>
      <c r="AU27" t="str">
        <f>BR!C227</f>
        <v/>
      </c>
      <c r="AW27">
        <f>CH!A227</f>
        <v>46113</v>
      </c>
      <c r="AX27" t="str">
        <f>CH!B227</f>
        <v>TBR</v>
      </c>
      <c r="AY27" t="str">
        <f>CH!C227</f>
        <v/>
      </c>
      <c r="BA27">
        <f>IN!A227</f>
        <v>46113</v>
      </c>
      <c r="BB27" t="str">
        <f>IN!B227</f>
        <v>TBR</v>
      </c>
      <c r="BC27" t="str">
        <f>IN!C227</f>
        <v/>
      </c>
      <c r="BE27">
        <f>RS!A227</f>
        <v>46113</v>
      </c>
      <c r="BF27" t="str">
        <f>RS!B227</f>
        <v>TBR</v>
      </c>
      <c r="BG27" t="str">
        <f>RS!C227</f>
        <v/>
      </c>
    </row>
    <row r="28" spans="1:59" x14ac:dyDescent="0.35">
      <c r="A28">
        <f>Global!A228</f>
        <v>46143</v>
      </c>
      <c r="B28" t="str">
        <f>Global!B228</f>
        <v>TBR</v>
      </c>
      <c r="C28" t="str">
        <f>Global!C228</f>
        <v/>
      </c>
      <c r="E28">
        <f>US!A364</f>
        <v>46143</v>
      </c>
      <c r="F28">
        <f>US!B364</f>
        <v>50.7</v>
      </c>
      <c r="G28">
        <f>US!C364</f>
        <v>-0.29999999999999716</v>
      </c>
      <c r="I28">
        <f>UK!A227</f>
        <v>46143</v>
      </c>
      <c r="J28">
        <f>UK!B227</f>
        <v>49.3</v>
      </c>
      <c r="K28">
        <f>UK!C227</f>
        <v>-3.4000000000000057</v>
      </c>
      <c r="M28">
        <f>EZ!A228</f>
        <v>46143</v>
      </c>
      <c r="N28">
        <f>EZ!B228</f>
        <v>47.7</v>
      </c>
      <c r="O28">
        <f>EZ!C228</f>
        <v>0.10000000000000142</v>
      </c>
      <c r="Q28">
        <f>DE!A228</f>
        <v>46143</v>
      </c>
      <c r="R28" t="str">
        <f>DE!B228</f>
        <v>TBR</v>
      </c>
      <c r="S28" t="str">
        <f>DE!C228</f>
        <v/>
      </c>
      <c r="U28">
        <f>FR!A228</f>
        <v>46143</v>
      </c>
      <c r="V28" t="str">
        <f>FR!B228</f>
        <v>TBR</v>
      </c>
      <c r="W28" t="str">
        <f>FR!C228</f>
        <v/>
      </c>
      <c r="Y28">
        <f>IT!A228</f>
        <v>46143</v>
      </c>
      <c r="Z28" t="str">
        <f>IT!B228</f>
        <v>TBR</v>
      </c>
      <c r="AA28" t="str">
        <f>IT!C228</f>
        <v/>
      </c>
      <c r="AC28">
        <f>ES!A228</f>
        <v>46143</v>
      </c>
      <c r="AD28" t="str">
        <f>ES!B228</f>
        <v>TBR</v>
      </c>
      <c r="AE28" t="str">
        <f>ES!C228</f>
        <v/>
      </c>
      <c r="AG28">
        <f>IR!A228</f>
        <v>46143</v>
      </c>
      <c r="AH28" t="str">
        <f>IR!B228</f>
        <v>TBR</v>
      </c>
      <c r="AI28" t="str">
        <f>IR!C228</f>
        <v/>
      </c>
      <c r="AK28">
        <f>AU!A228</f>
        <v>46143</v>
      </c>
      <c r="AL28" t="str">
        <f>AU!B228</f>
        <v>TBR</v>
      </c>
      <c r="AM28" t="str">
        <f>AU!C228</f>
        <v/>
      </c>
      <c r="AO28">
        <f>JP!A228</f>
        <v>46143</v>
      </c>
      <c r="AP28">
        <f>JP!B228</f>
        <v>50</v>
      </c>
      <c r="AQ28" t="str">
        <f>JP!C228</f>
        <v/>
      </c>
      <c r="AS28">
        <f>BR!A228</f>
        <v>46143</v>
      </c>
      <c r="AT28">
        <f>BR!B228</f>
        <v>50.4</v>
      </c>
      <c r="AU28" t="str">
        <f>BR!C228</f>
        <v/>
      </c>
      <c r="AW28">
        <f>CH!A228</f>
        <v>46143</v>
      </c>
      <c r="AX28" t="str">
        <f>CH!B228</f>
        <v>TBR</v>
      </c>
      <c r="AY28" t="str">
        <f>CH!C228</f>
        <v/>
      </c>
      <c r="BA28">
        <f>IN!A228</f>
        <v>46143</v>
      </c>
      <c r="BB28">
        <f>IN!B228</f>
        <v>59.8</v>
      </c>
      <c r="BC28" t="str">
        <f>IN!C228</f>
        <v/>
      </c>
      <c r="BE28">
        <f>RS!A228</f>
        <v>46143</v>
      </c>
      <c r="BF28">
        <f>RS!B228</f>
        <v>48.7</v>
      </c>
      <c r="BG28" t="str">
        <f>RS!C228</f>
        <v/>
      </c>
    </row>
  </sheetData>
  <mergeCells count="15">
    <mergeCell ref="U3:W3"/>
    <mergeCell ref="A3:C3"/>
    <mergeCell ref="E3:G3"/>
    <mergeCell ref="I3:K3"/>
    <mergeCell ref="M3:O3"/>
    <mergeCell ref="Q3:S3"/>
    <mergeCell ref="AW3:AY3"/>
    <mergeCell ref="BA3:BC3"/>
    <mergeCell ref="BE3:BG3"/>
    <mergeCell ref="Y3:AA3"/>
    <mergeCell ref="AC3:AE3"/>
    <mergeCell ref="AG3:AI3"/>
    <mergeCell ref="AK3:AM3"/>
    <mergeCell ref="AO3:AQ3"/>
    <mergeCell ref="AS3:AU3"/>
  </mergeCells>
  <conditionalFormatting sqref="B4:B2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28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4:F2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8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4:J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8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4:N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8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4:R2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28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4:V2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28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4:Z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28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4:AD2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E28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4:AH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28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4:AL2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28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4:AP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Q28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4:AT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8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4:AX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AY2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4:BB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:BC2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4:BF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:BG2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0:C228"/>
  <sheetViews>
    <sheetView topLeftCell="A60" zoomScale="70" zoomScaleNormal="70" workbookViewId="0">
      <selection activeCell="B91" sqref="B91"/>
    </sheetView>
  </sheetViews>
  <sheetFormatPr defaultRowHeight="14.5" x14ac:dyDescent="0.35"/>
  <cols>
    <col min="1" max="1" width="9.7265625" style="7" customWidth="1"/>
    <col min="2" max="2" width="10.7265625" style="8" customWidth="1"/>
    <col min="3" max="3" width="9.7265625" style="9" customWidth="1"/>
  </cols>
  <sheetData>
    <row r="40" spans="1:3" x14ac:dyDescent="0.35">
      <c r="A40" s="7" t="s">
        <v>0</v>
      </c>
      <c r="B40" s="8" t="s">
        <v>2</v>
      </c>
      <c r="C40" s="9" t="s">
        <v>1</v>
      </c>
    </row>
    <row r="41" spans="1:3" x14ac:dyDescent="0.35">
      <c r="A41" s="10">
        <v>40452</v>
      </c>
      <c r="B41" s="11">
        <v>54.6</v>
      </c>
    </row>
    <row r="42" spans="1:3" x14ac:dyDescent="0.35">
      <c r="A42" s="10">
        <v>40483</v>
      </c>
      <c r="B42" s="11">
        <v>54.8</v>
      </c>
      <c r="C42" s="12">
        <f>B42-B41</f>
        <v>0.19999999999999574</v>
      </c>
    </row>
    <row r="43" spans="1:3" x14ac:dyDescent="0.35">
      <c r="A43" s="10">
        <v>40513</v>
      </c>
      <c r="B43" s="11">
        <v>56.3</v>
      </c>
      <c r="C43" s="12">
        <f t="shared" ref="C43:C83" si="0">B43-B42</f>
        <v>1.5</v>
      </c>
    </row>
    <row r="44" spans="1:3" x14ac:dyDescent="0.35">
      <c r="A44" s="10">
        <v>40544</v>
      </c>
      <c r="B44" s="11">
        <v>57.1</v>
      </c>
      <c r="C44" s="12">
        <f t="shared" si="0"/>
        <v>0.80000000000000426</v>
      </c>
    </row>
    <row r="45" spans="1:3" x14ac:dyDescent="0.35">
      <c r="A45" s="10">
        <v>40575</v>
      </c>
      <c r="B45" s="11">
        <v>59.3</v>
      </c>
      <c r="C45" s="12">
        <f t="shared" si="0"/>
        <v>2.1999999999999957</v>
      </c>
    </row>
    <row r="46" spans="1:3" x14ac:dyDescent="0.35">
      <c r="A46" s="10">
        <v>40603</v>
      </c>
      <c r="B46" s="11">
        <v>54</v>
      </c>
      <c r="C46" s="12">
        <f t="shared" si="0"/>
        <v>-5.2999999999999972</v>
      </c>
    </row>
    <row r="47" spans="1:3" x14ac:dyDescent="0.35">
      <c r="A47" s="10">
        <v>40634</v>
      </c>
      <c r="B47" s="11">
        <v>51</v>
      </c>
      <c r="C47" s="12">
        <f t="shared" si="0"/>
        <v>-3</v>
      </c>
    </row>
    <row r="48" spans="1:3" x14ac:dyDescent="0.35">
      <c r="A48" s="10">
        <v>40664</v>
      </c>
      <c r="B48" s="11">
        <v>52.5</v>
      </c>
      <c r="C48" s="12">
        <f t="shared" si="0"/>
        <v>1.5</v>
      </c>
    </row>
    <row r="49" spans="1:3" x14ac:dyDescent="0.35">
      <c r="A49" s="10">
        <v>40695</v>
      </c>
      <c r="B49" s="11">
        <v>52.1</v>
      </c>
      <c r="C49" s="12">
        <f t="shared" si="0"/>
        <v>-0.39999999999999858</v>
      </c>
    </row>
    <row r="50" spans="1:3" x14ac:dyDescent="0.35">
      <c r="A50" s="10">
        <v>40725</v>
      </c>
      <c r="B50" s="11">
        <v>53.1</v>
      </c>
      <c r="C50" s="12">
        <f t="shared" si="0"/>
        <v>1</v>
      </c>
    </row>
    <row r="51" spans="1:3" x14ac:dyDescent="0.35">
      <c r="A51" s="10">
        <v>40756</v>
      </c>
      <c r="B51" s="11">
        <v>52.4</v>
      </c>
      <c r="C51" s="12">
        <f t="shared" si="0"/>
        <v>-0.70000000000000284</v>
      </c>
    </row>
    <row r="52" spans="1:3" x14ac:dyDescent="0.35">
      <c r="A52" s="10">
        <v>40787</v>
      </c>
      <c r="B52" s="11">
        <v>52.6</v>
      </c>
      <c r="C52" s="12">
        <f t="shared" si="0"/>
        <v>0.20000000000000284</v>
      </c>
    </row>
    <row r="53" spans="1:3" x14ac:dyDescent="0.35">
      <c r="A53" s="10">
        <v>40817</v>
      </c>
      <c r="B53" s="11">
        <v>51.8</v>
      </c>
      <c r="C53" s="12">
        <f t="shared" si="0"/>
        <v>-0.80000000000000426</v>
      </c>
    </row>
    <row r="54" spans="1:3" x14ac:dyDescent="0.35">
      <c r="A54" s="10">
        <v>40848</v>
      </c>
      <c r="B54" s="11">
        <v>52.6</v>
      </c>
      <c r="C54" s="12">
        <f t="shared" si="0"/>
        <v>0.80000000000000426</v>
      </c>
    </row>
    <row r="55" spans="1:3" x14ac:dyDescent="0.35">
      <c r="A55" s="10">
        <v>40878</v>
      </c>
      <c r="B55" s="11">
        <v>53.2</v>
      </c>
      <c r="C55" s="12">
        <f t="shared" si="0"/>
        <v>0.60000000000000142</v>
      </c>
    </row>
    <row r="56" spans="1:3" x14ac:dyDescent="0.35">
      <c r="A56" s="10">
        <v>40909</v>
      </c>
      <c r="B56" s="11">
        <v>55.4</v>
      </c>
      <c r="C56" s="12">
        <f t="shared" si="0"/>
        <v>2.1999999999999957</v>
      </c>
    </row>
    <row r="57" spans="1:3" x14ac:dyDescent="0.35">
      <c r="A57" s="10">
        <v>40940</v>
      </c>
      <c r="B57" s="11">
        <v>56.5</v>
      </c>
      <c r="C57" s="12">
        <f t="shared" si="0"/>
        <v>1.1000000000000014</v>
      </c>
    </row>
    <row r="58" spans="1:3" x14ac:dyDescent="0.35">
      <c r="A58" s="10">
        <v>40969</v>
      </c>
      <c r="B58" s="11">
        <v>54.3</v>
      </c>
      <c r="C58" s="12">
        <f t="shared" si="0"/>
        <v>-2.2000000000000028</v>
      </c>
    </row>
    <row r="59" spans="1:3" x14ac:dyDescent="0.35">
      <c r="A59" s="10">
        <v>41000</v>
      </c>
      <c r="B59" s="11">
        <v>53.2</v>
      </c>
      <c r="C59" s="12">
        <f t="shared" si="0"/>
        <v>-1.0999999999999943</v>
      </c>
    </row>
    <row r="60" spans="1:3" x14ac:dyDescent="0.35">
      <c r="A60" s="10">
        <v>41030</v>
      </c>
      <c r="B60" s="11">
        <v>53.3</v>
      </c>
      <c r="C60" s="12">
        <f t="shared" si="0"/>
        <v>9.9999999999994316E-2</v>
      </c>
    </row>
    <row r="61" spans="1:3" x14ac:dyDescent="0.35">
      <c r="A61" s="10">
        <v>41061</v>
      </c>
      <c r="B61" s="11">
        <v>50.1</v>
      </c>
      <c r="C61" s="12">
        <f t="shared" si="0"/>
        <v>-3.1999999999999957</v>
      </c>
    </row>
    <row r="62" spans="1:3" x14ac:dyDescent="0.35">
      <c r="A62" s="10">
        <v>41091</v>
      </c>
      <c r="B62" s="11">
        <v>49.2</v>
      </c>
      <c r="C62" s="12">
        <f t="shared" si="0"/>
        <v>-0.89999999999999858</v>
      </c>
    </row>
    <row r="63" spans="1:3" x14ac:dyDescent="0.35">
      <c r="A63" s="10">
        <v>41122</v>
      </c>
      <c r="B63" s="11">
        <v>52.4</v>
      </c>
      <c r="C63" s="12">
        <f t="shared" si="0"/>
        <v>3.1999999999999957</v>
      </c>
    </row>
    <row r="64" spans="1:3" x14ac:dyDescent="0.35">
      <c r="A64" s="10">
        <v>41153</v>
      </c>
      <c r="B64" s="11">
        <v>53.1</v>
      </c>
      <c r="C64" s="12">
        <f t="shared" si="0"/>
        <v>0.70000000000000284</v>
      </c>
    </row>
    <row r="65" spans="1:3" x14ac:dyDescent="0.35">
      <c r="A65" s="10">
        <v>41183</v>
      </c>
      <c r="B65" s="11">
        <v>53.6</v>
      </c>
      <c r="C65" s="12">
        <f t="shared" si="0"/>
        <v>0.5</v>
      </c>
    </row>
    <row r="66" spans="1:3" x14ac:dyDescent="0.35">
      <c r="A66" s="10">
        <v>41214</v>
      </c>
      <c r="B66" s="11">
        <v>54.8</v>
      </c>
      <c r="C66" s="12">
        <f t="shared" si="0"/>
        <v>1.1999999999999957</v>
      </c>
    </row>
    <row r="67" spans="1:3" x14ac:dyDescent="0.35">
      <c r="A67" s="10">
        <v>41244</v>
      </c>
      <c r="B67" s="11">
        <v>54.8</v>
      </c>
      <c r="C67" s="12">
        <f t="shared" si="0"/>
        <v>0</v>
      </c>
    </row>
    <row r="68" spans="1:3" x14ac:dyDescent="0.35">
      <c r="A68" s="10">
        <v>41275</v>
      </c>
      <c r="B68" s="11">
        <v>53.6</v>
      </c>
      <c r="C68" s="12">
        <f t="shared" si="0"/>
        <v>-1.1999999999999957</v>
      </c>
    </row>
    <row r="69" spans="1:3" x14ac:dyDescent="0.35">
      <c r="A69" s="10">
        <v>41306</v>
      </c>
      <c r="B69" s="11">
        <v>53.2</v>
      </c>
      <c r="C69" s="12">
        <f t="shared" si="0"/>
        <v>-0.39999999999999858</v>
      </c>
    </row>
    <row r="70" spans="1:3" x14ac:dyDescent="0.35">
      <c r="A70" s="10">
        <v>41334</v>
      </c>
      <c r="B70" s="11">
        <v>53.4</v>
      </c>
      <c r="C70" s="12">
        <f t="shared" si="0"/>
        <v>0.19999999999999574</v>
      </c>
    </row>
    <row r="71" spans="1:3" x14ac:dyDescent="0.35">
      <c r="A71" s="10">
        <v>41365</v>
      </c>
      <c r="B71" s="11">
        <v>52.1</v>
      </c>
      <c r="C71" s="12">
        <f t="shared" si="0"/>
        <v>-1.2999999999999972</v>
      </c>
    </row>
    <row r="72" spans="1:3" x14ac:dyDescent="0.35">
      <c r="A72" s="10">
        <v>41395</v>
      </c>
      <c r="B72" s="11">
        <v>53.7</v>
      </c>
      <c r="C72" s="12">
        <f t="shared" si="0"/>
        <v>1.6000000000000014</v>
      </c>
    </row>
    <row r="73" spans="1:3" x14ac:dyDescent="0.35">
      <c r="A73" s="10">
        <v>41426</v>
      </c>
      <c r="B73" s="11">
        <v>51.3</v>
      </c>
      <c r="C73" s="12">
        <f t="shared" si="0"/>
        <v>-2.4000000000000057</v>
      </c>
    </row>
    <row r="74" spans="1:3" x14ac:dyDescent="0.35">
      <c r="A74" s="10">
        <v>41456</v>
      </c>
      <c r="B74" s="11">
        <v>54.9</v>
      </c>
      <c r="C74" s="12">
        <f t="shared" si="0"/>
        <v>3.6000000000000014</v>
      </c>
    </row>
    <row r="75" spans="1:3" x14ac:dyDescent="0.35">
      <c r="A75" s="10">
        <v>41487</v>
      </c>
      <c r="B75" s="11">
        <v>56</v>
      </c>
      <c r="C75" s="12">
        <f t="shared" si="0"/>
        <v>1.1000000000000014</v>
      </c>
    </row>
    <row r="76" spans="1:3" x14ac:dyDescent="0.35">
      <c r="A76" s="10">
        <v>41518</v>
      </c>
      <c r="B76" s="11">
        <v>53.6</v>
      </c>
      <c r="C76" s="12">
        <f t="shared" si="0"/>
        <v>-2.3999999999999986</v>
      </c>
    </row>
    <row r="77" spans="1:3" x14ac:dyDescent="0.35">
      <c r="A77" s="10">
        <v>41548</v>
      </c>
      <c r="B77" s="11">
        <v>51.8</v>
      </c>
      <c r="C77" s="12">
        <f t="shared" si="0"/>
        <v>-1.8000000000000043</v>
      </c>
    </row>
    <row r="78" spans="1:3" x14ac:dyDescent="0.35">
      <c r="A78" s="10">
        <v>41579</v>
      </c>
      <c r="B78" s="11">
        <v>53.9</v>
      </c>
      <c r="C78" s="12">
        <f t="shared" si="0"/>
        <v>2.1000000000000014</v>
      </c>
    </row>
    <row r="79" spans="1:3" x14ac:dyDescent="0.35">
      <c r="A79" s="10">
        <v>41609</v>
      </c>
      <c r="B79" s="11">
        <v>53.5</v>
      </c>
      <c r="C79" s="12">
        <f t="shared" si="0"/>
        <v>-0.39999999999999858</v>
      </c>
    </row>
    <row r="80" spans="1:3" x14ac:dyDescent="0.35">
      <c r="A80" s="10">
        <v>41640</v>
      </c>
      <c r="B80" s="11">
        <v>53.8</v>
      </c>
      <c r="C80" s="12">
        <f t="shared" si="0"/>
        <v>0.29999999999999716</v>
      </c>
    </row>
    <row r="81" spans="1:3" x14ac:dyDescent="0.35">
      <c r="A81" s="10">
        <v>41671</v>
      </c>
      <c r="B81" s="11">
        <v>52.7</v>
      </c>
      <c r="C81" s="12">
        <f t="shared" si="0"/>
        <v>-1.0999999999999943</v>
      </c>
    </row>
    <row r="82" spans="1:3" x14ac:dyDescent="0.35">
      <c r="A82" s="10">
        <v>41699</v>
      </c>
      <c r="B82" s="11">
        <v>53.5</v>
      </c>
      <c r="C82" s="12">
        <f t="shared" si="0"/>
        <v>0.79999999999999716</v>
      </c>
    </row>
    <row r="83" spans="1:3" x14ac:dyDescent="0.35">
      <c r="A83" s="10">
        <v>41730</v>
      </c>
      <c r="B83" s="11">
        <v>52.7</v>
      </c>
      <c r="C83" s="12">
        <f t="shared" si="0"/>
        <v>-0.79999999999999716</v>
      </c>
    </row>
    <row r="84" spans="1:3" x14ac:dyDescent="0.35">
      <c r="A84" s="10">
        <v>41760</v>
      </c>
      <c r="B84" s="11">
        <v>54.6</v>
      </c>
      <c r="C84" s="12">
        <f t="shared" ref="C84:C87" si="1">B84-B83</f>
        <v>1.8999999999999986</v>
      </c>
    </row>
    <row r="85" spans="1:3" x14ac:dyDescent="0.35">
      <c r="A85" s="10">
        <v>41791</v>
      </c>
      <c r="B85" s="11">
        <v>55.8</v>
      </c>
      <c r="C85" s="12">
        <f t="shared" si="1"/>
        <v>1.1999999999999957</v>
      </c>
    </row>
    <row r="86" spans="1:3" x14ac:dyDescent="0.35">
      <c r="A86" s="10">
        <v>41821</v>
      </c>
      <c r="B86" s="11">
        <v>56</v>
      </c>
      <c r="C86" s="12">
        <f t="shared" si="1"/>
        <v>0.20000000000000284</v>
      </c>
    </row>
    <row r="87" spans="1:3" x14ac:dyDescent="0.35">
      <c r="A87" s="10">
        <v>41852</v>
      </c>
      <c r="B87" s="11">
        <v>55.5</v>
      </c>
      <c r="C87" s="12">
        <f t="shared" si="1"/>
        <v>-0.5</v>
      </c>
    </row>
    <row r="88" spans="1:3" x14ac:dyDescent="0.35">
      <c r="A88" s="10">
        <v>41883</v>
      </c>
      <c r="B88" s="11">
        <v>55.3</v>
      </c>
      <c r="C88" s="12">
        <f t="shared" ref="C88:C89" si="2">B88-B87</f>
        <v>-0.20000000000000284</v>
      </c>
    </row>
    <row r="89" spans="1:3" x14ac:dyDescent="0.35">
      <c r="A89" s="10">
        <v>41913</v>
      </c>
      <c r="B89" s="11">
        <v>53.7</v>
      </c>
      <c r="C89" s="12">
        <f t="shared" si="2"/>
        <v>-1.5999999999999943</v>
      </c>
    </row>
    <row r="90" spans="1:3" x14ac:dyDescent="0.35">
      <c r="A90" s="10">
        <v>41944</v>
      </c>
      <c r="B90" s="11">
        <v>53.5</v>
      </c>
      <c r="C90" s="12">
        <f t="shared" ref="C90" si="3">B90-B89</f>
        <v>-0.20000000000000284</v>
      </c>
    </row>
    <row r="91" spans="1:3" x14ac:dyDescent="0.35">
      <c r="A91" s="10">
        <v>41974</v>
      </c>
      <c r="B91" s="11" t="s">
        <v>283</v>
      </c>
      <c r="C91" s="9" t="str">
        <f t="shared" ref="C91:C122" si="4">IFERROR(B91-B90,"")</f>
        <v/>
      </c>
    </row>
    <row r="92" spans="1:3" x14ac:dyDescent="0.35">
      <c r="A92" s="10">
        <v>42005</v>
      </c>
      <c r="B92" s="11" t="s">
        <v>283</v>
      </c>
      <c r="C92" s="9" t="str">
        <f t="shared" si="4"/>
        <v/>
      </c>
    </row>
    <row r="93" spans="1:3" x14ac:dyDescent="0.35">
      <c r="A93" s="10">
        <v>42036</v>
      </c>
      <c r="B93" s="11" t="s">
        <v>283</v>
      </c>
      <c r="C93" s="9" t="str">
        <f t="shared" si="4"/>
        <v/>
      </c>
    </row>
    <row r="94" spans="1:3" x14ac:dyDescent="0.35">
      <c r="A94" s="10">
        <v>42064</v>
      </c>
      <c r="B94" s="11" t="s">
        <v>283</v>
      </c>
      <c r="C94" s="9" t="str">
        <f t="shared" si="4"/>
        <v/>
      </c>
    </row>
    <row r="95" spans="1:3" x14ac:dyDescent="0.35">
      <c r="A95" s="10">
        <v>42095</v>
      </c>
      <c r="B95" s="11" t="s">
        <v>283</v>
      </c>
      <c r="C95" s="9" t="str">
        <f t="shared" si="4"/>
        <v/>
      </c>
    </row>
    <row r="96" spans="1:3" x14ac:dyDescent="0.35">
      <c r="A96" s="10">
        <v>42125</v>
      </c>
      <c r="B96" s="11" t="s">
        <v>283</v>
      </c>
      <c r="C96" s="9" t="str">
        <f t="shared" si="4"/>
        <v/>
      </c>
    </row>
    <row r="97" spans="1:3" x14ac:dyDescent="0.35">
      <c r="A97" s="10">
        <v>42156</v>
      </c>
      <c r="B97" s="11" t="s">
        <v>283</v>
      </c>
      <c r="C97" s="9" t="str">
        <f t="shared" si="4"/>
        <v/>
      </c>
    </row>
    <row r="98" spans="1:3" x14ac:dyDescent="0.35">
      <c r="A98" s="10">
        <v>42186</v>
      </c>
      <c r="B98" s="11" t="s">
        <v>283</v>
      </c>
      <c r="C98" s="9" t="str">
        <f t="shared" si="4"/>
        <v/>
      </c>
    </row>
    <row r="99" spans="1:3" x14ac:dyDescent="0.35">
      <c r="A99" s="10">
        <v>42217</v>
      </c>
      <c r="B99" s="11" t="s">
        <v>283</v>
      </c>
      <c r="C99" s="9" t="str">
        <f t="shared" si="4"/>
        <v/>
      </c>
    </row>
    <row r="100" spans="1:3" x14ac:dyDescent="0.35">
      <c r="A100" s="10">
        <v>42248</v>
      </c>
      <c r="B100" s="11" t="s">
        <v>283</v>
      </c>
      <c r="C100" s="9" t="str">
        <f t="shared" si="4"/>
        <v/>
      </c>
    </row>
    <row r="101" spans="1:3" x14ac:dyDescent="0.35">
      <c r="A101" s="10">
        <v>42278</v>
      </c>
      <c r="B101" s="11" t="s">
        <v>283</v>
      </c>
      <c r="C101" s="9" t="str">
        <f t="shared" si="4"/>
        <v/>
      </c>
    </row>
    <row r="102" spans="1:3" x14ac:dyDescent="0.35">
      <c r="A102" s="10">
        <v>42309</v>
      </c>
      <c r="B102" s="11" t="s">
        <v>283</v>
      </c>
      <c r="C102" s="9" t="str">
        <f t="shared" si="4"/>
        <v/>
      </c>
    </row>
    <row r="103" spans="1:3" x14ac:dyDescent="0.35">
      <c r="A103" s="10">
        <v>42339</v>
      </c>
      <c r="B103" s="11" t="s">
        <v>283</v>
      </c>
      <c r="C103" s="9" t="str">
        <f t="shared" si="4"/>
        <v/>
      </c>
    </row>
    <row r="104" spans="1:3" x14ac:dyDescent="0.35">
      <c r="A104" s="10">
        <v>42370</v>
      </c>
      <c r="B104" s="11" t="s">
        <v>283</v>
      </c>
      <c r="C104" s="9" t="str">
        <f t="shared" si="4"/>
        <v/>
      </c>
    </row>
    <row r="105" spans="1:3" x14ac:dyDescent="0.35">
      <c r="A105" s="10">
        <v>42401</v>
      </c>
      <c r="B105" s="11" t="s">
        <v>283</v>
      </c>
      <c r="C105" s="9" t="str">
        <f t="shared" si="4"/>
        <v/>
      </c>
    </row>
    <row r="106" spans="1:3" x14ac:dyDescent="0.35">
      <c r="A106" s="10">
        <v>42430</v>
      </c>
      <c r="B106" s="11" t="s">
        <v>283</v>
      </c>
      <c r="C106" s="9" t="str">
        <f t="shared" si="4"/>
        <v/>
      </c>
    </row>
    <row r="107" spans="1:3" x14ac:dyDescent="0.35">
      <c r="A107" s="10">
        <v>42461</v>
      </c>
      <c r="B107" s="11" t="s">
        <v>283</v>
      </c>
      <c r="C107" s="9" t="str">
        <f t="shared" si="4"/>
        <v/>
      </c>
    </row>
    <row r="108" spans="1:3" x14ac:dyDescent="0.35">
      <c r="A108" s="10">
        <v>42491</v>
      </c>
      <c r="B108" s="11" t="s">
        <v>283</v>
      </c>
      <c r="C108" s="9" t="str">
        <f t="shared" si="4"/>
        <v/>
      </c>
    </row>
    <row r="109" spans="1:3" x14ac:dyDescent="0.35">
      <c r="A109" s="10">
        <v>42522</v>
      </c>
      <c r="B109" s="11" t="s">
        <v>283</v>
      </c>
      <c r="C109" s="9" t="str">
        <f t="shared" si="4"/>
        <v/>
      </c>
    </row>
    <row r="110" spans="1:3" x14ac:dyDescent="0.35">
      <c r="A110" s="10">
        <v>42552</v>
      </c>
      <c r="B110" s="11" t="s">
        <v>283</v>
      </c>
      <c r="C110" s="9" t="str">
        <f t="shared" si="4"/>
        <v/>
      </c>
    </row>
    <row r="111" spans="1:3" x14ac:dyDescent="0.35">
      <c r="A111" s="10">
        <v>42583</v>
      </c>
      <c r="B111" s="11" t="s">
        <v>283</v>
      </c>
      <c r="C111" s="9" t="str">
        <f t="shared" si="4"/>
        <v/>
      </c>
    </row>
    <row r="112" spans="1:3" x14ac:dyDescent="0.35">
      <c r="A112" s="10">
        <v>42614</v>
      </c>
      <c r="B112" s="11" t="s">
        <v>283</v>
      </c>
      <c r="C112" s="9" t="str">
        <f t="shared" si="4"/>
        <v/>
      </c>
    </row>
    <row r="113" spans="1:3" x14ac:dyDescent="0.35">
      <c r="A113" s="10">
        <v>42644</v>
      </c>
      <c r="B113" s="11" t="s">
        <v>283</v>
      </c>
      <c r="C113" s="9" t="str">
        <f t="shared" si="4"/>
        <v/>
      </c>
    </row>
    <row r="114" spans="1:3" x14ac:dyDescent="0.35">
      <c r="A114" s="10">
        <v>42675</v>
      </c>
      <c r="B114" s="11" t="s">
        <v>283</v>
      </c>
      <c r="C114" s="9" t="str">
        <f t="shared" si="4"/>
        <v/>
      </c>
    </row>
    <row r="115" spans="1:3" x14ac:dyDescent="0.35">
      <c r="A115" s="10">
        <v>42705</v>
      </c>
      <c r="B115" s="11" t="s">
        <v>283</v>
      </c>
      <c r="C115" s="9" t="str">
        <f t="shared" si="4"/>
        <v/>
      </c>
    </row>
    <row r="116" spans="1:3" x14ac:dyDescent="0.35">
      <c r="A116" s="10">
        <v>42736</v>
      </c>
      <c r="B116" s="11" t="s">
        <v>283</v>
      </c>
      <c r="C116" s="9" t="str">
        <f t="shared" si="4"/>
        <v/>
      </c>
    </row>
    <row r="117" spans="1:3" x14ac:dyDescent="0.35">
      <c r="A117" s="10">
        <v>42767</v>
      </c>
      <c r="B117" s="11" t="s">
        <v>283</v>
      </c>
      <c r="C117" s="9" t="str">
        <f t="shared" si="4"/>
        <v/>
      </c>
    </row>
    <row r="118" spans="1:3" x14ac:dyDescent="0.35">
      <c r="A118" s="10">
        <v>42795</v>
      </c>
      <c r="B118" s="11" t="s">
        <v>283</v>
      </c>
      <c r="C118" s="9" t="str">
        <f t="shared" si="4"/>
        <v/>
      </c>
    </row>
    <row r="119" spans="1:3" x14ac:dyDescent="0.35">
      <c r="A119" s="10">
        <v>42826</v>
      </c>
      <c r="B119" s="11" t="s">
        <v>283</v>
      </c>
      <c r="C119" s="9" t="str">
        <f t="shared" si="4"/>
        <v/>
      </c>
    </row>
    <row r="120" spans="1:3" x14ac:dyDescent="0.35">
      <c r="A120" s="10">
        <v>42856</v>
      </c>
      <c r="B120" s="11" t="s">
        <v>283</v>
      </c>
      <c r="C120" s="9" t="str">
        <f t="shared" si="4"/>
        <v/>
      </c>
    </row>
    <row r="121" spans="1:3" x14ac:dyDescent="0.35">
      <c r="A121" s="10">
        <v>42887</v>
      </c>
      <c r="B121" s="11" t="s">
        <v>283</v>
      </c>
      <c r="C121" s="9" t="str">
        <f t="shared" si="4"/>
        <v/>
      </c>
    </row>
    <row r="122" spans="1:3" x14ac:dyDescent="0.35">
      <c r="A122" s="10">
        <v>42917</v>
      </c>
      <c r="B122" s="11" t="s">
        <v>283</v>
      </c>
      <c r="C122" s="9" t="str">
        <f t="shared" si="4"/>
        <v/>
      </c>
    </row>
    <row r="123" spans="1:3" x14ac:dyDescent="0.35">
      <c r="A123" s="10">
        <v>42948</v>
      </c>
      <c r="B123" s="11" t="s">
        <v>283</v>
      </c>
      <c r="C123" s="9" t="str">
        <f t="shared" ref="C123:C154" si="5">IFERROR(B123-B122,"")</f>
        <v/>
      </c>
    </row>
    <row r="124" spans="1:3" x14ac:dyDescent="0.35">
      <c r="A124" s="10">
        <v>42979</v>
      </c>
      <c r="B124" s="11" t="s">
        <v>283</v>
      </c>
      <c r="C124" s="9" t="str">
        <f t="shared" si="5"/>
        <v/>
      </c>
    </row>
    <row r="125" spans="1:3" x14ac:dyDescent="0.35">
      <c r="A125" s="10">
        <v>43009</v>
      </c>
      <c r="B125" s="11" t="s">
        <v>283</v>
      </c>
      <c r="C125" s="9" t="str">
        <f t="shared" si="5"/>
        <v/>
      </c>
    </row>
    <row r="126" spans="1:3" x14ac:dyDescent="0.35">
      <c r="A126" s="10">
        <v>43040</v>
      </c>
      <c r="B126" s="11" t="s">
        <v>283</v>
      </c>
      <c r="C126" s="9" t="str">
        <f t="shared" si="5"/>
        <v/>
      </c>
    </row>
    <row r="127" spans="1:3" x14ac:dyDescent="0.35">
      <c r="A127" s="10">
        <v>43070</v>
      </c>
      <c r="B127" s="11" t="s">
        <v>283</v>
      </c>
      <c r="C127" s="9" t="str">
        <f t="shared" si="5"/>
        <v/>
      </c>
    </row>
    <row r="128" spans="1:3" x14ac:dyDescent="0.35">
      <c r="A128" s="10">
        <v>43101</v>
      </c>
      <c r="B128" s="11" t="s">
        <v>283</v>
      </c>
      <c r="C128" s="9" t="str">
        <f t="shared" si="5"/>
        <v/>
      </c>
    </row>
    <row r="129" spans="1:3" x14ac:dyDescent="0.35">
      <c r="A129" s="10">
        <v>43132</v>
      </c>
      <c r="B129" s="11" t="s">
        <v>283</v>
      </c>
      <c r="C129" s="9" t="str">
        <f t="shared" si="5"/>
        <v/>
      </c>
    </row>
    <row r="130" spans="1:3" x14ac:dyDescent="0.35">
      <c r="A130" s="10">
        <v>43160</v>
      </c>
      <c r="B130" s="11" t="s">
        <v>283</v>
      </c>
      <c r="C130" s="9" t="str">
        <f t="shared" si="5"/>
        <v/>
      </c>
    </row>
    <row r="131" spans="1:3" x14ac:dyDescent="0.35">
      <c r="A131" s="10">
        <v>43191</v>
      </c>
      <c r="B131" s="11" t="s">
        <v>283</v>
      </c>
      <c r="C131" s="9" t="str">
        <f t="shared" si="5"/>
        <v/>
      </c>
    </row>
    <row r="132" spans="1:3" x14ac:dyDescent="0.35">
      <c r="A132" s="10">
        <v>43221</v>
      </c>
      <c r="B132" s="11" t="s">
        <v>283</v>
      </c>
      <c r="C132" s="9" t="str">
        <f t="shared" si="5"/>
        <v/>
      </c>
    </row>
    <row r="133" spans="1:3" x14ac:dyDescent="0.35">
      <c r="A133" s="10">
        <v>43252</v>
      </c>
      <c r="B133" s="11" t="s">
        <v>283</v>
      </c>
      <c r="C133" s="9" t="str">
        <f t="shared" si="5"/>
        <v/>
      </c>
    </row>
    <row r="134" spans="1:3" x14ac:dyDescent="0.35">
      <c r="A134" s="10">
        <v>43282</v>
      </c>
      <c r="B134" s="11" t="s">
        <v>283</v>
      </c>
      <c r="C134" s="9" t="str">
        <f t="shared" si="5"/>
        <v/>
      </c>
    </row>
    <row r="135" spans="1:3" x14ac:dyDescent="0.35">
      <c r="A135" s="10">
        <v>43313</v>
      </c>
      <c r="B135" s="11" t="s">
        <v>283</v>
      </c>
      <c r="C135" s="9" t="str">
        <f t="shared" si="5"/>
        <v/>
      </c>
    </row>
    <row r="136" spans="1:3" x14ac:dyDescent="0.35">
      <c r="A136" s="10">
        <v>43344</v>
      </c>
      <c r="B136" s="11" t="s">
        <v>283</v>
      </c>
      <c r="C136" s="9" t="str">
        <f t="shared" si="5"/>
        <v/>
      </c>
    </row>
    <row r="137" spans="1:3" x14ac:dyDescent="0.35">
      <c r="A137" s="10">
        <v>43374</v>
      </c>
      <c r="B137" s="11" t="s">
        <v>283</v>
      </c>
      <c r="C137" s="9" t="str">
        <f t="shared" si="5"/>
        <v/>
      </c>
    </row>
    <row r="138" spans="1:3" x14ac:dyDescent="0.35">
      <c r="A138" s="10">
        <v>43405</v>
      </c>
      <c r="B138" s="11" t="s">
        <v>283</v>
      </c>
      <c r="C138" s="9" t="str">
        <f t="shared" si="5"/>
        <v/>
      </c>
    </row>
    <row r="139" spans="1:3" x14ac:dyDescent="0.35">
      <c r="A139" s="10">
        <v>43435</v>
      </c>
      <c r="B139" s="11" t="s">
        <v>283</v>
      </c>
      <c r="C139" s="9" t="str">
        <f t="shared" si="5"/>
        <v/>
      </c>
    </row>
    <row r="140" spans="1:3" x14ac:dyDescent="0.35">
      <c r="A140" s="10">
        <v>43466</v>
      </c>
      <c r="B140" s="11" t="s">
        <v>283</v>
      </c>
      <c r="C140" s="9" t="str">
        <f t="shared" si="5"/>
        <v/>
      </c>
    </row>
    <row r="141" spans="1:3" x14ac:dyDescent="0.35">
      <c r="A141" s="10">
        <v>43497</v>
      </c>
      <c r="B141" s="11" t="s">
        <v>283</v>
      </c>
      <c r="C141" s="9" t="str">
        <f t="shared" si="5"/>
        <v/>
      </c>
    </row>
    <row r="142" spans="1:3" x14ac:dyDescent="0.35">
      <c r="A142" s="10">
        <v>43525</v>
      </c>
      <c r="B142" s="11" t="s">
        <v>283</v>
      </c>
      <c r="C142" s="9" t="str">
        <f t="shared" si="5"/>
        <v/>
      </c>
    </row>
    <row r="143" spans="1:3" x14ac:dyDescent="0.35">
      <c r="A143" s="10">
        <v>43556</v>
      </c>
      <c r="B143" s="11" t="s">
        <v>283</v>
      </c>
      <c r="C143" s="9" t="str">
        <f t="shared" si="5"/>
        <v/>
      </c>
    </row>
    <row r="144" spans="1:3" x14ac:dyDescent="0.35">
      <c r="A144" s="10">
        <v>43586</v>
      </c>
      <c r="B144" s="11" t="s">
        <v>283</v>
      </c>
      <c r="C144" s="9" t="str">
        <f t="shared" si="5"/>
        <v/>
      </c>
    </row>
    <row r="145" spans="1:3" x14ac:dyDescent="0.35">
      <c r="A145" s="10">
        <v>43617</v>
      </c>
      <c r="B145" s="11" t="s">
        <v>283</v>
      </c>
      <c r="C145" s="9" t="str">
        <f t="shared" si="5"/>
        <v/>
      </c>
    </row>
    <row r="146" spans="1:3" x14ac:dyDescent="0.35">
      <c r="A146" s="10">
        <v>43647</v>
      </c>
      <c r="B146" s="11" t="s">
        <v>283</v>
      </c>
      <c r="C146" s="9" t="str">
        <f t="shared" si="5"/>
        <v/>
      </c>
    </row>
    <row r="147" spans="1:3" x14ac:dyDescent="0.35">
      <c r="A147" s="10">
        <v>43678</v>
      </c>
      <c r="B147" s="11" t="s">
        <v>283</v>
      </c>
      <c r="C147" s="9" t="str">
        <f t="shared" si="5"/>
        <v/>
      </c>
    </row>
    <row r="148" spans="1:3" x14ac:dyDescent="0.35">
      <c r="A148" s="10">
        <v>43709</v>
      </c>
      <c r="B148" s="11" t="s">
        <v>283</v>
      </c>
      <c r="C148" s="9" t="str">
        <f t="shared" si="5"/>
        <v/>
      </c>
    </row>
    <row r="149" spans="1:3" x14ac:dyDescent="0.35">
      <c r="A149" s="10">
        <v>43739</v>
      </c>
      <c r="B149" s="11" t="s">
        <v>283</v>
      </c>
      <c r="C149" s="9" t="str">
        <f t="shared" si="5"/>
        <v/>
      </c>
    </row>
    <row r="150" spans="1:3" x14ac:dyDescent="0.35">
      <c r="A150" s="10">
        <v>43770</v>
      </c>
      <c r="B150" s="11" t="s">
        <v>283</v>
      </c>
      <c r="C150" s="9" t="str">
        <f t="shared" si="5"/>
        <v/>
      </c>
    </row>
    <row r="151" spans="1:3" x14ac:dyDescent="0.35">
      <c r="A151" s="10">
        <v>43800</v>
      </c>
      <c r="B151" s="11" t="s">
        <v>283</v>
      </c>
      <c r="C151" s="9" t="str">
        <f t="shared" si="5"/>
        <v/>
      </c>
    </row>
    <row r="152" spans="1:3" x14ac:dyDescent="0.35">
      <c r="A152" s="10">
        <v>43831</v>
      </c>
      <c r="B152" s="11" t="s">
        <v>283</v>
      </c>
      <c r="C152" s="9" t="str">
        <f t="shared" si="5"/>
        <v/>
      </c>
    </row>
    <row r="153" spans="1:3" x14ac:dyDescent="0.35">
      <c r="A153" s="10">
        <v>43862</v>
      </c>
      <c r="B153" s="11" t="s">
        <v>283</v>
      </c>
      <c r="C153" s="9" t="str">
        <f t="shared" si="5"/>
        <v/>
      </c>
    </row>
    <row r="154" spans="1:3" x14ac:dyDescent="0.35">
      <c r="A154" s="10">
        <v>43891</v>
      </c>
      <c r="B154" s="11" t="s">
        <v>283</v>
      </c>
      <c r="C154" s="9" t="str">
        <f t="shared" si="5"/>
        <v/>
      </c>
    </row>
    <row r="155" spans="1:3" x14ac:dyDescent="0.35">
      <c r="A155" s="10">
        <v>43922</v>
      </c>
      <c r="B155" s="11" t="s">
        <v>283</v>
      </c>
      <c r="C155" s="9" t="str">
        <f t="shared" ref="C155:C186" si="6">IFERROR(B155-B154,"")</f>
        <v/>
      </c>
    </row>
    <row r="156" spans="1:3" x14ac:dyDescent="0.35">
      <c r="A156" s="10">
        <v>43952</v>
      </c>
      <c r="B156" s="11" t="s">
        <v>283</v>
      </c>
      <c r="C156" s="9" t="str">
        <f t="shared" si="6"/>
        <v/>
      </c>
    </row>
    <row r="157" spans="1:3" x14ac:dyDescent="0.35">
      <c r="A157" s="10">
        <v>43983</v>
      </c>
      <c r="B157" s="11" t="s">
        <v>283</v>
      </c>
      <c r="C157" s="9" t="str">
        <f t="shared" si="6"/>
        <v/>
      </c>
    </row>
    <row r="158" spans="1:3" x14ac:dyDescent="0.35">
      <c r="A158" s="10">
        <v>44013</v>
      </c>
      <c r="B158" s="11" t="s">
        <v>283</v>
      </c>
      <c r="C158" s="9" t="str">
        <f t="shared" si="6"/>
        <v/>
      </c>
    </row>
    <row r="159" spans="1:3" x14ac:dyDescent="0.35">
      <c r="A159" s="10">
        <v>44044</v>
      </c>
      <c r="B159" s="11" t="s">
        <v>283</v>
      </c>
      <c r="C159" s="9" t="str">
        <f t="shared" si="6"/>
        <v/>
      </c>
    </row>
    <row r="160" spans="1:3" x14ac:dyDescent="0.35">
      <c r="A160" s="10">
        <v>44075</v>
      </c>
      <c r="B160" s="11" t="s">
        <v>283</v>
      </c>
      <c r="C160" s="9" t="str">
        <f t="shared" si="6"/>
        <v/>
      </c>
    </row>
    <row r="161" spans="1:3" x14ac:dyDescent="0.35">
      <c r="A161" s="10">
        <v>44105</v>
      </c>
      <c r="B161" s="11" t="s">
        <v>283</v>
      </c>
      <c r="C161" s="9" t="str">
        <f t="shared" si="6"/>
        <v/>
      </c>
    </row>
    <row r="162" spans="1:3" x14ac:dyDescent="0.35">
      <c r="A162" s="10">
        <v>44136</v>
      </c>
      <c r="B162" s="11" t="s">
        <v>283</v>
      </c>
      <c r="C162" s="9" t="str">
        <f t="shared" si="6"/>
        <v/>
      </c>
    </row>
    <row r="163" spans="1:3" x14ac:dyDescent="0.35">
      <c r="A163" s="10">
        <v>44166</v>
      </c>
      <c r="B163" s="11" t="s">
        <v>283</v>
      </c>
      <c r="C163" s="9" t="str">
        <f t="shared" si="6"/>
        <v/>
      </c>
    </row>
    <row r="164" spans="1:3" x14ac:dyDescent="0.35">
      <c r="A164" s="10">
        <v>44197</v>
      </c>
      <c r="B164" s="11" t="s">
        <v>283</v>
      </c>
      <c r="C164" s="9" t="str">
        <f t="shared" si="6"/>
        <v/>
      </c>
    </row>
    <row r="165" spans="1:3" x14ac:dyDescent="0.35">
      <c r="A165" s="10">
        <v>44228</v>
      </c>
      <c r="B165" s="11" t="s">
        <v>283</v>
      </c>
      <c r="C165" s="9" t="str">
        <f t="shared" si="6"/>
        <v/>
      </c>
    </row>
    <row r="166" spans="1:3" x14ac:dyDescent="0.35">
      <c r="A166" s="10">
        <v>44256</v>
      </c>
      <c r="B166" s="11" t="s">
        <v>283</v>
      </c>
      <c r="C166" s="9" t="str">
        <f t="shared" si="6"/>
        <v/>
      </c>
    </row>
    <row r="167" spans="1:3" x14ac:dyDescent="0.35">
      <c r="A167" s="10">
        <v>44287</v>
      </c>
      <c r="B167" s="11" t="s">
        <v>283</v>
      </c>
      <c r="C167" s="9" t="str">
        <f t="shared" si="6"/>
        <v/>
      </c>
    </row>
    <row r="168" spans="1:3" x14ac:dyDescent="0.35">
      <c r="A168" s="10">
        <v>44317</v>
      </c>
      <c r="B168" s="11" t="s">
        <v>283</v>
      </c>
      <c r="C168" s="9" t="str">
        <f t="shared" si="6"/>
        <v/>
      </c>
    </row>
    <row r="169" spans="1:3" x14ac:dyDescent="0.35">
      <c r="A169" s="10">
        <v>44348</v>
      </c>
      <c r="B169" s="11" t="s">
        <v>283</v>
      </c>
      <c r="C169" s="9" t="str">
        <f t="shared" si="6"/>
        <v/>
      </c>
    </row>
    <row r="170" spans="1:3" x14ac:dyDescent="0.35">
      <c r="A170" s="10">
        <v>44378</v>
      </c>
      <c r="B170" s="11" t="s">
        <v>283</v>
      </c>
      <c r="C170" s="9" t="str">
        <f t="shared" si="6"/>
        <v/>
      </c>
    </row>
    <row r="171" spans="1:3" x14ac:dyDescent="0.35">
      <c r="A171" s="10">
        <v>44409</v>
      </c>
      <c r="B171" s="11" t="s">
        <v>283</v>
      </c>
      <c r="C171" s="9" t="str">
        <f t="shared" si="6"/>
        <v/>
      </c>
    </row>
    <row r="172" spans="1:3" x14ac:dyDescent="0.35">
      <c r="A172" s="10">
        <v>44440</v>
      </c>
      <c r="B172" s="11" t="s">
        <v>283</v>
      </c>
      <c r="C172" s="9" t="str">
        <f t="shared" si="6"/>
        <v/>
      </c>
    </row>
    <row r="173" spans="1:3" x14ac:dyDescent="0.35">
      <c r="A173" s="10">
        <v>44470</v>
      </c>
      <c r="B173" s="11" t="s">
        <v>283</v>
      </c>
      <c r="C173" s="9" t="str">
        <f t="shared" si="6"/>
        <v/>
      </c>
    </row>
    <row r="174" spans="1:3" x14ac:dyDescent="0.35">
      <c r="A174" s="10">
        <v>44501</v>
      </c>
      <c r="B174" s="11" t="s">
        <v>283</v>
      </c>
      <c r="C174" s="9" t="str">
        <f t="shared" si="6"/>
        <v/>
      </c>
    </row>
    <row r="175" spans="1:3" x14ac:dyDescent="0.35">
      <c r="A175" s="10">
        <v>44531</v>
      </c>
      <c r="B175" s="11" t="s">
        <v>283</v>
      </c>
      <c r="C175" s="9" t="str">
        <f t="shared" si="6"/>
        <v/>
      </c>
    </row>
    <row r="176" spans="1:3" x14ac:dyDescent="0.35">
      <c r="A176" s="10">
        <v>44562</v>
      </c>
      <c r="B176" s="11" t="s">
        <v>283</v>
      </c>
      <c r="C176" s="9" t="str">
        <f t="shared" si="6"/>
        <v/>
      </c>
    </row>
    <row r="177" spans="1:3" x14ac:dyDescent="0.35">
      <c r="A177" s="10">
        <v>44593</v>
      </c>
      <c r="B177" s="11" t="s">
        <v>283</v>
      </c>
      <c r="C177" s="9" t="str">
        <f t="shared" si="6"/>
        <v/>
      </c>
    </row>
    <row r="178" spans="1:3" x14ac:dyDescent="0.35">
      <c r="A178" s="10">
        <v>44621</v>
      </c>
      <c r="B178" s="11" t="s">
        <v>283</v>
      </c>
      <c r="C178" s="9" t="str">
        <f t="shared" si="6"/>
        <v/>
      </c>
    </row>
    <row r="179" spans="1:3" x14ac:dyDescent="0.35">
      <c r="A179" s="10">
        <v>44652</v>
      </c>
      <c r="B179" s="11" t="s">
        <v>283</v>
      </c>
      <c r="C179" s="9" t="str">
        <f t="shared" si="6"/>
        <v/>
      </c>
    </row>
    <row r="180" spans="1:3" x14ac:dyDescent="0.35">
      <c r="A180" s="10">
        <v>44682</v>
      </c>
      <c r="B180" s="11" t="s">
        <v>283</v>
      </c>
      <c r="C180" s="9" t="str">
        <f t="shared" si="6"/>
        <v/>
      </c>
    </row>
    <row r="181" spans="1:3" x14ac:dyDescent="0.35">
      <c r="A181" s="10">
        <v>44713</v>
      </c>
      <c r="B181" s="11" t="s">
        <v>283</v>
      </c>
      <c r="C181" s="9" t="str">
        <f t="shared" si="6"/>
        <v/>
      </c>
    </row>
    <row r="182" spans="1:3" x14ac:dyDescent="0.35">
      <c r="A182" s="10">
        <v>44743</v>
      </c>
      <c r="B182" s="11" t="s">
        <v>283</v>
      </c>
      <c r="C182" s="9" t="str">
        <f t="shared" si="6"/>
        <v/>
      </c>
    </row>
    <row r="183" spans="1:3" x14ac:dyDescent="0.35">
      <c r="A183" s="10">
        <v>44774</v>
      </c>
      <c r="B183" s="11" t="s">
        <v>283</v>
      </c>
      <c r="C183" s="9" t="str">
        <f t="shared" si="6"/>
        <v/>
      </c>
    </row>
    <row r="184" spans="1:3" x14ac:dyDescent="0.35">
      <c r="A184" s="10">
        <v>44805</v>
      </c>
      <c r="B184" s="11" t="s">
        <v>283</v>
      </c>
      <c r="C184" s="9" t="str">
        <f t="shared" si="6"/>
        <v/>
      </c>
    </row>
    <row r="185" spans="1:3" x14ac:dyDescent="0.35">
      <c r="A185" s="10">
        <v>44835</v>
      </c>
      <c r="B185" s="11" t="s">
        <v>283</v>
      </c>
      <c r="C185" s="9" t="str">
        <f t="shared" si="6"/>
        <v/>
      </c>
    </row>
    <row r="186" spans="1:3" x14ac:dyDescent="0.35">
      <c r="A186" s="10">
        <v>44866</v>
      </c>
      <c r="B186" s="11" t="s">
        <v>283</v>
      </c>
      <c r="C186" s="9" t="str">
        <f t="shared" si="6"/>
        <v/>
      </c>
    </row>
    <row r="187" spans="1:3" x14ac:dyDescent="0.35">
      <c r="A187" s="10">
        <v>44896</v>
      </c>
      <c r="B187" s="11" t="s">
        <v>283</v>
      </c>
      <c r="C187" s="9" t="str">
        <f t="shared" ref="C187:C218" si="7">IFERROR(B187-B186,"")</f>
        <v/>
      </c>
    </row>
    <row r="188" spans="1:3" x14ac:dyDescent="0.35">
      <c r="A188" s="10">
        <v>44927</v>
      </c>
      <c r="B188" s="11" t="s">
        <v>283</v>
      </c>
      <c r="C188" s="9" t="str">
        <f t="shared" si="7"/>
        <v/>
      </c>
    </row>
    <row r="189" spans="1:3" x14ac:dyDescent="0.35">
      <c r="A189" s="10">
        <v>44958</v>
      </c>
      <c r="B189" s="11" t="s">
        <v>283</v>
      </c>
      <c r="C189" s="9" t="str">
        <f t="shared" si="7"/>
        <v/>
      </c>
    </row>
    <row r="190" spans="1:3" x14ac:dyDescent="0.35">
      <c r="A190" s="10">
        <v>44986</v>
      </c>
      <c r="B190" s="11" t="s">
        <v>283</v>
      </c>
      <c r="C190" s="9" t="str">
        <f t="shared" si="7"/>
        <v/>
      </c>
    </row>
    <row r="191" spans="1:3" x14ac:dyDescent="0.35">
      <c r="A191" s="10">
        <v>45017</v>
      </c>
      <c r="B191" s="11" t="s">
        <v>283</v>
      </c>
      <c r="C191" s="9" t="str">
        <f t="shared" si="7"/>
        <v/>
      </c>
    </row>
    <row r="192" spans="1:3" x14ac:dyDescent="0.35">
      <c r="A192" s="10">
        <v>45047</v>
      </c>
      <c r="B192" s="11" t="s">
        <v>283</v>
      </c>
      <c r="C192" s="9" t="str">
        <f t="shared" si="7"/>
        <v/>
      </c>
    </row>
    <row r="193" spans="1:3" x14ac:dyDescent="0.35">
      <c r="A193" s="10">
        <v>45078</v>
      </c>
      <c r="B193" s="11" t="s">
        <v>283</v>
      </c>
      <c r="C193" s="9" t="str">
        <f t="shared" si="7"/>
        <v/>
      </c>
    </row>
    <row r="194" spans="1:3" x14ac:dyDescent="0.35">
      <c r="A194" s="10">
        <v>45108</v>
      </c>
      <c r="B194" s="11" t="s">
        <v>283</v>
      </c>
      <c r="C194" s="9" t="str">
        <f t="shared" si="7"/>
        <v/>
      </c>
    </row>
    <row r="195" spans="1:3" x14ac:dyDescent="0.35">
      <c r="A195" s="10">
        <v>45139</v>
      </c>
      <c r="B195" s="11" t="s">
        <v>283</v>
      </c>
      <c r="C195" s="9" t="str">
        <f t="shared" si="7"/>
        <v/>
      </c>
    </row>
    <row r="196" spans="1:3" x14ac:dyDescent="0.35">
      <c r="A196" s="10">
        <v>45170</v>
      </c>
      <c r="B196" s="11" t="s">
        <v>283</v>
      </c>
      <c r="C196" s="9" t="str">
        <f t="shared" si="7"/>
        <v/>
      </c>
    </row>
    <row r="197" spans="1:3" x14ac:dyDescent="0.35">
      <c r="A197" s="10">
        <v>45200</v>
      </c>
      <c r="B197" s="11" t="s">
        <v>283</v>
      </c>
      <c r="C197" s="9" t="str">
        <f t="shared" si="7"/>
        <v/>
      </c>
    </row>
    <row r="198" spans="1:3" x14ac:dyDescent="0.35">
      <c r="A198" s="10">
        <v>45231</v>
      </c>
      <c r="B198" s="11" t="s">
        <v>283</v>
      </c>
      <c r="C198" s="9" t="str">
        <f t="shared" si="7"/>
        <v/>
      </c>
    </row>
    <row r="199" spans="1:3" x14ac:dyDescent="0.35">
      <c r="A199" s="10">
        <v>45261</v>
      </c>
      <c r="B199" s="11" t="s">
        <v>283</v>
      </c>
      <c r="C199" s="9" t="str">
        <f t="shared" si="7"/>
        <v/>
      </c>
    </row>
    <row r="200" spans="1:3" x14ac:dyDescent="0.35">
      <c r="A200" s="10">
        <v>45292</v>
      </c>
      <c r="B200" s="11" t="s">
        <v>283</v>
      </c>
      <c r="C200" s="9" t="str">
        <f t="shared" si="7"/>
        <v/>
      </c>
    </row>
    <row r="201" spans="1:3" x14ac:dyDescent="0.35">
      <c r="A201" s="10">
        <v>45323</v>
      </c>
      <c r="B201" s="11" t="s">
        <v>283</v>
      </c>
      <c r="C201" s="9" t="str">
        <f t="shared" si="7"/>
        <v/>
      </c>
    </row>
    <row r="202" spans="1:3" x14ac:dyDescent="0.35">
      <c r="A202" s="10">
        <v>45352</v>
      </c>
      <c r="B202" s="11" t="s">
        <v>283</v>
      </c>
      <c r="C202" s="9" t="str">
        <f t="shared" si="7"/>
        <v/>
      </c>
    </row>
    <row r="203" spans="1:3" x14ac:dyDescent="0.35">
      <c r="A203" s="10">
        <v>45383</v>
      </c>
      <c r="B203" s="11" t="s">
        <v>283</v>
      </c>
      <c r="C203" s="9" t="str">
        <f t="shared" si="7"/>
        <v/>
      </c>
    </row>
    <row r="204" spans="1:3" x14ac:dyDescent="0.35">
      <c r="A204" s="10">
        <v>45413</v>
      </c>
      <c r="B204" s="11" t="s">
        <v>283</v>
      </c>
      <c r="C204" s="9" t="str">
        <f t="shared" si="7"/>
        <v/>
      </c>
    </row>
    <row r="205" spans="1:3" x14ac:dyDescent="0.35">
      <c r="A205" s="10">
        <v>45444</v>
      </c>
      <c r="B205" s="11" t="s">
        <v>283</v>
      </c>
      <c r="C205" s="9" t="str">
        <f t="shared" si="7"/>
        <v/>
      </c>
    </row>
    <row r="206" spans="1:3" x14ac:dyDescent="0.35">
      <c r="A206" s="10">
        <v>45474</v>
      </c>
      <c r="B206" s="11" t="s">
        <v>283</v>
      </c>
      <c r="C206" s="9" t="str">
        <f t="shared" si="7"/>
        <v/>
      </c>
    </row>
    <row r="207" spans="1:3" x14ac:dyDescent="0.35">
      <c r="A207" s="10">
        <v>45505</v>
      </c>
      <c r="B207" s="11" t="s">
        <v>283</v>
      </c>
      <c r="C207" s="9" t="str">
        <f t="shared" si="7"/>
        <v/>
      </c>
    </row>
    <row r="208" spans="1:3" x14ac:dyDescent="0.35">
      <c r="A208" s="10">
        <v>45536</v>
      </c>
      <c r="B208" s="11" t="s">
        <v>283</v>
      </c>
      <c r="C208" s="9" t="str">
        <f t="shared" si="7"/>
        <v/>
      </c>
    </row>
    <row r="209" spans="1:3" x14ac:dyDescent="0.35">
      <c r="A209" s="10">
        <v>45566</v>
      </c>
      <c r="B209" s="11" t="s">
        <v>283</v>
      </c>
      <c r="C209" s="9" t="str">
        <f t="shared" si="7"/>
        <v/>
      </c>
    </row>
    <row r="210" spans="1:3" x14ac:dyDescent="0.35">
      <c r="A210" s="10">
        <v>45597</v>
      </c>
      <c r="B210" s="11" t="s">
        <v>283</v>
      </c>
      <c r="C210" s="9" t="str">
        <f t="shared" si="7"/>
        <v/>
      </c>
    </row>
    <row r="211" spans="1:3" x14ac:dyDescent="0.35">
      <c r="A211" s="10">
        <v>45627</v>
      </c>
      <c r="B211" s="11" t="s">
        <v>283</v>
      </c>
      <c r="C211" s="9" t="str">
        <f t="shared" si="7"/>
        <v/>
      </c>
    </row>
    <row r="212" spans="1:3" x14ac:dyDescent="0.35">
      <c r="A212" s="10">
        <v>45658</v>
      </c>
      <c r="B212" s="11" t="s">
        <v>283</v>
      </c>
      <c r="C212" s="9" t="str">
        <f t="shared" si="7"/>
        <v/>
      </c>
    </row>
    <row r="213" spans="1:3" x14ac:dyDescent="0.35">
      <c r="A213" s="10">
        <v>45689</v>
      </c>
      <c r="B213" s="11" t="s">
        <v>283</v>
      </c>
      <c r="C213" s="9" t="str">
        <f t="shared" si="7"/>
        <v/>
      </c>
    </row>
    <row r="214" spans="1:3" x14ac:dyDescent="0.35">
      <c r="A214" s="10">
        <v>45717</v>
      </c>
      <c r="B214" s="11" t="s">
        <v>283</v>
      </c>
      <c r="C214" s="9" t="str">
        <f t="shared" si="7"/>
        <v/>
      </c>
    </row>
    <row r="215" spans="1:3" x14ac:dyDescent="0.35">
      <c r="A215" s="10">
        <v>45748</v>
      </c>
      <c r="B215" s="11" t="s">
        <v>283</v>
      </c>
      <c r="C215" s="9" t="str">
        <f t="shared" si="7"/>
        <v/>
      </c>
    </row>
    <row r="216" spans="1:3" x14ac:dyDescent="0.35">
      <c r="A216" s="10">
        <v>45778</v>
      </c>
      <c r="B216" s="11" t="s">
        <v>283</v>
      </c>
      <c r="C216" s="9" t="str">
        <f t="shared" si="7"/>
        <v/>
      </c>
    </row>
    <row r="217" spans="1:3" x14ac:dyDescent="0.35">
      <c r="A217" s="10">
        <v>45809</v>
      </c>
      <c r="B217" s="11" t="s">
        <v>283</v>
      </c>
      <c r="C217" s="9" t="str">
        <f t="shared" si="7"/>
        <v/>
      </c>
    </row>
    <row r="218" spans="1:3" x14ac:dyDescent="0.35">
      <c r="A218" s="10">
        <v>45839</v>
      </c>
      <c r="B218" s="11" t="s">
        <v>283</v>
      </c>
      <c r="C218" s="9" t="str">
        <f t="shared" si="7"/>
        <v/>
      </c>
    </row>
    <row r="219" spans="1:3" x14ac:dyDescent="0.35">
      <c r="A219" s="10">
        <v>45870</v>
      </c>
      <c r="B219" s="11" t="s">
        <v>283</v>
      </c>
      <c r="C219" s="9" t="str">
        <f t="shared" ref="C219:C228" si="8">IFERROR(B219-B218,"")</f>
        <v/>
      </c>
    </row>
    <row r="220" spans="1:3" x14ac:dyDescent="0.35">
      <c r="A220" s="10">
        <v>45901</v>
      </c>
      <c r="B220" s="11" t="s">
        <v>283</v>
      </c>
      <c r="C220" s="9" t="str">
        <f t="shared" si="8"/>
        <v/>
      </c>
    </row>
    <row r="221" spans="1:3" x14ac:dyDescent="0.35">
      <c r="A221" s="10">
        <v>45931</v>
      </c>
      <c r="B221" s="11" t="s">
        <v>283</v>
      </c>
      <c r="C221" s="9" t="str">
        <f t="shared" si="8"/>
        <v/>
      </c>
    </row>
    <row r="222" spans="1:3" x14ac:dyDescent="0.35">
      <c r="A222" s="10">
        <v>45962</v>
      </c>
      <c r="B222" s="11" t="s">
        <v>283</v>
      </c>
      <c r="C222" s="9" t="str">
        <f t="shared" si="8"/>
        <v/>
      </c>
    </row>
    <row r="223" spans="1:3" x14ac:dyDescent="0.35">
      <c r="A223" s="10">
        <v>45992</v>
      </c>
      <c r="B223" s="11" t="s">
        <v>283</v>
      </c>
      <c r="C223" s="9" t="str">
        <f t="shared" si="8"/>
        <v/>
      </c>
    </row>
    <row r="224" spans="1:3" x14ac:dyDescent="0.35">
      <c r="A224" s="10">
        <v>46023</v>
      </c>
      <c r="B224" s="11" t="s">
        <v>283</v>
      </c>
      <c r="C224" s="9" t="str">
        <f t="shared" si="8"/>
        <v/>
      </c>
    </row>
    <row r="225" spans="1:3" x14ac:dyDescent="0.35">
      <c r="A225" s="10">
        <v>46054</v>
      </c>
      <c r="B225" s="11" t="s">
        <v>283</v>
      </c>
      <c r="C225" s="9" t="str">
        <f t="shared" si="8"/>
        <v/>
      </c>
    </row>
    <row r="226" spans="1:3" x14ac:dyDescent="0.35">
      <c r="A226" s="10">
        <v>46082</v>
      </c>
      <c r="B226" s="11" t="s">
        <v>283</v>
      </c>
      <c r="C226" s="9" t="str">
        <f t="shared" si="8"/>
        <v/>
      </c>
    </row>
    <row r="227" spans="1:3" x14ac:dyDescent="0.35">
      <c r="A227" s="10">
        <v>46113</v>
      </c>
      <c r="B227" s="11" t="s">
        <v>283</v>
      </c>
      <c r="C227" s="9" t="str">
        <f t="shared" si="8"/>
        <v/>
      </c>
    </row>
    <row r="228" spans="1:3" x14ac:dyDescent="0.35">
      <c r="A228" s="10">
        <v>46143</v>
      </c>
      <c r="B228" s="11" t="s">
        <v>283</v>
      </c>
      <c r="C228" s="9" t="str">
        <f t="shared" si="8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4"/>
  <sheetViews>
    <sheetView zoomScale="70" zoomScaleNormal="70" workbookViewId="0">
      <pane xSplit="1" ySplit="1" topLeftCell="B95" activePane="bottomRight" state="frozen"/>
      <selection activeCell="D88" sqref="D88"/>
      <selection pane="topRight" activeCell="D88" sqref="D88"/>
      <selection pane="bottomLeft" activeCell="D88" sqref="D88"/>
      <selection pane="bottomRight" activeCell="C242" sqref="C242"/>
    </sheetView>
  </sheetViews>
  <sheetFormatPr defaultRowHeight="14.5" x14ac:dyDescent="0.35"/>
  <cols>
    <col min="1" max="1" width="12.81640625" style="3" customWidth="1"/>
    <col min="2" max="2" width="13.26953125" style="6" customWidth="1"/>
    <col min="3" max="3" width="13.26953125" style="13" customWidth="1"/>
    <col min="4" max="4" width="13.26953125" style="1" customWidth="1"/>
  </cols>
  <sheetData>
    <row r="1" spans="1:4" x14ac:dyDescent="0.35">
      <c r="A1" s="3" t="s">
        <v>0</v>
      </c>
      <c r="B1" s="6" t="s">
        <v>3</v>
      </c>
      <c r="C1" s="13" t="s">
        <v>1</v>
      </c>
      <c r="D1" s="1" t="s">
        <v>29</v>
      </c>
    </row>
    <row r="41" spans="1:4" x14ac:dyDescent="0.35">
      <c r="A41" s="5" t="s">
        <v>279</v>
      </c>
      <c r="B41" s="6" t="s">
        <v>280</v>
      </c>
      <c r="C41" s="13" t="s">
        <v>281</v>
      </c>
      <c r="D41" s="1" t="s">
        <v>282</v>
      </c>
    </row>
    <row r="42" spans="1:4" x14ac:dyDescent="0.35">
      <c r="A42" s="5">
        <v>40452</v>
      </c>
      <c r="B42" s="6">
        <v>54.3</v>
      </c>
    </row>
    <row r="43" spans="1:4" x14ac:dyDescent="0.35">
      <c r="A43" s="5">
        <v>40483</v>
      </c>
      <c r="B43" s="6">
        <v>55</v>
      </c>
      <c r="C43" s="13">
        <f>B43-B42</f>
        <v>0.70000000000000284</v>
      </c>
    </row>
    <row r="44" spans="1:4" x14ac:dyDescent="0.35">
      <c r="A44" s="5">
        <v>40513</v>
      </c>
      <c r="C44" s="13">
        <f t="shared" ref="C44:C85" si="0">B44-B43</f>
        <v>-55</v>
      </c>
    </row>
    <row r="45" spans="1:4" x14ac:dyDescent="0.35">
      <c r="A45" s="5">
        <v>40544</v>
      </c>
      <c r="C45" s="13">
        <f t="shared" si="0"/>
        <v>0</v>
      </c>
    </row>
    <row r="46" spans="1:4" x14ac:dyDescent="0.35">
      <c r="A46" s="5">
        <v>40575</v>
      </c>
      <c r="B46" s="6">
        <v>59.7</v>
      </c>
      <c r="C46" s="13">
        <f t="shared" si="0"/>
        <v>59.7</v>
      </c>
    </row>
    <row r="47" spans="1:4" x14ac:dyDescent="0.35">
      <c r="A47" s="5">
        <v>40603</v>
      </c>
      <c r="B47" s="6">
        <v>57.3</v>
      </c>
      <c r="C47" s="13">
        <f t="shared" si="0"/>
        <v>-2.4000000000000057</v>
      </c>
    </row>
    <row r="48" spans="1:4" x14ac:dyDescent="0.35">
      <c r="A48" s="5">
        <v>40634</v>
      </c>
      <c r="B48" s="6">
        <v>52.8</v>
      </c>
      <c r="C48" s="13">
        <f t="shared" si="0"/>
        <v>-4.5</v>
      </c>
    </row>
    <row r="49" spans="1:3" x14ac:dyDescent="0.35">
      <c r="A49" s="5">
        <v>40664</v>
      </c>
      <c r="B49" s="6">
        <v>53.6</v>
      </c>
      <c r="C49" s="13">
        <f t="shared" si="0"/>
        <v>0.80000000000000426</v>
      </c>
    </row>
    <row r="50" spans="1:3" x14ac:dyDescent="0.35">
      <c r="A50" s="5">
        <v>40695</v>
      </c>
      <c r="B50" s="6">
        <v>53.3</v>
      </c>
      <c r="C50" s="13">
        <f t="shared" si="0"/>
        <v>-0.30000000000000426</v>
      </c>
    </row>
    <row r="51" spans="1:3" x14ac:dyDescent="0.35">
      <c r="A51" s="5">
        <v>40725</v>
      </c>
      <c r="B51" s="6">
        <v>52.7</v>
      </c>
      <c r="C51" s="13">
        <f t="shared" si="0"/>
        <v>-0.59999999999999432</v>
      </c>
    </row>
    <row r="52" spans="1:3" x14ac:dyDescent="0.35">
      <c r="A52" s="5">
        <v>40756</v>
      </c>
      <c r="C52" s="13">
        <f t="shared" si="0"/>
        <v>-52.7</v>
      </c>
    </row>
    <row r="53" spans="1:3" x14ac:dyDescent="0.35">
      <c r="A53" s="5">
        <v>40787</v>
      </c>
      <c r="B53" s="6">
        <v>53</v>
      </c>
      <c r="C53" s="13">
        <f t="shared" si="0"/>
        <v>53</v>
      </c>
    </row>
    <row r="54" spans="1:3" x14ac:dyDescent="0.35">
      <c r="A54" s="5">
        <v>40817</v>
      </c>
      <c r="B54" s="6">
        <v>52.9</v>
      </c>
      <c r="C54" s="13">
        <f t="shared" si="0"/>
        <v>-0.10000000000000142</v>
      </c>
    </row>
    <row r="55" spans="1:3" x14ac:dyDescent="0.35">
      <c r="A55" s="5">
        <v>40848</v>
      </c>
      <c r="B55" s="6">
        <v>52</v>
      </c>
      <c r="C55" s="13">
        <f t="shared" si="0"/>
        <v>-0.89999999999999858</v>
      </c>
    </row>
    <row r="56" spans="1:3" x14ac:dyDescent="0.35">
      <c r="A56" s="5">
        <v>40878</v>
      </c>
      <c r="B56" s="6">
        <v>52.6</v>
      </c>
      <c r="C56" s="13">
        <f t="shared" si="0"/>
        <v>0.60000000000000142</v>
      </c>
    </row>
    <row r="57" spans="1:3" x14ac:dyDescent="0.35">
      <c r="A57" s="5">
        <v>40909</v>
      </c>
      <c r="C57" s="13">
        <f t="shared" si="0"/>
        <v>-52.6</v>
      </c>
    </row>
    <row r="58" spans="1:3" x14ac:dyDescent="0.35">
      <c r="A58" s="5">
        <v>40940</v>
      </c>
      <c r="C58" s="13">
        <f t="shared" si="0"/>
        <v>0</v>
      </c>
    </row>
    <row r="59" spans="1:3" x14ac:dyDescent="0.35">
      <c r="A59" s="5">
        <v>40969</v>
      </c>
      <c r="C59" s="13">
        <f t="shared" si="0"/>
        <v>0</v>
      </c>
    </row>
    <row r="60" spans="1:3" x14ac:dyDescent="0.35">
      <c r="A60" s="5">
        <v>41000</v>
      </c>
      <c r="C60" s="13">
        <f t="shared" si="0"/>
        <v>0</v>
      </c>
    </row>
    <row r="61" spans="1:3" x14ac:dyDescent="0.35">
      <c r="A61" s="5">
        <v>41030</v>
      </c>
      <c r="C61" s="13">
        <f t="shared" si="0"/>
        <v>0</v>
      </c>
    </row>
    <row r="62" spans="1:3" x14ac:dyDescent="0.35">
      <c r="A62" s="5">
        <v>41061</v>
      </c>
      <c r="B62" s="6" t="s">
        <v>45</v>
      </c>
      <c r="C62" s="13">
        <v>0</v>
      </c>
    </row>
    <row r="63" spans="1:3" x14ac:dyDescent="0.35">
      <c r="A63" s="5">
        <v>41091</v>
      </c>
      <c r="B63" s="6" t="s">
        <v>45</v>
      </c>
      <c r="C63" s="13">
        <v>0</v>
      </c>
    </row>
    <row r="64" spans="1:3" x14ac:dyDescent="0.35">
      <c r="A64" s="5">
        <v>41122</v>
      </c>
      <c r="B64" s="6" t="s">
        <v>45</v>
      </c>
      <c r="C64" s="13">
        <v>0</v>
      </c>
    </row>
    <row r="65" spans="1:4" x14ac:dyDescent="0.35">
      <c r="A65" s="5">
        <v>41153</v>
      </c>
      <c r="B65" s="6" t="s">
        <v>45</v>
      </c>
      <c r="C65" s="13">
        <v>0</v>
      </c>
    </row>
    <row r="66" spans="1:4" x14ac:dyDescent="0.35">
      <c r="A66" s="5">
        <v>41183</v>
      </c>
      <c r="B66" s="6" t="s">
        <v>45</v>
      </c>
      <c r="C66" s="13">
        <v>0</v>
      </c>
    </row>
    <row r="67" spans="1:4" x14ac:dyDescent="0.35">
      <c r="A67" s="5">
        <v>41214</v>
      </c>
      <c r="B67" s="6" t="s">
        <v>45</v>
      </c>
      <c r="C67" s="13">
        <v>0</v>
      </c>
    </row>
    <row r="68" spans="1:4" x14ac:dyDescent="0.35">
      <c r="A68" s="5">
        <v>41244</v>
      </c>
      <c r="B68" s="6" t="s">
        <v>45</v>
      </c>
      <c r="C68" s="13">
        <v>0</v>
      </c>
    </row>
    <row r="69" spans="1:4" x14ac:dyDescent="0.35">
      <c r="A69" s="5">
        <v>41275</v>
      </c>
      <c r="B69" s="6" t="s">
        <v>45</v>
      </c>
      <c r="C69" s="13">
        <v>0</v>
      </c>
    </row>
    <row r="70" spans="1:4" x14ac:dyDescent="0.35">
      <c r="A70" s="5">
        <v>41306</v>
      </c>
      <c r="B70" s="6" t="s">
        <v>45</v>
      </c>
      <c r="C70" s="13">
        <v>0</v>
      </c>
    </row>
    <row r="71" spans="1:4" x14ac:dyDescent="0.35">
      <c r="A71" s="5">
        <v>41334</v>
      </c>
      <c r="B71" s="6" t="s">
        <v>45</v>
      </c>
      <c r="C71" s="13">
        <v>0</v>
      </c>
    </row>
    <row r="72" spans="1:4" x14ac:dyDescent="0.35">
      <c r="A72" s="5">
        <v>41365</v>
      </c>
      <c r="B72" s="6" t="s">
        <v>45</v>
      </c>
      <c r="C72" s="13">
        <v>0</v>
      </c>
    </row>
    <row r="73" spans="1:4" x14ac:dyDescent="0.35">
      <c r="A73" s="5">
        <v>41395</v>
      </c>
      <c r="B73" s="6" t="s">
        <v>45</v>
      </c>
      <c r="C73" s="13">
        <v>0</v>
      </c>
    </row>
    <row r="74" spans="1:4" x14ac:dyDescent="0.35">
      <c r="A74" s="5">
        <v>41426</v>
      </c>
      <c r="B74" s="6" t="s">
        <v>45</v>
      </c>
      <c r="C74" s="13">
        <v>0</v>
      </c>
    </row>
    <row r="75" spans="1:4" x14ac:dyDescent="0.35">
      <c r="A75" s="5">
        <v>41456</v>
      </c>
      <c r="B75" s="6" t="s">
        <v>45</v>
      </c>
      <c r="C75" s="13">
        <v>0</v>
      </c>
    </row>
    <row r="76" spans="1:4" x14ac:dyDescent="0.35">
      <c r="A76" s="5">
        <v>41487</v>
      </c>
      <c r="B76" s="6" t="s">
        <v>45</v>
      </c>
      <c r="C76" s="13">
        <v>0</v>
      </c>
    </row>
    <row r="77" spans="1:4" x14ac:dyDescent="0.35">
      <c r="A77" s="10">
        <v>41518</v>
      </c>
      <c r="B77" s="6" t="s">
        <v>45</v>
      </c>
      <c r="C77" s="13">
        <v>0</v>
      </c>
    </row>
    <row r="78" spans="1:4" x14ac:dyDescent="0.35">
      <c r="A78" s="10">
        <v>41548</v>
      </c>
      <c r="B78" s="11">
        <v>49.3</v>
      </c>
      <c r="C78" s="14">
        <v>0</v>
      </c>
    </row>
    <row r="79" spans="1:4" x14ac:dyDescent="0.35">
      <c r="A79" s="10">
        <v>41579</v>
      </c>
      <c r="B79" s="11">
        <v>55.9</v>
      </c>
      <c r="C79" s="14">
        <f t="shared" si="0"/>
        <v>6.6000000000000014</v>
      </c>
    </row>
    <row r="80" spans="1:4" x14ac:dyDescent="0.35">
      <c r="A80" s="10">
        <v>41609</v>
      </c>
      <c r="B80" s="11">
        <v>55.7</v>
      </c>
      <c r="C80" s="14">
        <f t="shared" si="0"/>
        <v>-0.19999999999999574</v>
      </c>
      <c r="D80" s="1">
        <v>6.4999999999999997E-3</v>
      </c>
    </row>
    <row r="81" spans="1:9" x14ac:dyDescent="0.35">
      <c r="A81" s="10">
        <v>41640</v>
      </c>
      <c r="B81" s="11">
        <v>56.7</v>
      </c>
      <c r="C81" s="14">
        <f t="shared" si="0"/>
        <v>1</v>
      </c>
    </row>
    <row r="82" spans="1:9" x14ac:dyDescent="0.35">
      <c r="A82" s="10">
        <v>41671</v>
      </c>
      <c r="B82" s="11">
        <v>53.3</v>
      </c>
      <c r="C82" s="14">
        <f t="shared" si="0"/>
        <v>-3.4000000000000057</v>
      </c>
    </row>
    <row r="83" spans="1:9" x14ac:dyDescent="0.35">
      <c r="A83" s="10">
        <v>41699</v>
      </c>
      <c r="B83" s="11">
        <v>55.3</v>
      </c>
      <c r="C83" s="14">
        <f t="shared" si="0"/>
        <v>2</v>
      </c>
      <c r="D83" s="1">
        <v>-7.4999999999999997E-3</v>
      </c>
    </row>
    <row r="84" spans="1:9" x14ac:dyDescent="0.35">
      <c r="A84" s="10">
        <v>41730</v>
      </c>
      <c r="B84" s="11">
        <v>55</v>
      </c>
      <c r="C84" s="14">
        <f t="shared" si="0"/>
        <v>-0.29999999999999716</v>
      </c>
    </row>
    <row r="85" spans="1:9" x14ac:dyDescent="0.35">
      <c r="A85" s="10">
        <v>41760</v>
      </c>
      <c r="B85" s="11">
        <v>58</v>
      </c>
      <c r="C85" s="14">
        <f t="shared" si="0"/>
        <v>3</v>
      </c>
      <c r="G85" s="41"/>
      <c r="H85" s="41" t="s">
        <v>31</v>
      </c>
      <c r="I85" t="s">
        <v>55</v>
      </c>
    </row>
    <row r="86" spans="1:9" x14ac:dyDescent="0.35">
      <c r="A86" s="10">
        <v>41791</v>
      </c>
      <c r="B86" s="11">
        <v>61</v>
      </c>
      <c r="C86" s="14">
        <v>0</v>
      </c>
      <c r="D86" s="1">
        <v>1.0500000000000001E-2</v>
      </c>
    </row>
    <row r="87" spans="1:9" x14ac:dyDescent="0.35">
      <c r="A87" s="10">
        <v>41821</v>
      </c>
      <c r="B87" s="11">
        <v>60.8</v>
      </c>
      <c r="C87" s="14">
        <f t="shared" ref="C87:C88" si="1">B87-B86</f>
        <v>-0.20000000000000284</v>
      </c>
    </row>
    <row r="88" spans="1:9" x14ac:dyDescent="0.35">
      <c r="A88" s="10">
        <v>41852</v>
      </c>
      <c r="B88" s="11">
        <v>59.5</v>
      </c>
      <c r="C88" s="14">
        <f t="shared" si="1"/>
        <v>-1.2999999999999972</v>
      </c>
    </row>
    <row r="89" spans="1:9" x14ac:dyDescent="0.35">
      <c r="A89" s="10">
        <v>41883</v>
      </c>
      <c r="B89" s="11">
        <v>58.9</v>
      </c>
      <c r="C89" s="14">
        <f>IFERROR(B89-B88,"")</f>
        <v>-0.60000000000000142</v>
      </c>
      <c r="D89" s="1">
        <f>IF(VLOOKUP(I85,Data!$A$30:$H$150,7,FALSE)=A88,((1+VLOOKUP(I85,Data!$A$30:$H$150,2,FALSE)/100)^(1/4))-1,#N/A)</f>
        <v>9.6105657459020222E-3</v>
      </c>
    </row>
    <row r="90" spans="1:9" x14ac:dyDescent="0.35">
      <c r="A90" s="10">
        <v>41913</v>
      </c>
      <c r="B90" s="11">
        <v>57.1</v>
      </c>
      <c r="C90" s="14">
        <v>-1.7999999999999972</v>
      </c>
    </row>
    <row r="91" spans="1:9" x14ac:dyDescent="0.35">
      <c r="A91" s="86"/>
      <c r="B91" s="11"/>
      <c r="C91" s="14"/>
    </row>
    <row r="92" spans="1:9" x14ac:dyDescent="0.35">
      <c r="A92" s="86"/>
      <c r="B92" s="11"/>
      <c r="C92" s="14"/>
    </row>
    <row r="93" spans="1:9" x14ac:dyDescent="0.35">
      <c r="A93" s="86"/>
      <c r="B93" s="11"/>
      <c r="C93" s="14"/>
    </row>
    <row r="94" spans="1:9" x14ac:dyDescent="0.35">
      <c r="A94" s="86"/>
      <c r="B94" s="11"/>
      <c r="C94" s="14"/>
    </row>
    <row r="95" spans="1:9" x14ac:dyDescent="0.35">
      <c r="A95" s="86"/>
      <c r="B95" s="11"/>
      <c r="C95" s="14"/>
    </row>
    <row r="96" spans="1:9" x14ac:dyDescent="0.35">
      <c r="A96" s="86"/>
      <c r="B96" s="11"/>
      <c r="C96" s="14"/>
    </row>
    <row r="97" spans="1:3" x14ac:dyDescent="0.35">
      <c r="A97" s="86"/>
      <c r="B97" s="11"/>
      <c r="C97" s="14"/>
    </row>
    <row r="98" spans="1:3" x14ac:dyDescent="0.35">
      <c r="A98" s="86"/>
      <c r="B98" s="11"/>
      <c r="C98" s="14"/>
    </row>
    <row r="99" spans="1:3" x14ac:dyDescent="0.35">
      <c r="A99" s="86"/>
      <c r="B99" s="11"/>
      <c r="C99" s="14"/>
    </row>
    <row r="100" spans="1:3" x14ac:dyDescent="0.35">
      <c r="A100" s="86"/>
      <c r="B100" s="11"/>
      <c r="C100" s="14"/>
    </row>
    <row r="101" spans="1:3" x14ac:dyDescent="0.35">
      <c r="A101" s="86"/>
      <c r="B101" s="11"/>
      <c r="C101" s="14"/>
    </row>
    <row r="102" spans="1:3" x14ac:dyDescent="0.35">
      <c r="A102" s="86"/>
      <c r="B102" s="11"/>
      <c r="C102" s="14"/>
    </row>
    <row r="103" spans="1:3" x14ac:dyDescent="0.35">
      <c r="A103" s="86"/>
      <c r="B103" s="11"/>
      <c r="C103" s="14"/>
    </row>
    <row r="104" spans="1:3" x14ac:dyDescent="0.35">
      <c r="A104" s="86"/>
      <c r="B104" s="11"/>
      <c r="C104" s="14"/>
    </row>
    <row r="105" spans="1:3" x14ac:dyDescent="0.35">
      <c r="A105" s="86"/>
      <c r="B105" s="11"/>
      <c r="C105" s="14"/>
    </row>
    <row r="106" spans="1:3" x14ac:dyDescent="0.35">
      <c r="A106" s="86"/>
      <c r="B106" s="11"/>
      <c r="C106" s="14"/>
    </row>
    <row r="107" spans="1:3" x14ac:dyDescent="0.35">
      <c r="A107" s="86"/>
      <c r="B107" s="11"/>
      <c r="C107" s="14"/>
    </row>
    <row r="108" spans="1:3" x14ac:dyDescent="0.35">
      <c r="A108" s="86"/>
      <c r="B108" s="11"/>
      <c r="C108" s="14"/>
    </row>
    <row r="109" spans="1:3" x14ac:dyDescent="0.35">
      <c r="A109" s="86"/>
      <c r="B109" s="11"/>
      <c r="C109" s="14"/>
    </row>
    <row r="110" spans="1:3" x14ac:dyDescent="0.35">
      <c r="A110" s="86"/>
      <c r="B110" s="11"/>
      <c r="C110" s="14"/>
    </row>
    <row r="111" spans="1:3" x14ac:dyDescent="0.35">
      <c r="A111" s="86"/>
      <c r="B111" s="11"/>
      <c r="C111" s="14"/>
    </row>
    <row r="112" spans="1:3" x14ac:dyDescent="0.35">
      <c r="A112" s="86"/>
      <c r="B112" s="11"/>
      <c r="C112" s="14"/>
    </row>
    <row r="113" spans="1:3" x14ac:dyDescent="0.35">
      <c r="A113" s="86"/>
      <c r="B113" s="11"/>
      <c r="C113" s="14"/>
    </row>
    <row r="114" spans="1:3" x14ac:dyDescent="0.35">
      <c r="A114" s="86"/>
      <c r="B114" s="11"/>
      <c r="C114" s="14"/>
    </row>
    <row r="115" spans="1:3" x14ac:dyDescent="0.35">
      <c r="A115" s="86"/>
      <c r="B115" s="11"/>
      <c r="C115" s="14"/>
    </row>
    <row r="116" spans="1:3" x14ac:dyDescent="0.35">
      <c r="A116" s="86"/>
      <c r="B116" s="11"/>
      <c r="C116" s="14"/>
    </row>
    <row r="117" spans="1:3" x14ac:dyDescent="0.35">
      <c r="A117" s="86"/>
      <c r="B117" s="11"/>
      <c r="C117" s="14"/>
    </row>
    <row r="118" spans="1:3" x14ac:dyDescent="0.35">
      <c r="A118" s="86"/>
      <c r="B118" s="11"/>
      <c r="C118" s="14"/>
    </row>
    <row r="119" spans="1:3" x14ac:dyDescent="0.35">
      <c r="A119" s="86"/>
      <c r="B119" s="11"/>
      <c r="C119" s="14"/>
    </row>
    <row r="120" spans="1:3" x14ac:dyDescent="0.35">
      <c r="A120" s="86"/>
      <c r="B120" s="11"/>
      <c r="C120" s="14"/>
    </row>
    <row r="121" spans="1:3" x14ac:dyDescent="0.35">
      <c r="A121" s="86"/>
      <c r="B121" s="11"/>
      <c r="C121" s="14"/>
    </row>
    <row r="122" spans="1:3" x14ac:dyDescent="0.35">
      <c r="A122" s="86"/>
      <c r="B122" s="11"/>
      <c r="C122" s="14"/>
    </row>
    <row r="123" spans="1:3" x14ac:dyDescent="0.35">
      <c r="A123" s="86"/>
      <c r="B123" s="11"/>
      <c r="C123" s="14"/>
    </row>
    <row r="124" spans="1:3" x14ac:dyDescent="0.35">
      <c r="A124" s="86"/>
      <c r="B124" s="11"/>
      <c r="C124" s="14"/>
    </row>
    <row r="125" spans="1:3" x14ac:dyDescent="0.35">
      <c r="A125" s="86"/>
      <c r="B125" s="11"/>
      <c r="C125" s="14"/>
    </row>
    <row r="126" spans="1:3" x14ac:dyDescent="0.35">
      <c r="A126" s="86"/>
      <c r="B126" s="11"/>
      <c r="C126" s="14"/>
    </row>
    <row r="127" spans="1:3" x14ac:dyDescent="0.35">
      <c r="A127" s="86"/>
      <c r="B127" s="11"/>
      <c r="C127" s="14"/>
    </row>
    <row r="128" spans="1:3" x14ac:dyDescent="0.35">
      <c r="A128" s="86"/>
      <c r="B128" s="11"/>
      <c r="C128" s="14"/>
    </row>
    <row r="129" spans="1:3" x14ac:dyDescent="0.35">
      <c r="A129" s="86"/>
      <c r="B129" s="11"/>
      <c r="C129" s="14"/>
    </row>
    <row r="130" spans="1:3" x14ac:dyDescent="0.35">
      <c r="A130" s="86"/>
      <c r="B130" s="11"/>
      <c r="C130" s="14"/>
    </row>
    <row r="131" spans="1:3" x14ac:dyDescent="0.35">
      <c r="A131" s="86"/>
      <c r="B131" s="11"/>
      <c r="C131" s="14"/>
    </row>
    <row r="132" spans="1:3" x14ac:dyDescent="0.35">
      <c r="A132" s="86"/>
      <c r="B132" s="11"/>
      <c r="C132" s="14"/>
    </row>
    <row r="133" spans="1:3" x14ac:dyDescent="0.35">
      <c r="A133" s="86"/>
      <c r="B133" s="11"/>
      <c r="C133" s="14"/>
    </row>
    <row r="134" spans="1:3" x14ac:dyDescent="0.35">
      <c r="A134" s="86"/>
      <c r="B134" s="11"/>
      <c r="C134" s="14"/>
    </row>
    <row r="135" spans="1:3" x14ac:dyDescent="0.35">
      <c r="A135" s="86"/>
      <c r="B135" s="11"/>
      <c r="C135" s="14"/>
    </row>
    <row r="136" spans="1:3" x14ac:dyDescent="0.35">
      <c r="A136" s="86"/>
      <c r="B136" s="11"/>
      <c r="C136" s="14"/>
    </row>
    <row r="137" spans="1:3" x14ac:dyDescent="0.35">
      <c r="A137" s="86"/>
      <c r="B137" s="11"/>
      <c r="C137" s="14"/>
    </row>
    <row r="138" spans="1:3" x14ac:dyDescent="0.35">
      <c r="A138" s="86"/>
      <c r="B138" s="11"/>
      <c r="C138" s="14"/>
    </row>
    <row r="139" spans="1:3" x14ac:dyDescent="0.35">
      <c r="A139" s="86"/>
      <c r="B139" s="11"/>
      <c r="C139" s="14"/>
    </row>
    <row r="140" spans="1:3" x14ac:dyDescent="0.35">
      <c r="A140" s="86"/>
      <c r="B140" s="11"/>
      <c r="C140" s="14"/>
    </row>
    <row r="141" spans="1:3" x14ac:dyDescent="0.35">
      <c r="A141" s="86"/>
      <c r="B141" s="11"/>
      <c r="C141" s="14"/>
    </row>
    <row r="142" spans="1:3" x14ac:dyDescent="0.35">
      <c r="A142" s="86"/>
      <c r="B142" s="11"/>
      <c r="C142" s="14"/>
    </row>
    <row r="143" spans="1:3" x14ac:dyDescent="0.35">
      <c r="A143" s="86"/>
      <c r="B143" s="11"/>
      <c r="C143" s="14"/>
    </row>
    <row r="144" spans="1:3" x14ac:dyDescent="0.35">
      <c r="A144" s="86"/>
      <c r="B144" s="11"/>
      <c r="C144" s="14"/>
    </row>
    <row r="145" spans="1:3" x14ac:dyDescent="0.35">
      <c r="A145" s="86"/>
      <c r="B145" s="11"/>
      <c r="C145" s="14"/>
    </row>
    <row r="146" spans="1:3" x14ac:dyDescent="0.35">
      <c r="A146" s="86"/>
      <c r="B146" s="11"/>
      <c r="C146" s="14"/>
    </row>
    <row r="147" spans="1:3" x14ac:dyDescent="0.35">
      <c r="A147" s="86"/>
      <c r="B147" s="11"/>
      <c r="C147" s="14"/>
    </row>
    <row r="148" spans="1:3" x14ac:dyDescent="0.35">
      <c r="A148" s="86"/>
      <c r="B148" s="11"/>
      <c r="C148" s="14"/>
    </row>
    <row r="149" spans="1:3" x14ac:dyDescent="0.35">
      <c r="A149" s="86"/>
      <c r="B149" s="11"/>
      <c r="C149" s="14"/>
    </row>
    <row r="150" spans="1:3" x14ac:dyDescent="0.35">
      <c r="A150" s="86"/>
      <c r="B150" s="11"/>
      <c r="C150" s="14"/>
    </row>
    <row r="151" spans="1:3" x14ac:dyDescent="0.35">
      <c r="A151" s="86"/>
      <c r="B151" s="11"/>
      <c r="C151" s="14"/>
    </row>
    <row r="152" spans="1:3" x14ac:dyDescent="0.35">
      <c r="A152" s="86"/>
      <c r="B152" s="11"/>
      <c r="C152" s="14"/>
    </row>
    <row r="153" spans="1:3" x14ac:dyDescent="0.35">
      <c r="A153" s="86"/>
      <c r="B153" s="11"/>
      <c r="C153" s="14"/>
    </row>
    <row r="154" spans="1:3" x14ac:dyDescent="0.35">
      <c r="A154" s="86"/>
      <c r="B154" s="11"/>
      <c r="C154" s="14"/>
    </row>
    <row r="155" spans="1:3" x14ac:dyDescent="0.35">
      <c r="A155" s="86"/>
      <c r="B155" s="11"/>
      <c r="C155" s="14"/>
    </row>
    <row r="156" spans="1:3" x14ac:dyDescent="0.35">
      <c r="A156" s="86"/>
      <c r="B156" s="11"/>
      <c r="C156" s="14"/>
    </row>
    <row r="157" spans="1:3" x14ac:dyDescent="0.35">
      <c r="A157" s="86"/>
      <c r="B157" s="11"/>
      <c r="C157" s="14"/>
    </row>
    <row r="158" spans="1:3" x14ac:dyDescent="0.35">
      <c r="A158" s="86"/>
      <c r="B158" s="11"/>
      <c r="C158" s="14"/>
    </row>
    <row r="159" spans="1:3" x14ac:dyDescent="0.35">
      <c r="A159" s="86"/>
      <c r="B159" s="11"/>
      <c r="C159" s="14"/>
    </row>
    <row r="160" spans="1:3" x14ac:dyDescent="0.35">
      <c r="A160" s="86"/>
      <c r="B160" s="11"/>
      <c r="C160" s="14"/>
    </row>
    <row r="161" spans="1:3" x14ac:dyDescent="0.35">
      <c r="A161" s="86"/>
      <c r="B161" s="11"/>
      <c r="C161" s="14"/>
    </row>
    <row r="162" spans="1:3" x14ac:dyDescent="0.35">
      <c r="A162" s="86"/>
      <c r="B162" s="11"/>
      <c r="C162" s="14"/>
    </row>
    <row r="163" spans="1:3" x14ac:dyDescent="0.35">
      <c r="A163" s="86"/>
      <c r="B163" s="11"/>
      <c r="C163" s="14"/>
    </row>
    <row r="164" spans="1:3" x14ac:dyDescent="0.35">
      <c r="A164" s="86"/>
      <c r="B164" s="11"/>
      <c r="C164" s="14"/>
    </row>
    <row r="165" spans="1:3" x14ac:dyDescent="0.35">
      <c r="A165" s="86"/>
      <c r="B165" s="11"/>
      <c r="C165" s="14"/>
    </row>
    <row r="166" spans="1:3" x14ac:dyDescent="0.35">
      <c r="A166" s="86"/>
      <c r="B166" s="11"/>
      <c r="C166" s="14"/>
    </row>
    <row r="167" spans="1:3" x14ac:dyDescent="0.35">
      <c r="A167" s="86"/>
      <c r="B167" s="11"/>
      <c r="C167" s="14"/>
    </row>
    <row r="168" spans="1:3" x14ac:dyDescent="0.35">
      <c r="A168" s="86"/>
      <c r="B168" s="11"/>
      <c r="C168" s="14"/>
    </row>
    <row r="169" spans="1:3" x14ac:dyDescent="0.35">
      <c r="A169" s="86"/>
      <c r="B169" s="11"/>
      <c r="C169" s="14"/>
    </row>
    <row r="170" spans="1:3" x14ac:dyDescent="0.35">
      <c r="A170" s="86"/>
      <c r="B170" s="11"/>
      <c r="C170" s="14"/>
    </row>
    <row r="171" spans="1:3" x14ac:dyDescent="0.35">
      <c r="A171" s="86"/>
      <c r="B171" s="11"/>
      <c r="C171" s="14"/>
    </row>
    <row r="172" spans="1:3" x14ac:dyDescent="0.35">
      <c r="A172" s="86"/>
      <c r="B172" s="11"/>
      <c r="C172" s="14"/>
    </row>
    <row r="173" spans="1:3" x14ac:dyDescent="0.35">
      <c r="A173" s="86"/>
      <c r="B173" s="11"/>
      <c r="C173" s="14"/>
    </row>
    <row r="174" spans="1:3" x14ac:dyDescent="0.35">
      <c r="A174" s="86"/>
      <c r="B174" s="11"/>
      <c r="C174" s="14"/>
    </row>
    <row r="175" spans="1:3" x14ac:dyDescent="0.35">
      <c r="A175" s="86"/>
      <c r="B175" s="11"/>
      <c r="C175" s="14"/>
    </row>
    <row r="176" spans="1:3" x14ac:dyDescent="0.35">
      <c r="A176" s="86"/>
      <c r="B176" s="11"/>
      <c r="C176" s="14"/>
    </row>
    <row r="177" spans="1:3" x14ac:dyDescent="0.35">
      <c r="A177" s="86"/>
      <c r="B177" s="11"/>
      <c r="C177" s="14"/>
    </row>
    <row r="178" spans="1:3" x14ac:dyDescent="0.35">
      <c r="A178" s="86"/>
      <c r="B178" s="11"/>
      <c r="C178" s="14"/>
    </row>
    <row r="179" spans="1:3" x14ac:dyDescent="0.35">
      <c r="A179" s="86"/>
      <c r="B179" s="11"/>
      <c r="C179" s="14"/>
    </row>
    <row r="180" spans="1:3" x14ac:dyDescent="0.35">
      <c r="A180" s="86"/>
      <c r="B180" s="11"/>
      <c r="C180" s="14"/>
    </row>
    <row r="181" spans="1:3" x14ac:dyDescent="0.35">
      <c r="A181" s="86"/>
      <c r="B181" s="11"/>
      <c r="C181" s="14"/>
    </row>
    <row r="182" spans="1:3" x14ac:dyDescent="0.35">
      <c r="A182" s="86"/>
      <c r="B182" s="11"/>
      <c r="C182" s="14"/>
    </row>
    <row r="183" spans="1:3" x14ac:dyDescent="0.35">
      <c r="A183" s="86"/>
      <c r="B183" s="11"/>
      <c r="C183" s="14"/>
    </row>
    <row r="184" spans="1:3" x14ac:dyDescent="0.35">
      <c r="A184" s="86"/>
      <c r="B184" s="11"/>
      <c r="C184" s="14"/>
    </row>
    <row r="185" spans="1:3" x14ac:dyDescent="0.35">
      <c r="A185" s="86"/>
      <c r="B185" s="11"/>
      <c r="C185" s="14"/>
    </row>
    <row r="186" spans="1:3" x14ac:dyDescent="0.35">
      <c r="A186" s="86"/>
      <c r="B186" s="11"/>
      <c r="C186" s="14"/>
    </row>
    <row r="187" spans="1:3" x14ac:dyDescent="0.35">
      <c r="A187" s="86"/>
      <c r="B187" s="11"/>
      <c r="C187" s="14"/>
    </row>
    <row r="188" spans="1:3" x14ac:dyDescent="0.35">
      <c r="A188" s="86"/>
      <c r="B188" s="11"/>
      <c r="C188" s="14"/>
    </row>
    <row r="189" spans="1:3" x14ac:dyDescent="0.35">
      <c r="A189" s="86"/>
      <c r="B189" s="11"/>
      <c r="C189" s="14"/>
    </row>
    <row r="190" spans="1:3" x14ac:dyDescent="0.35">
      <c r="A190" s="86"/>
      <c r="B190" s="11"/>
      <c r="C190" s="14"/>
    </row>
    <row r="191" spans="1:3" x14ac:dyDescent="0.35">
      <c r="A191" s="86"/>
      <c r="B191" s="11"/>
      <c r="C191" s="14"/>
    </row>
    <row r="192" spans="1:3" x14ac:dyDescent="0.35">
      <c r="A192" s="86"/>
      <c r="B192" s="11"/>
      <c r="C192" s="14"/>
    </row>
    <row r="193" spans="1:3" x14ac:dyDescent="0.35">
      <c r="A193" s="86"/>
      <c r="B193" s="11"/>
      <c r="C193" s="14"/>
    </row>
    <row r="194" spans="1:3" x14ac:dyDescent="0.35">
      <c r="A194" s="86"/>
      <c r="B194" s="11"/>
      <c r="C194" s="14"/>
    </row>
    <row r="195" spans="1:3" x14ac:dyDescent="0.35">
      <c r="A195" s="86"/>
      <c r="B195" s="11"/>
      <c r="C195" s="14"/>
    </row>
    <row r="196" spans="1:3" x14ac:dyDescent="0.35">
      <c r="A196" s="86"/>
      <c r="B196" s="11"/>
      <c r="C196" s="14"/>
    </row>
    <row r="197" spans="1:3" x14ac:dyDescent="0.35">
      <c r="A197" s="86"/>
      <c r="B197" s="11"/>
      <c r="C197" s="14"/>
    </row>
    <row r="198" spans="1:3" x14ac:dyDescent="0.35">
      <c r="A198" s="86"/>
      <c r="B198" s="11"/>
      <c r="C198" s="14"/>
    </row>
    <row r="199" spans="1:3" x14ac:dyDescent="0.35">
      <c r="A199" s="86"/>
      <c r="B199" s="11"/>
      <c r="C199" s="14"/>
    </row>
    <row r="200" spans="1:3" x14ac:dyDescent="0.35">
      <c r="A200" s="86"/>
      <c r="B200" s="11"/>
      <c r="C200" s="14"/>
    </row>
    <row r="201" spans="1:3" x14ac:dyDescent="0.35">
      <c r="A201" s="86"/>
      <c r="B201" s="11"/>
      <c r="C201" s="14"/>
    </row>
    <row r="202" spans="1:3" x14ac:dyDescent="0.35">
      <c r="A202" s="86"/>
      <c r="B202" s="11"/>
      <c r="C202" s="14"/>
    </row>
    <row r="203" spans="1:3" x14ac:dyDescent="0.35">
      <c r="A203" s="86"/>
      <c r="B203" s="11"/>
      <c r="C203" s="14"/>
    </row>
    <row r="204" spans="1:3" x14ac:dyDescent="0.35">
      <c r="A204" s="86"/>
      <c r="B204" s="11"/>
      <c r="C204" s="14"/>
    </row>
    <row r="205" spans="1:3" x14ac:dyDescent="0.35">
      <c r="A205" s="86"/>
      <c r="B205" s="11"/>
      <c r="C205" s="14"/>
    </row>
    <row r="206" spans="1:3" x14ac:dyDescent="0.35">
      <c r="A206" s="86"/>
      <c r="B206" s="11"/>
      <c r="C206" s="14"/>
    </row>
    <row r="207" spans="1:3" x14ac:dyDescent="0.35">
      <c r="A207" s="86"/>
      <c r="B207" s="11"/>
      <c r="C207" s="14"/>
    </row>
    <row r="208" spans="1:3" x14ac:dyDescent="0.35">
      <c r="A208" s="86"/>
      <c r="B208" s="11"/>
      <c r="C208" s="14"/>
    </row>
    <row r="209" spans="1:3" x14ac:dyDescent="0.35">
      <c r="A209" s="86"/>
      <c r="B209" s="11"/>
      <c r="C209" s="14"/>
    </row>
    <row r="210" spans="1:3" x14ac:dyDescent="0.35">
      <c r="A210" s="86"/>
      <c r="B210" s="11"/>
      <c r="C210" s="14"/>
    </row>
    <row r="211" spans="1:3" x14ac:dyDescent="0.35">
      <c r="A211" s="86"/>
      <c r="B211" s="11"/>
      <c r="C211" s="14"/>
    </row>
    <row r="212" spans="1:3" x14ac:dyDescent="0.35">
      <c r="A212" s="86"/>
      <c r="B212" s="11"/>
      <c r="C212" s="14"/>
    </row>
    <row r="213" spans="1:3" x14ac:dyDescent="0.35">
      <c r="A213" s="86"/>
      <c r="B213" s="11"/>
      <c r="C213" s="14"/>
    </row>
    <row r="214" spans="1:3" x14ac:dyDescent="0.35">
      <c r="A214" s="86"/>
      <c r="B214" s="11"/>
      <c r="C214" s="14"/>
    </row>
    <row r="215" spans="1:3" x14ac:dyDescent="0.35">
      <c r="A215" s="86"/>
      <c r="B215" s="11"/>
      <c r="C215" s="14"/>
    </row>
    <row r="216" spans="1:3" x14ac:dyDescent="0.35">
      <c r="A216" s="86"/>
      <c r="B216" s="11"/>
      <c r="C216" s="14"/>
    </row>
    <row r="217" spans="1:3" x14ac:dyDescent="0.35">
      <c r="A217" s="86"/>
      <c r="B217" s="11"/>
      <c r="C217" s="14"/>
    </row>
    <row r="218" spans="1:3" x14ac:dyDescent="0.35">
      <c r="A218" s="86"/>
      <c r="B218" s="11"/>
      <c r="C218" s="14"/>
    </row>
    <row r="219" spans="1:3" x14ac:dyDescent="0.35">
      <c r="A219" s="86"/>
      <c r="B219" s="11"/>
      <c r="C219" s="14"/>
    </row>
    <row r="220" spans="1:3" x14ac:dyDescent="0.35">
      <c r="A220" s="86"/>
      <c r="B220" s="11"/>
      <c r="C220" s="14"/>
    </row>
    <row r="221" spans="1:3" x14ac:dyDescent="0.35">
      <c r="A221" s="86"/>
      <c r="B221" s="11"/>
      <c r="C221" s="14"/>
    </row>
    <row r="222" spans="1:3" x14ac:dyDescent="0.35">
      <c r="A222" s="86"/>
      <c r="B222" s="11"/>
      <c r="C222" s="14"/>
    </row>
    <row r="223" spans="1:3" x14ac:dyDescent="0.35">
      <c r="A223" s="86"/>
      <c r="B223" s="11"/>
      <c r="C223" s="14"/>
    </row>
    <row r="224" spans="1:3" x14ac:dyDescent="0.35">
      <c r="A224" s="86"/>
      <c r="B224" s="11"/>
      <c r="C224" s="14"/>
    </row>
    <row r="225" spans="1:3" x14ac:dyDescent="0.35">
      <c r="A225" s="86"/>
      <c r="B225" s="11"/>
      <c r="C225" s="14"/>
    </row>
    <row r="226" spans="1:3" x14ac:dyDescent="0.35">
      <c r="A226" s="86"/>
      <c r="B226" s="11"/>
      <c r="C226" s="14"/>
    </row>
    <row r="227" spans="1:3" x14ac:dyDescent="0.35">
      <c r="A227" s="86"/>
      <c r="B227" s="11"/>
      <c r="C227" s="14"/>
    </row>
    <row r="228" spans="1:3" x14ac:dyDescent="0.35">
      <c r="A228" s="10">
        <v>42005</v>
      </c>
      <c r="B228" s="11">
        <v>56.7</v>
      </c>
      <c r="C228" s="13" t="str">
        <f>IFERROR(B228-#REF!,"")</f>
        <v/>
      </c>
    </row>
    <row r="229" spans="1:3" x14ac:dyDescent="0.35">
      <c r="A229" s="10">
        <v>42036</v>
      </c>
      <c r="B229" s="11">
        <v>56.7</v>
      </c>
      <c r="C229" s="13">
        <f t="shared" ref="C229:C257" si="2">IFERROR(B229-B228,"")</f>
        <v>0</v>
      </c>
    </row>
    <row r="230" spans="1:3" x14ac:dyDescent="0.35">
      <c r="A230" s="10">
        <v>42064</v>
      </c>
      <c r="B230" s="11">
        <v>56.7</v>
      </c>
      <c r="C230" s="13">
        <f t="shared" si="2"/>
        <v>0</v>
      </c>
    </row>
    <row r="231" spans="1:3" x14ac:dyDescent="0.35">
      <c r="A231" s="10">
        <v>42095</v>
      </c>
      <c r="B231" s="11">
        <v>57.5</v>
      </c>
      <c r="C231" s="13">
        <f t="shared" si="2"/>
        <v>0.79999999999999716</v>
      </c>
    </row>
    <row r="232" spans="1:3" x14ac:dyDescent="0.35">
      <c r="A232" s="10">
        <v>42125</v>
      </c>
      <c r="B232" s="11">
        <v>55.9</v>
      </c>
      <c r="C232" s="13">
        <f t="shared" si="2"/>
        <v>-1.6000000000000014</v>
      </c>
    </row>
    <row r="233" spans="1:3" x14ac:dyDescent="0.35">
      <c r="A233" s="10">
        <v>42156</v>
      </c>
      <c r="B233" s="11">
        <v>56.2</v>
      </c>
      <c r="C233" s="13">
        <f t="shared" si="2"/>
        <v>0.30000000000000426</v>
      </c>
    </row>
    <row r="234" spans="1:3" x14ac:dyDescent="0.35">
      <c r="A234" s="10">
        <v>42186</v>
      </c>
      <c r="B234" s="11">
        <v>59.6</v>
      </c>
      <c r="C234" s="13">
        <f t="shared" si="2"/>
        <v>3.3999999999999986</v>
      </c>
    </row>
    <row r="235" spans="1:3" x14ac:dyDescent="0.35">
      <c r="A235" s="10">
        <v>42217</v>
      </c>
      <c r="B235" s="11">
        <v>59.6</v>
      </c>
      <c r="C235" s="13">
        <f t="shared" si="2"/>
        <v>0</v>
      </c>
    </row>
    <row r="236" spans="1:3" x14ac:dyDescent="0.35">
      <c r="A236" s="10">
        <v>42248</v>
      </c>
      <c r="B236" s="11">
        <v>56.7</v>
      </c>
      <c r="C236" s="13">
        <f t="shared" si="2"/>
        <v>-2.8999999999999986</v>
      </c>
    </row>
    <row r="237" spans="1:3" x14ac:dyDescent="0.35">
      <c r="A237" s="10">
        <v>42278</v>
      </c>
      <c r="B237" s="11">
        <v>58.3</v>
      </c>
      <c r="C237" s="13">
        <f t="shared" si="2"/>
        <v>1.5999999999999943</v>
      </c>
    </row>
    <row r="238" spans="1:3" x14ac:dyDescent="0.35">
      <c r="A238" s="10">
        <v>42309</v>
      </c>
      <c r="B238" s="11">
        <v>58.3</v>
      </c>
      <c r="C238" s="13">
        <f t="shared" si="2"/>
        <v>0</v>
      </c>
    </row>
    <row r="239" spans="1:3" x14ac:dyDescent="0.35">
      <c r="A239" s="10">
        <v>42339</v>
      </c>
      <c r="B239" s="11">
        <v>55.8</v>
      </c>
      <c r="C239" s="13">
        <f t="shared" si="2"/>
        <v>-2.5</v>
      </c>
    </row>
    <row r="240" spans="1:3" x14ac:dyDescent="0.35">
      <c r="A240" s="10">
        <v>42370</v>
      </c>
      <c r="B240" s="11">
        <v>53.5</v>
      </c>
      <c r="C240" s="13">
        <f t="shared" si="2"/>
        <v>-2.2999999999999972</v>
      </c>
    </row>
    <row r="241" spans="1:3" x14ac:dyDescent="0.35">
      <c r="A241" s="10">
        <v>42401</v>
      </c>
      <c r="B241" s="11">
        <v>53.4</v>
      </c>
      <c r="C241" s="13">
        <f t="shared" si="2"/>
        <v>-0.10000000000000142</v>
      </c>
    </row>
    <row r="242" spans="1:3" x14ac:dyDescent="0.35">
      <c r="A242" s="10">
        <v>42430</v>
      </c>
      <c r="B242" s="11">
        <v>54.5</v>
      </c>
      <c r="C242" s="13">
        <f t="shared" si="2"/>
        <v>1.1000000000000014</v>
      </c>
    </row>
    <row r="243" spans="1:3" x14ac:dyDescent="0.35">
      <c r="A243" s="10">
        <v>42461</v>
      </c>
      <c r="B243" s="11">
        <v>55.7</v>
      </c>
      <c r="C243" s="13">
        <f t="shared" si="2"/>
        <v>1.2000000000000028</v>
      </c>
    </row>
    <row r="244" spans="1:3" x14ac:dyDescent="0.35">
      <c r="A244" s="10">
        <v>42491</v>
      </c>
      <c r="B244" s="11">
        <v>55.7</v>
      </c>
      <c r="C244" s="13">
        <f t="shared" si="2"/>
        <v>0</v>
      </c>
    </row>
    <row r="245" spans="1:3" x14ac:dyDescent="0.35">
      <c r="A245" s="10">
        <v>42522</v>
      </c>
      <c r="B245" s="11">
        <v>52</v>
      </c>
      <c r="C245" s="13">
        <f t="shared" si="2"/>
        <v>-3.7000000000000028</v>
      </c>
    </row>
    <row r="246" spans="1:3" x14ac:dyDescent="0.35">
      <c r="A246" s="10">
        <v>42552</v>
      </c>
      <c r="B246" s="11">
        <v>51.8</v>
      </c>
      <c r="C246" s="13">
        <f t="shared" si="2"/>
        <v>-0.20000000000000284</v>
      </c>
    </row>
    <row r="247" spans="1:3" x14ac:dyDescent="0.35">
      <c r="A247" s="10">
        <v>42583</v>
      </c>
      <c r="B247" s="11">
        <v>51.7</v>
      </c>
      <c r="C247" s="13">
        <f t="shared" si="2"/>
        <v>-9.9999999999994316E-2</v>
      </c>
    </row>
    <row r="248" spans="1:3" x14ac:dyDescent="0.35">
      <c r="A248" s="10">
        <v>42614</v>
      </c>
      <c r="B248" s="11">
        <v>56.6</v>
      </c>
      <c r="C248" s="13">
        <f t="shared" si="2"/>
        <v>4.8999999999999986</v>
      </c>
    </row>
    <row r="249" spans="1:3" x14ac:dyDescent="0.35">
      <c r="A249" s="10">
        <v>42644</v>
      </c>
      <c r="B249" s="11">
        <v>56.6</v>
      </c>
      <c r="C249" s="13">
        <f t="shared" si="2"/>
        <v>0</v>
      </c>
    </row>
    <row r="250" spans="1:3" x14ac:dyDescent="0.35">
      <c r="A250" s="10">
        <v>42675</v>
      </c>
      <c r="B250" s="11">
        <v>56.2</v>
      </c>
      <c r="C250" s="13">
        <f t="shared" si="2"/>
        <v>-0.39999999999999858</v>
      </c>
    </row>
    <row r="251" spans="1:3" x14ac:dyDescent="0.35">
      <c r="A251" s="10">
        <v>42705</v>
      </c>
      <c r="B251" s="11">
        <v>56.6</v>
      </c>
      <c r="C251" s="13">
        <f t="shared" si="2"/>
        <v>0.39999999999999858</v>
      </c>
    </row>
    <row r="252" spans="1:3" x14ac:dyDescent="0.35">
      <c r="A252" s="10">
        <v>42736</v>
      </c>
      <c r="B252" s="11">
        <v>56.6</v>
      </c>
      <c r="C252" s="13">
        <f t="shared" si="2"/>
        <v>0</v>
      </c>
    </row>
    <row r="253" spans="1:3" x14ac:dyDescent="0.35">
      <c r="A253" s="10">
        <v>42767</v>
      </c>
      <c r="B253" s="11">
        <v>57.6</v>
      </c>
      <c r="C253" s="13">
        <f t="shared" si="2"/>
        <v>1</v>
      </c>
    </row>
    <row r="254" spans="1:3" x14ac:dyDescent="0.35">
      <c r="A254" s="10">
        <v>42795</v>
      </c>
      <c r="B254" s="11">
        <v>55.2</v>
      </c>
      <c r="C254" s="13">
        <f t="shared" si="2"/>
        <v>-2.3999999999999986</v>
      </c>
    </row>
    <row r="255" spans="1:3" x14ac:dyDescent="0.35">
      <c r="A255" s="10">
        <v>42826</v>
      </c>
      <c r="B255" s="11">
        <v>55.2</v>
      </c>
      <c r="C255" s="13">
        <f t="shared" si="2"/>
        <v>0</v>
      </c>
    </row>
    <row r="256" spans="1:3" x14ac:dyDescent="0.35">
      <c r="A256" s="10">
        <v>42856</v>
      </c>
      <c r="B256" s="11">
        <v>56.9</v>
      </c>
      <c r="C256" s="13">
        <f t="shared" si="2"/>
        <v>1.6999999999999957</v>
      </c>
    </row>
    <row r="257" spans="1:3" x14ac:dyDescent="0.35">
      <c r="A257" s="10">
        <v>42887</v>
      </c>
      <c r="B257" s="11">
        <v>57.4</v>
      </c>
      <c r="C257" s="13">
        <f t="shared" si="2"/>
        <v>0.5</v>
      </c>
    </row>
    <row r="258" spans="1:3" x14ac:dyDescent="0.35">
      <c r="A258" s="10">
        <v>42917</v>
      </c>
      <c r="B258" s="11">
        <v>57.4</v>
      </c>
      <c r="C258" s="13">
        <f t="shared" ref="C258:C289" si="3">IFERROR(B258-B257,"")</f>
        <v>0</v>
      </c>
    </row>
    <row r="259" spans="1:3" x14ac:dyDescent="0.35">
      <c r="A259" s="10">
        <v>42948</v>
      </c>
      <c r="B259" s="11">
        <v>57.4</v>
      </c>
      <c r="C259" s="13">
        <f t="shared" si="3"/>
        <v>0</v>
      </c>
    </row>
    <row r="260" spans="1:3" x14ac:dyDescent="0.35">
      <c r="A260" s="10">
        <v>42979</v>
      </c>
      <c r="B260" s="11">
        <v>55.3</v>
      </c>
      <c r="C260" s="13">
        <f t="shared" si="3"/>
        <v>-2.1000000000000014</v>
      </c>
    </row>
    <row r="261" spans="1:3" x14ac:dyDescent="0.35">
      <c r="A261" s="10">
        <v>43009</v>
      </c>
      <c r="B261" s="11">
        <v>55.3</v>
      </c>
      <c r="C261" s="13">
        <f t="shared" si="3"/>
        <v>0</v>
      </c>
    </row>
    <row r="262" spans="1:3" x14ac:dyDescent="0.35">
      <c r="A262" s="10">
        <v>43040</v>
      </c>
      <c r="B262" s="11">
        <v>57.4</v>
      </c>
      <c r="C262" s="13">
        <f t="shared" si="3"/>
        <v>2.1000000000000014</v>
      </c>
    </row>
    <row r="263" spans="1:3" x14ac:dyDescent="0.35">
      <c r="A263" s="10">
        <v>43070</v>
      </c>
      <c r="B263" s="11">
        <v>55.9</v>
      </c>
      <c r="C263" s="13">
        <f t="shared" si="3"/>
        <v>-1.5</v>
      </c>
    </row>
    <row r="264" spans="1:3" x14ac:dyDescent="0.35">
      <c r="A264" s="10">
        <v>43101</v>
      </c>
      <c r="B264" s="11">
        <v>59.9</v>
      </c>
      <c r="C264" s="13">
        <f t="shared" si="3"/>
        <v>4</v>
      </c>
    </row>
    <row r="265" spans="1:3" x14ac:dyDescent="0.35">
      <c r="A265" s="10">
        <v>43132</v>
      </c>
      <c r="B265" s="11">
        <v>59.5</v>
      </c>
      <c r="C265" s="13">
        <f t="shared" si="3"/>
        <v>-0.39999999999999858</v>
      </c>
    </row>
    <row r="266" spans="1:3" x14ac:dyDescent="0.35">
      <c r="A266" s="10">
        <v>43160</v>
      </c>
      <c r="B266" s="11">
        <v>58.8</v>
      </c>
      <c r="C266" s="13">
        <f t="shared" si="3"/>
        <v>-0.70000000000000284</v>
      </c>
    </row>
    <row r="267" spans="1:3" x14ac:dyDescent="0.35">
      <c r="A267" s="10">
        <v>43191</v>
      </c>
      <c r="B267" s="11">
        <v>58.8</v>
      </c>
      <c r="C267" s="13">
        <f t="shared" si="3"/>
        <v>0</v>
      </c>
    </row>
    <row r="268" spans="1:3" x14ac:dyDescent="0.35">
      <c r="A268" s="10">
        <v>43221</v>
      </c>
      <c r="B268" s="11">
        <v>58.6</v>
      </c>
      <c r="C268" s="13">
        <f t="shared" si="3"/>
        <v>-0.19999999999999574</v>
      </c>
    </row>
    <row r="269" spans="1:3" x14ac:dyDescent="0.35">
      <c r="A269" s="10">
        <v>43252</v>
      </c>
      <c r="B269" s="11">
        <v>59.1</v>
      </c>
      <c r="C269" s="13">
        <f t="shared" si="3"/>
        <v>0.5</v>
      </c>
    </row>
    <row r="270" spans="1:3" x14ac:dyDescent="0.35">
      <c r="A270" s="10">
        <v>43282</v>
      </c>
      <c r="B270" s="11">
        <v>59.1</v>
      </c>
      <c r="C270" s="13">
        <f t="shared" si="3"/>
        <v>0</v>
      </c>
    </row>
    <row r="271" spans="1:3" x14ac:dyDescent="0.35">
      <c r="A271" s="10">
        <v>43313</v>
      </c>
      <c r="B271" s="11">
        <v>58.5</v>
      </c>
      <c r="C271" s="13">
        <f t="shared" si="3"/>
        <v>-0.60000000000000142</v>
      </c>
    </row>
    <row r="272" spans="1:3" x14ac:dyDescent="0.35">
      <c r="A272" s="10">
        <v>43344</v>
      </c>
      <c r="B272" s="11">
        <v>58.5</v>
      </c>
      <c r="C272" s="13">
        <f t="shared" si="3"/>
        <v>0</v>
      </c>
    </row>
    <row r="273" spans="1:3" x14ac:dyDescent="0.35">
      <c r="A273" s="10">
        <v>43374</v>
      </c>
      <c r="B273" s="11">
        <v>60.3</v>
      </c>
      <c r="C273" s="13">
        <f t="shared" si="3"/>
        <v>1.7999999999999972</v>
      </c>
    </row>
    <row r="274" spans="1:3" x14ac:dyDescent="0.35">
      <c r="A274" s="10">
        <v>43405</v>
      </c>
      <c r="B274" s="11">
        <v>60.7</v>
      </c>
      <c r="C274" s="13">
        <f t="shared" si="3"/>
        <v>0.40000000000000568</v>
      </c>
    </row>
    <row r="275" spans="1:3" x14ac:dyDescent="0.35">
      <c r="A275" s="10">
        <v>43435</v>
      </c>
      <c r="B275" s="11">
        <v>60.7</v>
      </c>
      <c r="C275" s="13">
        <f t="shared" si="3"/>
        <v>0</v>
      </c>
    </row>
    <row r="276" spans="1:3" x14ac:dyDescent="0.35">
      <c r="A276" s="10">
        <v>43466</v>
      </c>
      <c r="B276" s="11">
        <v>56.7</v>
      </c>
      <c r="C276" s="13">
        <f t="shared" si="3"/>
        <v>-4</v>
      </c>
    </row>
    <row r="277" spans="1:3" x14ac:dyDescent="0.35">
      <c r="A277" s="10">
        <v>43497</v>
      </c>
      <c r="B277" s="11">
        <v>59.7</v>
      </c>
      <c r="C277" s="13">
        <f t="shared" si="3"/>
        <v>3</v>
      </c>
    </row>
    <row r="278" spans="1:3" x14ac:dyDescent="0.35">
      <c r="A278" s="10">
        <v>43525</v>
      </c>
      <c r="B278" s="11">
        <v>56.1</v>
      </c>
      <c r="C278" s="13">
        <f t="shared" si="3"/>
        <v>-3.6000000000000014</v>
      </c>
    </row>
    <row r="279" spans="1:3" x14ac:dyDescent="0.35">
      <c r="A279" s="10">
        <v>43556</v>
      </c>
      <c r="B279" s="11">
        <v>55.5</v>
      </c>
      <c r="C279" s="13">
        <f t="shared" si="3"/>
        <v>-0.60000000000000142</v>
      </c>
    </row>
    <row r="280" spans="1:3" x14ac:dyDescent="0.35">
      <c r="A280" s="10">
        <v>43586</v>
      </c>
      <c r="B280" s="11">
        <v>56.9</v>
      </c>
      <c r="C280" s="13">
        <f t="shared" si="3"/>
        <v>1.3999999999999986</v>
      </c>
    </row>
    <row r="281" spans="1:3" x14ac:dyDescent="0.35">
      <c r="A281" s="10">
        <v>43617</v>
      </c>
      <c r="B281" s="11">
        <v>56.9</v>
      </c>
      <c r="C281" s="13">
        <f t="shared" si="3"/>
        <v>0</v>
      </c>
    </row>
    <row r="282" spans="1:3" x14ac:dyDescent="0.35">
      <c r="A282" s="10">
        <v>43647</v>
      </c>
      <c r="B282" s="11">
        <v>53.7</v>
      </c>
      <c r="C282" s="13">
        <f t="shared" si="3"/>
        <v>-3.1999999999999957</v>
      </c>
    </row>
    <row r="283" spans="1:3" x14ac:dyDescent="0.35">
      <c r="A283" s="10">
        <v>43678</v>
      </c>
      <c r="B283" s="11">
        <v>56.4</v>
      </c>
      <c r="C283" s="13">
        <f t="shared" si="3"/>
        <v>2.6999999999999957</v>
      </c>
    </row>
    <row r="284" spans="1:3" x14ac:dyDescent="0.35">
      <c r="A284" s="10">
        <v>43709</v>
      </c>
      <c r="B284" s="11">
        <v>56.4</v>
      </c>
      <c r="C284" s="13">
        <f t="shared" si="3"/>
        <v>0</v>
      </c>
    </row>
    <row r="285" spans="1:3" x14ac:dyDescent="0.35">
      <c r="A285" s="10">
        <v>43739</v>
      </c>
      <c r="B285" s="11">
        <v>54.7</v>
      </c>
      <c r="C285" s="13">
        <f t="shared" si="3"/>
        <v>-1.6999999999999957</v>
      </c>
    </row>
    <row r="286" spans="1:3" x14ac:dyDescent="0.35">
      <c r="A286" s="10">
        <v>43770</v>
      </c>
      <c r="B286" s="11">
        <v>53.9</v>
      </c>
      <c r="C286" s="13">
        <f t="shared" si="3"/>
        <v>-0.80000000000000426</v>
      </c>
    </row>
    <row r="287" spans="1:3" x14ac:dyDescent="0.35">
      <c r="A287" s="10">
        <v>43800</v>
      </c>
      <c r="B287" s="11">
        <v>53.9</v>
      </c>
      <c r="C287" s="13">
        <f t="shared" si="3"/>
        <v>0</v>
      </c>
    </row>
    <row r="288" spans="1:3" x14ac:dyDescent="0.35">
      <c r="A288" s="10">
        <v>43831</v>
      </c>
      <c r="B288" s="11">
        <v>55.5</v>
      </c>
      <c r="C288" s="13">
        <f t="shared" si="3"/>
        <v>1.6000000000000014</v>
      </c>
    </row>
    <row r="289" spans="1:3" x14ac:dyDescent="0.35">
      <c r="A289" s="10">
        <v>43862</v>
      </c>
      <c r="B289" s="11">
        <v>55.5</v>
      </c>
      <c r="C289" s="13">
        <f t="shared" si="3"/>
        <v>0</v>
      </c>
    </row>
    <row r="290" spans="1:3" x14ac:dyDescent="0.35">
      <c r="A290" s="10">
        <v>43891</v>
      </c>
      <c r="B290" s="11">
        <v>55.5</v>
      </c>
      <c r="C290" s="13">
        <f t="shared" ref="C290:C321" si="4">IFERROR(B290-B289,"")</f>
        <v>0</v>
      </c>
    </row>
    <row r="291" spans="1:3" x14ac:dyDescent="0.35">
      <c r="A291" s="10">
        <v>43922</v>
      </c>
      <c r="B291" s="11">
        <v>41.8</v>
      </c>
      <c r="C291" s="13">
        <f t="shared" si="4"/>
        <v>-13.700000000000003</v>
      </c>
    </row>
    <row r="292" spans="1:3" x14ac:dyDescent="0.35">
      <c r="A292" s="10">
        <v>43952</v>
      </c>
      <c r="B292" s="11">
        <v>45.4</v>
      </c>
      <c r="C292" s="13">
        <f t="shared" si="4"/>
        <v>3.6000000000000014</v>
      </c>
    </row>
    <row r="293" spans="1:3" x14ac:dyDescent="0.35">
      <c r="A293" s="10">
        <v>43983</v>
      </c>
      <c r="B293" s="11">
        <v>57.1</v>
      </c>
      <c r="C293" s="13">
        <f t="shared" si="4"/>
        <v>11.700000000000003</v>
      </c>
    </row>
    <row r="294" spans="1:3" x14ac:dyDescent="0.35">
      <c r="A294" s="10">
        <v>44013</v>
      </c>
      <c r="B294" s="11">
        <v>58.1</v>
      </c>
      <c r="C294" s="13">
        <f t="shared" si="4"/>
        <v>1</v>
      </c>
    </row>
    <row r="295" spans="1:3" x14ac:dyDescent="0.35">
      <c r="A295" s="10">
        <v>44044</v>
      </c>
      <c r="B295" s="11">
        <v>58.1</v>
      </c>
      <c r="C295" s="13">
        <f t="shared" si="4"/>
        <v>0</v>
      </c>
    </row>
    <row r="296" spans="1:3" x14ac:dyDescent="0.35">
      <c r="A296" s="10">
        <v>44075</v>
      </c>
      <c r="B296" s="11">
        <v>57.8</v>
      </c>
      <c r="C296" s="13">
        <f t="shared" si="4"/>
        <v>-0.30000000000000426</v>
      </c>
    </row>
    <row r="297" spans="1:3" x14ac:dyDescent="0.35">
      <c r="A297" s="10">
        <v>44105</v>
      </c>
      <c r="B297" s="11">
        <v>56.6</v>
      </c>
      <c r="C297" s="13">
        <f t="shared" si="4"/>
        <v>-1.1999999999999957</v>
      </c>
    </row>
    <row r="298" spans="1:3" x14ac:dyDescent="0.35">
      <c r="A298" s="10">
        <v>44136</v>
      </c>
      <c r="B298" s="11">
        <v>56.6</v>
      </c>
      <c r="C298" s="13">
        <f t="shared" si="4"/>
        <v>0</v>
      </c>
    </row>
    <row r="299" spans="1:3" x14ac:dyDescent="0.35">
      <c r="A299" s="10">
        <v>44166</v>
      </c>
      <c r="B299" s="11">
        <v>57.7</v>
      </c>
      <c r="C299" s="13">
        <f t="shared" si="4"/>
        <v>1.1000000000000014</v>
      </c>
    </row>
    <row r="300" spans="1:3" x14ac:dyDescent="0.35">
      <c r="A300" s="10">
        <v>44197</v>
      </c>
      <c r="B300" s="11">
        <v>58.7</v>
      </c>
      <c r="C300" s="13">
        <f t="shared" si="4"/>
        <v>1</v>
      </c>
    </row>
    <row r="301" spans="1:3" x14ac:dyDescent="0.35">
      <c r="A301" s="10">
        <v>44228</v>
      </c>
      <c r="B301" s="11">
        <v>55.3</v>
      </c>
      <c r="C301" s="13">
        <f t="shared" si="4"/>
        <v>-3.4000000000000057</v>
      </c>
    </row>
    <row r="302" spans="1:3" x14ac:dyDescent="0.35">
      <c r="A302" s="10">
        <v>44256</v>
      </c>
      <c r="B302" s="11">
        <v>63.7</v>
      </c>
      <c r="C302" s="13">
        <f t="shared" si="4"/>
        <v>8.4000000000000057</v>
      </c>
    </row>
    <row r="303" spans="1:3" x14ac:dyDescent="0.35">
      <c r="A303" s="10">
        <v>44287</v>
      </c>
      <c r="B303" s="11">
        <v>62.7</v>
      </c>
      <c r="C303" s="13">
        <f t="shared" si="4"/>
        <v>-1</v>
      </c>
    </row>
    <row r="304" spans="1:3" x14ac:dyDescent="0.35">
      <c r="A304" s="10">
        <v>44317</v>
      </c>
      <c r="B304" s="11">
        <v>62.7</v>
      </c>
      <c r="C304" s="13">
        <f t="shared" si="4"/>
        <v>0</v>
      </c>
    </row>
    <row r="305" spans="1:3" x14ac:dyDescent="0.35">
      <c r="A305" s="10">
        <v>44348</v>
      </c>
      <c r="B305" s="11">
        <v>60.1</v>
      </c>
      <c r="C305" s="13">
        <f t="shared" si="4"/>
        <v>-2.6000000000000014</v>
      </c>
    </row>
    <row r="306" spans="1:3" x14ac:dyDescent="0.35">
      <c r="A306" s="10">
        <v>44378</v>
      </c>
      <c r="B306" s="11">
        <v>64.099999999999994</v>
      </c>
      <c r="C306" s="13">
        <f t="shared" si="4"/>
        <v>3.9999999999999929</v>
      </c>
    </row>
    <row r="307" spans="1:3" x14ac:dyDescent="0.35">
      <c r="A307" s="10">
        <v>44409</v>
      </c>
      <c r="B307" s="11">
        <v>64.099999999999994</v>
      </c>
      <c r="C307" s="13">
        <f t="shared" si="4"/>
        <v>0</v>
      </c>
    </row>
    <row r="308" spans="1:3" x14ac:dyDescent="0.35">
      <c r="A308" s="10">
        <v>44440</v>
      </c>
      <c r="B308" s="11">
        <v>61.9</v>
      </c>
      <c r="C308" s="13">
        <f t="shared" si="4"/>
        <v>-2.1999999999999957</v>
      </c>
    </row>
    <row r="309" spans="1:3" x14ac:dyDescent="0.35">
      <c r="A309" s="10">
        <v>44470</v>
      </c>
      <c r="B309" s="11">
        <v>66.7</v>
      </c>
      <c r="C309" s="13">
        <f t="shared" si="4"/>
        <v>4.8000000000000043</v>
      </c>
    </row>
    <row r="310" spans="1:3" x14ac:dyDescent="0.35">
      <c r="A310" s="10">
        <v>44501</v>
      </c>
      <c r="B310" s="11">
        <v>67.599999999999994</v>
      </c>
      <c r="C310" s="13">
        <f t="shared" si="4"/>
        <v>0.89999999999999147</v>
      </c>
    </row>
    <row r="311" spans="1:3" x14ac:dyDescent="0.35">
      <c r="A311" s="10">
        <v>44531</v>
      </c>
      <c r="B311" s="11">
        <v>62.3</v>
      </c>
      <c r="C311" s="13">
        <f t="shared" si="4"/>
        <v>-5.2999999999999972</v>
      </c>
    </row>
    <row r="312" spans="1:3" x14ac:dyDescent="0.35">
      <c r="A312" s="10">
        <v>44562</v>
      </c>
      <c r="B312" s="11">
        <v>62.3</v>
      </c>
      <c r="C312" s="13">
        <f t="shared" si="4"/>
        <v>0</v>
      </c>
    </row>
    <row r="313" spans="1:3" x14ac:dyDescent="0.35">
      <c r="A313" s="10">
        <v>44593</v>
      </c>
      <c r="B313" s="11">
        <v>56.5</v>
      </c>
      <c r="C313" s="13">
        <f t="shared" si="4"/>
        <v>-5.7999999999999972</v>
      </c>
    </row>
    <row r="314" spans="1:3" x14ac:dyDescent="0.35">
      <c r="A314" s="10">
        <v>44621</v>
      </c>
      <c r="B314" s="11">
        <v>58.3</v>
      </c>
      <c r="C314" s="13">
        <f t="shared" si="4"/>
        <v>1.7999999999999972</v>
      </c>
    </row>
    <row r="315" spans="1:3" x14ac:dyDescent="0.35">
      <c r="A315" s="10">
        <v>44652</v>
      </c>
      <c r="B315" s="11">
        <v>57.1</v>
      </c>
      <c r="C315" s="13">
        <f t="shared" si="4"/>
        <v>-1.1999999999999957</v>
      </c>
    </row>
    <row r="316" spans="1:3" x14ac:dyDescent="0.35">
      <c r="A316" s="10">
        <v>44682</v>
      </c>
      <c r="B316" s="11">
        <v>57.1</v>
      </c>
      <c r="C316" s="13">
        <f t="shared" si="4"/>
        <v>0</v>
      </c>
    </row>
    <row r="317" spans="1:3" x14ac:dyDescent="0.35">
      <c r="A317" s="10">
        <v>44713</v>
      </c>
      <c r="B317" s="11">
        <v>55.3</v>
      </c>
      <c r="C317" s="13">
        <f t="shared" si="4"/>
        <v>-1.8000000000000043</v>
      </c>
    </row>
    <row r="318" spans="1:3" x14ac:dyDescent="0.35">
      <c r="A318" s="10">
        <v>44743</v>
      </c>
      <c r="B318" s="11">
        <v>56.7</v>
      </c>
      <c r="C318" s="13">
        <f t="shared" si="4"/>
        <v>1.4000000000000057</v>
      </c>
    </row>
    <row r="319" spans="1:3" x14ac:dyDescent="0.35">
      <c r="A319" s="10">
        <v>44774</v>
      </c>
      <c r="B319" s="11">
        <v>56.9</v>
      </c>
      <c r="C319" s="13">
        <f t="shared" si="4"/>
        <v>0.19999999999999574</v>
      </c>
    </row>
    <row r="320" spans="1:3" x14ac:dyDescent="0.35">
      <c r="A320" s="10">
        <v>44805</v>
      </c>
      <c r="B320" s="11">
        <v>56.7</v>
      </c>
      <c r="C320" s="13">
        <f t="shared" si="4"/>
        <v>-0.19999999999999574</v>
      </c>
    </row>
    <row r="321" spans="1:3" x14ac:dyDescent="0.35">
      <c r="A321" s="10">
        <v>44835</v>
      </c>
      <c r="B321" s="11">
        <v>56.7</v>
      </c>
      <c r="C321" s="13">
        <f t="shared" si="4"/>
        <v>0</v>
      </c>
    </row>
    <row r="322" spans="1:3" x14ac:dyDescent="0.35">
      <c r="A322" s="10">
        <v>44866</v>
      </c>
      <c r="B322" s="11">
        <v>56.5</v>
      </c>
      <c r="C322" s="13">
        <f t="shared" ref="C322:C353" si="5">IFERROR(B322-B321,"")</f>
        <v>-0.20000000000000284</v>
      </c>
    </row>
    <row r="323" spans="1:3" x14ac:dyDescent="0.35">
      <c r="A323" s="10">
        <v>44896</v>
      </c>
      <c r="B323" s="11">
        <v>49.2</v>
      </c>
      <c r="C323" s="13">
        <f t="shared" si="5"/>
        <v>-7.2999999999999972</v>
      </c>
    </row>
    <row r="324" spans="1:3" x14ac:dyDescent="0.35">
      <c r="A324" s="10">
        <v>44927</v>
      </c>
      <c r="B324" s="11">
        <v>49.2</v>
      </c>
      <c r="C324" s="13">
        <f t="shared" si="5"/>
        <v>0</v>
      </c>
    </row>
    <row r="325" spans="1:3" x14ac:dyDescent="0.35">
      <c r="A325" s="10">
        <v>44958</v>
      </c>
      <c r="B325" s="11">
        <v>55.1</v>
      </c>
      <c r="C325" s="13">
        <f t="shared" si="5"/>
        <v>5.8999999999999986</v>
      </c>
    </row>
    <row r="326" spans="1:3" x14ac:dyDescent="0.35">
      <c r="A326" s="10">
        <v>44986</v>
      </c>
      <c r="B326" s="11">
        <v>51.2</v>
      </c>
      <c r="C326" s="13">
        <f t="shared" si="5"/>
        <v>-3.8999999999999986</v>
      </c>
    </row>
    <row r="327" spans="1:3" x14ac:dyDescent="0.35">
      <c r="A327" s="10">
        <v>45017</v>
      </c>
      <c r="B327" s="11">
        <v>51.2</v>
      </c>
      <c r="C327" s="13">
        <f t="shared" si="5"/>
        <v>0</v>
      </c>
    </row>
    <row r="328" spans="1:3" x14ac:dyDescent="0.35">
      <c r="A328" s="10">
        <v>45047</v>
      </c>
      <c r="B328" s="11">
        <v>50.3</v>
      </c>
      <c r="C328" s="13">
        <f t="shared" si="5"/>
        <v>-0.90000000000000568</v>
      </c>
    </row>
    <row r="329" spans="1:3" x14ac:dyDescent="0.35">
      <c r="A329" s="10">
        <v>45078</v>
      </c>
      <c r="B329" s="11">
        <v>53.9</v>
      </c>
      <c r="C329" s="13">
        <f t="shared" si="5"/>
        <v>3.6000000000000014</v>
      </c>
    </row>
    <row r="330" spans="1:3" x14ac:dyDescent="0.35">
      <c r="A330" s="10">
        <v>45108</v>
      </c>
      <c r="B330" s="11">
        <v>53.9</v>
      </c>
      <c r="C330" s="13">
        <f t="shared" si="5"/>
        <v>0</v>
      </c>
    </row>
    <row r="331" spans="1:3" x14ac:dyDescent="0.35">
      <c r="A331" s="10">
        <v>45139</v>
      </c>
      <c r="B331" s="11">
        <v>54.5</v>
      </c>
      <c r="C331" s="13">
        <f t="shared" si="5"/>
        <v>0.60000000000000142</v>
      </c>
    </row>
    <row r="332" spans="1:3" x14ac:dyDescent="0.35">
      <c r="A332" s="10">
        <v>45170</v>
      </c>
      <c r="B332" s="11">
        <v>53.6</v>
      </c>
      <c r="C332" s="13">
        <f t="shared" si="5"/>
        <v>-0.89999999999999858</v>
      </c>
    </row>
    <row r="333" spans="1:3" x14ac:dyDescent="0.35">
      <c r="A333" s="10">
        <v>45200</v>
      </c>
      <c r="B333" s="11">
        <v>53.6</v>
      </c>
      <c r="C333" s="13">
        <f t="shared" si="5"/>
        <v>0</v>
      </c>
    </row>
    <row r="334" spans="1:3" x14ac:dyDescent="0.35">
      <c r="A334" s="10">
        <v>45231</v>
      </c>
      <c r="B334" s="11">
        <v>52.7</v>
      </c>
      <c r="C334" s="13">
        <f t="shared" si="5"/>
        <v>-0.89999999999999858</v>
      </c>
    </row>
    <row r="335" spans="1:3" x14ac:dyDescent="0.35">
      <c r="A335" s="10">
        <v>45261</v>
      </c>
      <c r="B335" s="11">
        <v>50.5</v>
      </c>
      <c r="C335" s="13">
        <f t="shared" si="5"/>
        <v>-2.2000000000000028</v>
      </c>
    </row>
    <row r="336" spans="1:3" x14ac:dyDescent="0.35">
      <c r="A336" s="10">
        <v>45292</v>
      </c>
      <c r="B336" s="11">
        <v>53.4</v>
      </c>
      <c r="C336" s="13">
        <f t="shared" si="5"/>
        <v>2.8999999999999986</v>
      </c>
    </row>
    <row r="337" spans="1:3" x14ac:dyDescent="0.35">
      <c r="A337" s="10">
        <v>45323</v>
      </c>
      <c r="B337" s="11">
        <v>52.6</v>
      </c>
      <c r="C337" s="13">
        <f t="shared" si="5"/>
        <v>-0.79999999999999716</v>
      </c>
    </row>
    <row r="338" spans="1:3" x14ac:dyDescent="0.35">
      <c r="A338" s="10">
        <v>45352</v>
      </c>
      <c r="B338" s="11">
        <v>51.4</v>
      </c>
      <c r="C338" s="13">
        <f t="shared" si="5"/>
        <v>-1.2000000000000028</v>
      </c>
    </row>
    <row r="339" spans="1:3" x14ac:dyDescent="0.35">
      <c r="A339" s="10">
        <v>45383</v>
      </c>
      <c r="B339" s="11">
        <v>49.4</v>
      </c>
      <c r="C339" s="13">
        <f t="shared" si="5"/>
        <v>-2</v>
      </c>
    </row>
    <row r="340" spans="1:3" x14ac:dyDescent="0.35">
      <c r="A340" s="10">
        <v>45413</v>
      </c>
      <c r="B340" s="11">
        <v>53.8</v>
      </c>
      <c r="C340" s="13">
        <f t="shared" si="5"/>
        <v>4.3999999999999986</v>
      </c>
    </row>
    <row r="341" spans="1:3" x14ac:dyDescent="0.35">
      <c r="A341" s="10">
        <v>45444</v>
      </c>
      <c r="B341" s="11">
        <v>53.8</v>
      </c>
      <c r="C341" s="13">
        <f t="shared" si="5"/>
        <v>0</v>
      </c>
    </row>
    <row r="342" spans="1:3" x14ac:dyDescent="0.35">
      <c r="A342" s="10">
        <v>45474</v>
      </c>
      <c r="B342" s="11">
        <v>51.4</v>
      </c>
      <c r="C342" s="13">
        <f t="shared" si="5"/>
        <v>-2.3999999999999986</v>
      </c>
    </row>
    <row r="343" spans="1:3" x14ac:dyDescent="0.35">
      <c r="A343" s="10">
        <v>45505</v>
      </c>
      <c r="B343" s="11">
        <v>51.5</v>
      </c>
      <c r="C343" s="13">
        <f t="shared" si="5"/>
        <v>0.10000000000000142</v>
      </c>
    </row>
    <row r="344" spans="1:3" x14ac:dyDescent="0.35">
      <c r="A344" s="10">
        <v>45536</v>
      </c>
      <c r="B344" s="11">
        <v>51.5</v>
      </c>
      <c r="C344" s="13">
        <f t="shared" si="5"/>
        <v>0</v>
      </c>
    </row>
    <row r="345" spans="1:3" x14ac:dyDescent="0.35">
      <c r="A345" s="10">
        <v>45566</v>
      </c>
      <c r="B345" s="11">
        <v>56</v>
      </c>
      <c r="C345" s="13">
        <f t="shared" si="5"/>
        <v>4.5</v>
      </c>
    </row>
    <row r="346" spans="1:3" x14ac:dyDescent="0.35">
      <c r="A346" s="10">
        <v>45597</v>
      </c>
      <c r="B346" s="11">
        <v>52.1</v>
      </c>
      <c r="C346" s="13">
        <f t="shared" si="5"/>
        <v>-3.8999999999999986</v>
      </c>
    </row>
    <row r="347" spans="1:3" x14ac:dyDescent="0.35">
      <c r="A347" s="10">
        <v>45627</v>
      </c>
      <c r="B347" s="11">
        <v>52.1</v>
      </c>
      <c r="C347" s="13">
        <f t="shared" si="5"/>
        <v>0</v>
      </c>
    </row>
    <row r="348" spans="1:3" x14ac:dyDescent="0.35">
      <c r="A348" s="10">
        <v>45658</v>
      </c>
      <c r="B348" s="11">
        <v>52.8</v>
      </c>
      <c r="C348" s="13">
        <f t="shared" si="5"/>
        <v>0.69999999999999574</v>
      </c>
    </row>
    <row r="349" spans="1:3" x14ac:dyDescent="0.35">
      <c r="A349" s="10">
        <v>45689</v>
      </c>
      <c r="B349" s="11">
        <v>52.8</v>
      </c>
      <c r="C349" s="13">
        <f t="shared" si="5"/>
        <v>0</v>
      </c>
    </row>
    <row r="350" spans="1:3" x14ac:dyDescent="0.35">
      <c r="A350" s="10">
        <v>45717</v>
      </c>
      <c r="B350" s="11">
        <v>52.8</v>
      </c>
      <c r="C350" s="13">
        <f t="shared" si="5"/>
        <v>0</v>
      </c>
    </row>
    <row r="351" spans="1:3" x14ac:dyDescent="0.35">
      <c r="A351" s="10">
        <v>45748</v>
      </c>
      <c r="B351" s="11">
        <v>51.6</v>
      </c>
      <c r="C351" s="13">
        <f t="shared" si="5"/>
        <v>-1.1999999999999957</v>
      </c>
    </row>
    <row r="352" spans="1:3" x14ac:dyDescent="0.35">
      <c r="A352" s="10">
        <v>45778</v>
      </c>
      <c r="B352" s="11">
        <v>49.9</v>
      </c>
      <c r="C352" s="13">
        <f t="shared" si="5"/>
        <v>-1.7000000000000028</v>
      </c>
    </row>
    <row r="353" spans="1:3" x14ac:dyDescent="0.35">
      <c r="A353" s="10">
        <v>45809</v>
      </c>
      <c r="B353" s="11">
        <v>49.9</v>
      </c>
      <c r="C353" s="13">
        <f t="shared" si="5"/>
        <v>0</v>
      </c>
    </row>
    <row r="354" spans="1:3" x14ac:dyDescent="0.35">
      <c r="A354" s="10">
        <v>45839</v>
      </c>
      <c r="B354" s="11">
        <v>50.1</v>
      </c>
      <c r="C354" s="13">
        <f t="shared" ref="C354:C364" si="6">IFERROR(B354-B353,"")</f>
        <v>0.20000000000000284</v>
      </c>
    </row>
    <row r="355" spans="1:3" x14ac:dyDescent="0.35">
      <c r="A355" s="10">
        <v>45870</v>
      </c>
      <c r="B355" s="11">
        <v>52</v>
      </c>
      <c r="C355" s="13">
        <f t="shared" si="6"/>
        <v>1.8999999999999986</v>
      </c>
    </row>
    <row r="356" spans="1:3" x14ac:dyDescent="0.35">
      <c r="A356" s="10">
        <v>45901</v>
      </c>
      <c r="B356" s="11">
        <v>50</v>
      </c>
      <c r="C356" s="13">
        <f t="shared" si="6"/>
        <v>-2</v>
      </c>
    </row>
    <row r="357" spans="1:3" x14ac:dyDescent="0.35">
      <c r="A357" s="10">
        <v>45931</v>
      </c>
      <c r="B357" s="11">
        <v>52.4</v>
      </c>
      <c r="C357" s="13">
        <f t="shared" si="6"/>
        <v>2.3999999999999986</v>
      </c>
    </row>
    <row r="358" spans="1:3" x14ac:dyDescent="0.35">
      <c r="A358" s="10">
        <v>45962</v>
      </c>
      <c r="B358" s="11">
        <v>52.4</v>
      </c>
      <c r="C358" s="13">
        <f t="shared" si="6"/>
        <v>0</v>
      </c>
    </row>
    <row r="359" spans="1:3" x14ac:dyDescent="0.35">
      <c r="A359" s="10">
        <v>45992</v>
      </c>
      <c r="B359" s="11">
        <v>53.8</v>
      </c>
      <c r="C359" s="13">
        <f t="shared" si="6"/>
        <v>1.3999999999999986</v>
      </c>
    </row>
    <row r="360" spans="1:3" x14ac:dyDescent="0.35">
      <c r="A360" s="10">
        <v>46023</v>
      </c>
      <c r="B360" s="11">
        <v>53.8</v>
      </c>
      <c r="C360" s="13">
        <f t="shared" si="6"/>
        <v>0</v>
      </c>
    </row>
    <row r="361" spans="1:3" x14ac:dyDescent="0.35">
      <c r="A361" s="10">
        <v>46054</v>
      </c>
      <c r="B361" s="11">
        <v>53.8</v>
      </c>
      <c r="C361" s="13">
        <f t="shared" si="6"/>
        <v>0</v>
      </c>
    </row>
    <row r="362" spans="1:3" x14ac:dyDescent="0.35">
      <c r="A362" s="10">
        <v>46082</v>
      </c>
      <c r="B362" s="11">
        <v>53.8</v>
      </c>
      <c r="C362" s="13">
        <f t="shared" si="6"/>
        <v>0</v>
      </c>
    </row>
    <row r="363" spans="1:3" x14ac:dyDescent="0.35">
      <c r="A363" s="10">
        <v>46113</v>
      </c>
      <c r="B363" s="11">
        <v>51</v>
      </c>
      <c r="C363" s="13">
        <f t="shared" si="6"/>
        <v>-2.7999999999999972</v>
      </c>
    </row>
    <row r="364" spans="1:3" x14ac:dyDescent="0.35">
      <c r="A364" s="10">
        <v>46143</v>
      </c>
      <c r="B364" s="11">
        <v>50.7</v>
      </c>
      <c r="C364" s="13">
        <f t="shared" si="6"/>
        <v>-0.29999999999999716</v>
      </c>
    </row>
  </sheetData>
  <conditionalFormatting sqref="B78:B227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9:C85 C87:C227">
    <cfRule type="colorScale" priority="2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0:I253"/>
  <sheetViews>
    <sheetView tabSelected="1" topLeftCell="A40" zoomScale="70" zoomScaleNormal="70" workbookViewId="0">
      <pane xSplit="1" ySplit="1" topLeftCell="B50" activePane="bottomRight" state="frozen"/>
      <selection activeCell="D88" sqref="D88"/>
      <selection pane="topRight" activeCell="D88" sqref="D88"/>
      <selection pane="bottomLeft" activeCell="D88" sqref="D88"/>
      <selection pane="bottomRight" activeCell="D101" sqref="D101"/>
    </sheetView>
  </sheetViews>
  <sheetFormatPr defaultRowHeight="14.5" x14ac:dyDescent="0.35"/>
  <cols>
    <col min="1" max="1" width="10.08984375" style="7" bestFit="1" customWidth="1"/>
    <col min="2" max="2" width="24.6328125" style="11" bestFit="1" customWidth="1"/>
    <col min="3" max="3" width="13.36328125" style="7" bestFit="1" customWidth="1"/>
    <col min="4" max="4" width="26.1796875" style="1" bestFit="1" customWidth="1"/>
    <col min="8" max="8" width="4.7265625" bestFit="1" customWidth="1"/>
    <col min="9" max="9" width="15.6328125" bestFit="1" customWidth="1"/>
  </cols>
  <sheetData>
    <row r="40" spans="1:4" x14ac:dyDescent="0.35">
      <c r="A40" s="73" t="s">
        <v>0</v>
      </c>
      <c r="B40" s="74" t="s">
        <v>10</v>
      </c>
      <c r="C40" s="75" t="s">
        <v>1</v>
      </c>
      <c r="D40" s="76" t="s">
        <v>23</v>
      </c>
    </row>
    <row r="41" spans="1:4" x14ac:dyDescent="0.35">
      <c r="A41" s="70">
        <v>40452</v>
      </c>
      <c r="B41" s="11">
        <v>53.2</v>
      </c>
      <c r="C41" s="14" t="str">
        <f t="shared" ref="C41:C72" si="0">IF(AND(ISNUMBER(B41),ISNUMBER(B40)),B41-B40,"")</f>
        <v/>
      </c>
    </row>
    <row r="42" spans="1:4" x14ac:dyDescent="0.35">
      <c r="A42" s="70">
        <v>40483</v>
      </c>
      <c r="B42" s="11">
        <v>53</v>
      </c>
      <c r="C42" s="14">
        <f t="shared" si="0"/>
        <v>-0.20000000000000284</v>
      </c>
    </row>
    <row r="43" spans="1:4" x14ac:dyDescent="0.35">
      <c r="A43" s="70">
        <v>40513</v>
      </c>
      <c r="B43" s="11">
        <v>53.9</v>
      </c>
      <c r="C43" s="14">
        <f t="shared" si="0"/>
        <v>0.89999999999999858</v>
      </c>
      <c r="D43" s="1">
        <v>-2E-3</v>
      </c>
    </row>
    <row r="44" spans="1:4" x14ac:dyDescent="0.35">
      <c r="A44" s="70">
        <v>40544</v>
      </c>
      <c r="B44" s="11">
        <v>54.5</v>
      </c>
      <c r="C44" s="14">
        <f t="shared" si="0"/>
        <v>0.60000000000000142</v>
      </c>
    </row>
    <row r="45" spans="1:4" x14ac:dyDescent="0.35">
      <c r="A45" s="70">
        <v>40575</v>
      </c>
      <c r="B45" s="11">
        <v>52.6</v>
      </c>
      <c r="C45" s="14">
        <f t="shared" si="0"/>
        <v>-1.8999999999999986</v>
      </c>
    </row>
    <row r="46" spans="1:4" x14ac:dyDescent="0.35">
      <c r="A46" s="70">
        <v>40603</v>
      </c>
      <c r="B46" s="11">
        <v>57.1</v>
      </c>
      <c r="C46" s="14">
        <f t="shared" si="0"/>
        <v>4.5</v>
      </c>
      <c r="D46" s="1">
        <v>5.0000000000000001E-3</v>
      </c>
    </row>
    <row r="47" spans="1:4" x14ac:dyDescent="0.35">
      <c r="A47" s="70">
        <v>40634</v>
      </c>
      <c r="B47" s="11">
        <v>54.3</v>
      </c>
      <c r="C47" s="14">
        <f t="shared" si="0"/>
        <v>-2.8000000000000043</v>
      </c>
    </row>
    <row r="48" spans="1:4" x14ac:dyDescent="0.35">
      <c r="A48" s="70">
        <v>40664</v>
      </c>
      <c r="B48" s="11">
        <v>53.8</v>
      </c>
      <c r="C48" s="14">
        <f t="shared" si="0"/>
        <v>-0.5</v>
      </c>
    </row>
    <row r="49" spans="1:4" x14ac:dyDescent="0.35">
      <c r="A49" s="70">
        <v>40695</v>
      </c>
      <c r="B49" s="11">
        <v>53.9</v>
      </c>
      <c r="C49" s="14">
        <f t="shared" si="0"/>
        <v>0.10000000000000142</v>
      </c>
      <c r="D49" s="1">
        <v>1E-3</v>
      </c>
    </row>
    <row r="50" spans="1:4" x14ac:dyDescent="0.35">
      <c r="A50" s="70">
        <v>40725</v>
      </c>
      <c r="B50" s="11">
        <v>55.4</v>
      </c>
      <c r="C50" s="14">
        <f t="shared" si="0"/>
        <v>1.5</v>
      </c>
    </row>
    <row r="51" spans="1:4" x14ac:dyDescent="0.35">
      <c r="A51" s="70">
        <v>40756</v>
      </c>
      <c r="B51" s="11">
        <v>51.1</v>
      </c>
      <c r="C51" s="14">
        <f t="shared" si="0"/>
        <v>-4.2999999999999972</v>
      </c>
    </row>
    <row r="52" spans="1:4" x14ac:dyDescent="0.35">
      <c r="A52" s="70">
        <v>40787</v>
      </c>
      <c r="B52" s="11">
        <v>52.9</v>
      </c>
      <c r="C52" s="14">
        <f t="shared" si="0"/>
        <v>1.7999999999999972</v>
      </c>
      <c r="D52" s="1">
        <v>6.0000000000000001E-3</v>
      </c>
    </row>
    <row r="53" spans="1:4" x14ac:dyDescent="0.35">
      <c r="A53" s="70">
        <v>40817</v>
      </c>
      <c r="B53" s="11">
        <v>51.3</v>
      </c>
      <c r="C53" s="14">
        <f t="shared" si="0"/>
        <v>-1.6000000000000014</v>
      </c>
    </row>
    <row r="54" spans="1:4" x14ac:dyDescent="0.35">
      <c r="A54" s="70">
        <v>40848</v>
      </c>
      <c r="B54" s="11">
        <v>52.1</v>
      </c>
      <c r="C54" s="14">
        <f t="shared" si="0"/>
        <v>0.80000000000000426</v>
      </c>
    </row>
    <row r="55" spans="1:4" x14ac:dyDescent="0.35">
      <c r="A55" s="70">
        <v>40878</v>
      </c>
      <c r="B55" s="11">
        <v>54</v>
      </c>
      <c r="C55" s="14">
        <f t="shared" si="0"/>
        <v>1.8999999999999986</v>
      </c>
      <c r="D55" s="1">
        <v>-1E-3</v>
      </c>
    </row>
    <row r="56" spans="1:4" x14ac:dyDescent="0.35">
      <c r="A56" s="70">
        <v>40909</v>
      </c>
      <c r="B56" s="11">
        <v>56</v>
      </c>
      <c r="C56" s="14">
        <f t="shared" si="0"/>
        <v>2</v>
      </c>
    </row>
    <row r="57" spans="1:4" x14ac:dyDescent="0.35">
      <c r="A57" s="70">
        <v>40940</v>
      </c>
      <c r="B57" s="11">
        <v>53.8</v>
      </c>
      <c r="C57" s="14">
        <f t="shared" si="0"/>
        <v>-2.2000000000000028</v>
      </c>
    </row>
    <row r="58" spans="1:4" x14ac:dyDescent="0.35">
      <c r="A58" s="70">
        <v>40969</v>
      </c>
      <c r="B58" s="11">
        <v>55.3</v>
      </c>
      <c r="C58" s="14">
        <f t="shared" si="0"/>
        <v>1.5</v>
      </c>
      <c r="D58" s="1">
        <v>0</v>
      </c>
    </row>
    <row r="59" spans="1:4" x14ac:dyDescent="0.35">
      <c r="A59" s="70">
        <v>41000</v>
      </c>
      <c r="B59" s="11">
        <v>53.3</v>
      </c>
      <c r="C59" s="14">
        <f t="shared" si="0"/>
        <v>-2</v>
      </c>
    </row>
    <row r="60" spans="1:4" x14ac:dyDescent="0.35">
      <c r="A60" s="70">
        <v>41030</v>
      </c>
      <c r="B60" s="11">
        <v>53.3</v>
      </c>
      <c r="C60" s="14">
        <f t="shared" si="0"/>
        <v>0</v>
      </c>
    </row>
    <row r="61" spans="1:4" x14ac:dyDescent="0.35">
      <c r="A61" s="70">
        <v>41061</v>
      </c>
      <c r="B61" s="11">
        <v>51.3</v>
      </c>
      <c r="C61" s="14">
        <f t="shared" si="0"/>
        <v>-2</v>
      </c>
      <c r="D61" s="1">
        <v>-4.0000000000000001E-3</v>
      </c>
    </row>
    <row r="62" spans="1:4" x14ac:dyDescent="0.35">
      <c r="A62" s="70">
        <v>41091</v>
      </c>
      <c r="B62" s="11">
        <v>51.3</v>
      </c>
      <c r="C62" s="14">
        <f t="shared" si="0"/>
        <v>0</v>
      </c>
    </row>
    <row r="63" spans="1:4" x14ac:dyDescent="0.35">
      <c r="A63" s="70">
        <v>41122</v>
      </c>
      <c r="B63" s="11">
        <v>51</v>
      </c>
      <c r="C63" s="14">
        <f t="shared" si="0"/>
        <v>-0.29999999999999716</v>
      </c>
    </row>
    <row r="64" spans="1:4" x14ac:dyDescent="0.35">
      <c r="A64" s="70">
        <v>41153</v>
      </c>
      <c r="B64" s="11">
        <v>53.7</v>
      </c>
      <c r="C64" s="14">
        <f t="shared" si="0"/>
        <v>2.7000000000000028</v>
      </c>
      <c r="D64" s="1">
        <v>8.0000000000000002E-3</v>
      </c>
    </row>
    <row r="65" spans="1:4" x14ac:dyDescent="0.35">
      <c r="A65" s="70">
        <v>41183</v>
      </c>
      <c r="B65" s="11">
        <v>52.2</v>
      </c>
      <c r="C65" s="14">
        <f t="shared" si="0"/>
        <v>-1.5</v>
      </c>
    </row>
    <row r="66" spans="1:4" x14ac:dyDescent="0.35">
      <c r="A66" s="70">
        <v>41214</v>
      </c>
      <c r="B66" s="11">
        <v>50.6</v>
      </c>
      <c r="C66" s="14">
        <f t="shared" si="0"/>
        <v>-1.6000000000000014</v>
      </c>
    </row>
    <row r="67" spans="1:4" x14ac:dyDescent="0.35">
      <c r="A67" s="70">
        <v>41244</v>
      </c>
      <c r="B67" s="11">
        <v>50.2</v>
      </c>
      <c r="C67" s="14">
        <f t="shared" si="0"/>
        <v>-0.39999999999999858</v>
      </c>
      <c r="D67" s="1">
        <v>-1E-3</v>
      </c>
    </row>
    <row r="68" spans="1:4" x14ac:dyDescent="0.35">
      <c r="A68" s="70">
        <v>41275</v>
      </c>
      <c r="B68" s="11">
        <v>51.5</v>
      </c>
      <c r="C68" s="14">
        <f t="shared" si="0"/>
        <v>1.2999999999999972</v>
      </c>
    </row>
    <row r="69" spans="1:4" x14ac:dyDescent="0.35">
      <c r="A69" s="70">
        <v>41306</v>
      </c>
      <c r="B69" s="11">
        <v>51.8</v>
      </c>
      <c r="C69" s="14">
        <f t="shared" si="0"/>
        <v>0.29999999999999716</v>
      </c>
    </row>
    <row r="70" spans="1:4" x14ac:dyDescent="0.35">
      <c r="A70" s="70">
        <v>41334</v>
      </c>
      <c r="B70" s="11">
        <v>52.4</v>
      </c>
      <c r="C70" s="14">
        <f t="shared" si="0"/>
        <v>0.60000000000000142</v>
      </c>
      <c r="D70" s="1">
        <v>5.0000000000000001E-3</v>
      </c>
    </row>
    <row r="71" spans="1:4" x14ac:dyDescent="0.35">
      <c r="A71" s="70">
        <v>41365</v>
      </c>
      <c r="B71" s="11">
        <v>52.9</v>
      </c>
      <c r="C71" s="14">
        <f t="shared" si="0"/>
        <v>0.5</v>
      </c>
    </row>
    <row r="72" spans="1:4" x14ac:dyDescent="0.35">
      <c r="A72" s="70">
        <v>41395</v>
      </c>
      <c r="B72" s="11">
        <v>54.9</v>
      </c>
      <c r="C72" s="14">
        <f t="shared" si="0"/>
        <v>2</v>
      </c>
    </row>
    <row r="73" spans="1:4" x14ac:dyDescent="0.35">
      <c r="A73" s="70">
        <v>41426</v>
      </c>
      <c r="B73" s="11">
        <v>56.9</v>
      </c>
      <c r="C73" s="14">
        <f t="shared" ref="C73:C103" si="1">IF(AND(ISNUMBER(B73),ISNUMBER(B72)),B73-B72,"")</f>
        <v>2</v>
      </c>
      <c r="D73" s="1">
        <v>8.0000000000000002E-3</v>
      </c>
    </row>
    <row r="74" spans="1:4" x14ac:dyDescent="0.35">
      <c r="A74" s="70">
        <v>41456</v>
      </c>
      <c r="B74" s="11">
        <v>60.2</v>
      </c>
      <c r="C74" s="14">
        <f t="shared" si="1"/>
        <v>3.3000000000000043</v>
      </c>
    </row>
    <row r="75" spans="1:4" x14ac:dyDescent="0.35">
      <c r="A75" s="70">
        <v>41487</v>
      </c>
      <c r="B75" s="11">
        <v>60.5</v>
      </c>
      <c r="C75" s="14">
        <f t="shared" si="1"/>
        <v>0.29999999999999716</v>
      </c>
    </row>
    <row r="76" spans="1:4" x14ac:dyDescent="0.35">
      <c r="A76" s="70">
        <v>41518</v>
      </c>
      <c r="B76" s="11">
        <v>60.3</v>
      </c>
      <c r="C76" s="14">
        <f t="shared" si="1"/>
        <v>-0.20000000000000284</v>
      </c>
      <c r="D76" s="1">
        <v>8.0000000000000002E-3</v>
      </c>
    </row>
    <row r="77" spans="1:4" x14ac:dyDescent="0.35">
      <c r="A77" s="70">
        <v>41548</v>
      </c>
      <c r="B77" s="11">
        <v>62.5</v>
      </c>
      <c r="C77" s="14">
        <f t="shared" si="1"/>
        <v>2.2000000000000028</v>
      </c>
    </row>
    <row r="78" spans="1:4" x14ac:dyDescent="0.35">
      <c r="A78" s="70">
        <v>41579</v>
      </c>
      <c r="B78" s="11">
        <v>60</v>
      </c>
      <c r="C78" s="14">
        <f t="shared" si="1"/>
        <v>-2.5</v>
      </c>
    </row>
    <row r="79" spans="1:4" x14ac:dyDescent="0.35">
      <c r="A79" s="70">
        <v>41609</v>
      </c>
      <c r="B79" s="11">
        <v>58.8</v>
      </c>
      <c r="C79" s="14">
        <f t="shared" si="1"/>
        <v>-1.2000000000000028</v>
      </c>
      <c r="D79" s="1">
        <v>6.9999999999999993E-3</v>
      </c>
    </row>
    <row r="80" spans="1:4" x14ac:dyDescent="0.35">
      <c r="A80" s="70">
        <v>41640</v>
      </c>
      <c r="B80" s="11">
        <v>58.3</v>
      </c>
      <c r="C80" s="14">
        <f t="shared" si="1"/>
        <v>-0.5</v>
      </c>
    </row>
    <row r="81" spans="1:9" x14ac:dyDescent="0.35">
      <c r="A81" s="70">
        <v>41671</v>
      </c>
      <c r="B81" s="11">
        <v>58.2</v>
      </c>
      <c r="C81" s="14">
        <f t="shared" si="1"/>
        <v>-9.9999999999994316E-2</v>
      </c>
    </row>
    <row r="82" spans="1:9" x14ac:dyDescent="0.35">
      <c r="A82" s="70">
        <v>41699</v>
      </c>
      <c r="B82" s="11">
        <v>57.6</v>
      </c>
      <c r="C82" s="14">
        <f t="shared" si="1"/>
        <v>-0.60000000000000142</v>
      </c>
      <c r="D82" s="1">
        <v>8.0000000000000002E-3</v>
      </c>
    </row>
    <row r="83" spans="1:9" x14ac:dyDescent="0.35">
      <c r="A83" s="70">
        <v>41730</v>
      </c>
      <c r="B83" s="11">
        <v>58.7</v>
      </c>
      <c r="C83" s="14">
        <f t="shared" si="1"/>
        <v>1.1000000000000014</v>
      </c>
    </row>
    <row r="84" spans="1:9" x14ac:dyDescent="0.35">
      <c r="A84" s="70">
        <v>41760</v>
      </c>
      <c r="B84" s="11">
        <v>58.6</v>
      </c>
      <c r="C84" s="14">
        <f t="shared" si="1"/>
        <v>-0.10000000000000142</v>
      </c>
    </row>
    <row r="85" spans="1:9" x14ac:dyDescent="0.35">
      <c r="A85" s="70">
        <v>41791</v>
      </c>
      <c r="B85" s="11">
        <v>57.7</v>
      </c>
      <c r="C85" s="14">
        <f t="shared" si="1"/>
        <v>-0.89999999999999858</v>
      </c>
      <c r="D85" s="1">
        <v>8.0000000000000002E-3</v>
      </c>
      <c r="H85" s="41" t="s">
        <v>37</v>
      </c>
      <c r="I85" t="s">
        <v>60</v>
      </c>
    </row>
    <row r="86" spans="1:9" x14ac:dyDescent="0.35">
      <c r="A86" s="70">
        <v>41821</v>
      </c>
      <c r="B86" s="11">
        <v>59.1</v>
      </c>
      <c r="C86" s="14">
        <f t="shared" si="1"/>
        <v>1.3999999999999986</v>
      </c>
    </row>
    <row r="87" spans="1:9" x14ac:dyDescent="0.35">
      <c r="A87" s="70">
        <v>41852</v>
      </c>
      <c r="B87" s="11">
        <v>60.5</v>
      </c>
      <c r="C87" s="14">
        <f t="shared" si="1"/>
        <v>1.3999999999999986</v>
      </c>
    </row>
    <row r="88" spans="1:9" x14ac:dyDescent="0.35">
      <c r="A88" s="70">
        <v>41883</v>
      </c>
      <c r="B88" s="11">
        <v>58.7</v>
      </c>
      <c r="C88" s="14">
        <f t="shared" si="1"/>
        <v>-1.7999999999999972</v>
      </c>
      <c r="D88" s="1">
        <f>IF(VLOOKUP(I85,Data!$A$30:$H$150,7,FALSE)=A87,VLOOKUP(I85,Data!$A$30:$H$150,2,FALSE)/100,#N/A)</f>
        <v>6.9999999999999993E-3</v>
      </c>
    </row>
    <row r="89" spans="1:9" x14ac:dyDescent="0.35">
      <c r="A89" s="70">
        <v>41913</v>
      </c>
      <c r="B89" s="11">
        <v>56.2</v>
      </c>
      <c r="C89" s="14">
        <f t="shared" si="1"/>
        <v>-2.5</v>
      </c>
    </row>
    <row r="90" spans="1:9" x14ac:dyDescent="0.35">
      <c r="A90" s="70">
        <v>41944</v>
      </c>
      <c r="B90" s="11">
        <v>58.6</v>
      </c>
      <c r="C90" s="14">
        <f t="shared" si="1"/>
        <v>2.3999999999999986</v>
      </c>
    </row>
    <row r="91" spans="1:9" x14ac:dyDescent="0.35">
      <c r="A91" s="71">
        <v>42005</v>
      </c>
      <c r="B91" s="11">
        <v>57.2</v>
      </c>
      <c r="C91" s="14" t="str">
        <f>IF(AND(ISNUMBER(B91),ISNUMBER(#REF!)),B91-#REF!,"")</f>
        <v/>
      </c>
    </row>
    <row r="92" spans="1:9" x14ac:dyDescent="0.35">
      <c r="A92" s="71">
        <v>42036</v>
      </c>
      <c r="B92" s="11">
        <v>56.7</v>
      </c>
      <c r="C92" s="14">
        <f t="shared" si="1"/>
        <v>-0.5</v>
      </c>
    </row>
    <row r="93" spans="1:9" x14ac:dyDescent="0.35">
      <c r="A93" s="71">
        <v>42064</v>
      </c>
      <c r="B93" s="11">
        <v>58.9</v>
      </c>
      <c r="C93" s="14">
        <f t="shared" si="1"/>
        <v>2.1999999999999957</v>
      </c>
    </row>
    <row r="94" spans="1:9" x14ac:dyDescent="0.35">
      <c r="A94" s="71">
        <v>42095</v>
      </c>
      <c r="B94" s="11">
        <v>59.5</v>
      </c>
      <c r="C94" s="14">
        <f t="shared" si="1"/>
        <v>0.60000000000000142</v>
      </c>
    </row>
    <row r="95" spans="1:9" x14ac:dyDescent="0.35">
      <c r="A95" s="71">
        <v>42125</v>
      </c>
      <c r="B95" s="11">
        <v>56.5</v>
      </c>
      <c r="C95" s="14">
        <f t="shared" si="1"/>
        <v>-3</v>
      </c>
    </row>
    <row r="96" spans="1:9" x14ac:dyDescent="0.35">
      <c r="A96" s="71">
        <v>42156</v>
      </c>
      <c r="B96" s="11">
        <v>58.5</v>
      </c>
      <c r="C96" s="14">
        <f t="shared" si="1"/>
        <v>2</v>
      </c>
    </row>
    <row r="97" spans="1:3" x14ac:dyDescent="0.35">
      <c r="A97" s="71">
        <v>42186</v>
      </c>
      <c r="B97" s="11">
        <v>57.4</v>
      </c>
      <c r="C97" s="14">
        <f t="shared" si="1"/>
        <v>-1.1000000000000014</v>
      </c>
    </row>
    <row r="98" spans="1:3" x14ac:dyDescent="0.35">
      <c r="A98" s="71">
        <v>42217</v>
      </c>
      <c r="B98" s="11">
        <v>55.6</v>
      </c>
      <c r="C98" s="14">
        <f t="shared" si="1"/>
        <v>-1.7999999999999972</v>
      </c>
    </row>
    <row r="99" spans="1:3" x14ac:dyDescent="0.35">
      <c r="A99" s="71">
        <v>42248</v>
      </c>
      <c r="B99" s="11">
        <v>53.3</v>
      </c>
      <c r="C99" s="14">
        <f t="shared" si="1"/>
        <v>-2.3000000000000043</v>
      </c>
    </row>
    <row r="100" spans="1:3" x14ac:dyDescent="0.35">
      <c r="A100" s="71">
        <v>42278</v>
      </c>
      <c r="B100" s="11">
        <v>54.9</v>
      </c>
      <c r="C100" s="14">
        <f t="shared" si="1"/>
        <v>1.6000000000000014</v>
      </c>
    </row>
    <row r="101" spans="1:3" x14ac:dyDescent="0.35">
      <c r="A101" s="71">
        <v>42309</v>
      </c>
      <c r="B101" s="11">
        <v>55.9</v>
      </c>
      <c r="C101" s="14">
        <f t="shared" si="1"/>
        <v>1</v>
      </c>
    </row>
    <row r="102" spans="1:3" x14ac:dyDescent="0.35">
      <c r="A102" s="71">
        <v>42339</v>
      </c>
      <c r="B102" s="11">
        <v>55.5</v>
      </c>
      <c r="C102" s="14">
        <f t="shared" si="1"/>
        <v>-0.39999999999999858</v>
      </c>
    </row>
    <row r="103" spans="1:3" x14ac:dyDescent="0.35">
      <c r="A103" s="71">
        <v>42370</v>
      </c>
      <c r="B103" s="11">
        <v>55.6</v>
      </c>
      <c r="C103" s="14">
        <f t="shared" si="1"/>
        <v>0.10000000000000142</v>
      </c>
    </row>
    <row r="104" spans="1:3" x14ac:dyDescent="0.35">
      <c r="A104" s="71">
        <v>42401</v>
      </c>
      <c r="B104" s="11">
        <v>52.7</v>
      </c>
      <c r="C104" s="14">
        <f t="shared" ref="C104:C135" si="2">IF(AND(ISNUMBER(B104),ISNUMBER(B103)),B104-B103,"")</f>
        <v>-2.8999999999999986</v>
      </c>
    </row>
    <row r="105" spans="1:3" x14ac:dyDescent="0.35">
      <c r="A105" s="71">
        <v>42430</v>
      </c>
      <c r="B105" s="11">
        <v>53.7</v>
      </c>
      <c r="C105" s="14">
        <f t="shared" si="2"/>
        <v>1</v>
      </c>
    </row>
    <row r="106" spans="1:3" x14ac:dyDescent="0.35">
      <c r="A106" s="71">
        <v>42461</v>
      </c>
      <c r="B106" s="11">
        <v>52.3</v>
      </c>
      <c r="C106" s="14">
        <f t="shared" si="2"/>
        <v>-1.4000000000000057</v>
      </c>
    </row>
    <row r="107" spans="1:3" x14ac:dyDescent="0.35">
      <c r="A107" s="71">
        <v>42491</v>
      </c>
      <c r="B107" s="11">
        <v>53.5</v>
      </c>
      <c r="C107" s="14">
        <f t="shared" si="2"/>
        <v>1.2000000000000028</v>
      </c>
    </row>
    <row r="108" spans="1:3" x14ac:dyDescent="0.35">
      <c r="A108" s="71">
        <v>42522</v>
      </c>
      <c r="B108" s="11">
        <v>52.3</v>
      </c>
      <c r="C108" s="14">
        <f t="shared" si="2"/>
        <v>-1.2000000000000028</v>
      </c>
    </row>
    <row r="109" spans="1:3" x14ac:dyDescent="0.35">
      <c r="A109" s="71">
        <v>42552</v>
      </c>
      <c r="B109" s="11">
        <v>47.4</v>
      </c>
      <c r="C109" s="14">
        <f t="shared" si="2"/>
        <v>-4.8999999999999986</v>
      </c>
    </row>
    <row r="110" spans="1:3" x14ac:dyDescent="0.35">
      <c r="A110" s="71">
        <v>42583</v>
      </c>
      <c r="B110" s="11">
        <v>52.9</v>
      </c>
      <c r="C110" s="14">
        <f t="shared" si="2"/>
        <v>5.5</v>
      </c>
    </row>
    <row r="111" spans="1:3" x14ac:dyDescent="0.35">
      <c r="A111" s="71">
        <v>42614</v>
      </c>
      <c r="B111" s="11">
        <v>52.6</v>
      </c>
      <c r="C111" s="14">
        <f t="shared" si="2"/>
        <v>-0.29999999999999716</v>
      </c>
    </row>
    <row r="112" spans="1:3" x14ac:dyDescent="0.35">
      <c r="A112" s="71">
        <v>42644</v>
      </c>
      <c r="B112" s="11">
        <v>54.5</v>
      </c>
      <c r="C112" s="14">
        <f t="shared" si="2"/>
        <v>1.8999999999999986</v>
      </c>
    </row>
    <row r="113" spans="1:3" x14ac:dyDescent="0.35">
      <c r="A113" s="71">
        <v>42675</v>
      </c>
      <c r="B113" s="11">
        <v>55.2</v>
      </c>
      <c r="C113" s="14">
        <f t="shared" si="2"/>
        <v>0.70000000000000284</v>
      </c>
    </row>
    <row r="114" spans="1:3" x14ac:dyDescent="0.35">
      <c r="A114" s="71">
        <v>42705</v>
      </c>
      <c r="B114" s="11">
        <v>56.2</v>
      </c>
      <c r="C114" s="14">
        <f t="shared" si="2"/>
        <v>1</v>
      </c>
    </row>
    <row r="115" spans="1:3" x14ac:dyDescent="0.35">
      <c r="A115" s="71">
        <v>42736</v>
      </c>
      <c r="B115" s="11">
        <v>54.5</v>
      </c>
      <c r="C115" s="14">
        <f t="shared" si="2"/>
        <v>-1.7000000000000028</v>
      </c>
    </row>
    <row r="116" spans="1:3" x14ac:dyDescent="0.35">
      <c r="A116" s="71">
        <v>42767</v>
      </c>
      <c r="B116" s="11">
        <v>53.3</v>
      </c>
      <c r="C116" s="14">
        <f t="shared" si="2"/>
        <v>-1.2000000000000028</v>
      </c>
    </row>
    <row r="117" spans="1:3" x14ac:dyDescent="0.35">
      <c r="A117" s="71">
        <v>42795</v>
      </c>
      <c r="B117" s="11">
        <v>55</v>
      </c>
      <c r="C117" s="14">
        <f t="shared" si="2"/>
        <v>1.7000000000000028</v>
      </c>
    </row>
    <row r="118" spans="1:3" x14ac:dyDescent="0.35">
      <c r="A118" s="71">
        <v>42826</v>
      </c>
      <c r="B118" s="11">
        <v>55.8</v>
      </c>
      <c r="C118" s="14">
        <f t="shared" si="2"/>
        <v>0.79999999999999716</v>
      </c>
    </row>
    <row r="119" spans="1:3" x14ac:dyDescent="0.35">
      <c r="A119" s="71">
        <v>42856</v>
      </c>
      <c r="B119" s="11">
        <v>53.8</v>
      </c>
      <c r="C119" s="14">
        <f t="shared" si="2"/>
        <v>-2</v>
      </c>
    </row>
    <row r="120" spans="1:3" x14ac:dyDescent="0.35">
      <c r="A120" s="71">
        <v>42887</v>
      </c>
      <c r="B120" s="11">
        <v>53.4</v>
      </c>
      <c r="C120" s="14">
        <f t="shared" si="2"/>
        <v>-0.39999999999999858</v>
      </c>
    </row>
    <row r="121" spans="1:3" x14ac:dyDescent="0.35">
      <c r="A121" s="71">
        <v>42917</v>
      </c>
      <c r="B121" s="11">
        <v>53.8</v>
      </c>
      <c r="C121" s="14">
        <f t="shared" si="2"/>
        <v>0.39999999999999858</v>
      </c>
    </row>
    <row r="122" spans="1:3" x14ac:dyDescent="0.35">
      <c r="A122" s="71">
        <v>42948</v>
      </c>
      <c r="B122" s="11">
        <v>53.2</v>
      </c>
      <c r="C122" s="14">
        <f t="shared" si="2"/>
        <v>-0.59999999999999432</v>
      </c>
    </row>
    <row r="123" spans="1:3" x14ac:dyDescent="0.35">
      <c r="A123" s="71">
        <v>42979</v>
      </c>
      <c r="B123" s="11">
        <v>53.6</v>
      </c>
      <c r="C123" s="14">
        <f t="shared" si="2"/>
        <v>0.39999999999999858</v>
      </c>
    </row>
    <row r="124" spans="1:3" x14ac:dyDescent="0.35">
      <c r="A124" s="71">
        <v>43009</v>
      </c>
      <c r="B124" s="11">
        <v>55.6</v>
      </c>
      <c r="C124" s="14">
        <f t="shared" si="2"/>
        <v>2</v>
      </c>
    </row>
    <row r="125" spans="1:3" x14ac:dyDescent="0.35">
      <c r="A125" s="71">
        <v>43040</v>
      </c>
      <c r="B125" s="11">
        <v>53.8</v>
      </c>
      <c r="C125" s="14">
        <f t="shared" si="2"/>
        <v>-1.8000000000000043</v>
      </c>
    </row>
    <row r="126" spans="1:3" x14ac:dyDescent="0.35">
      <c r="A126" s="71">
        <v>43070</v>
      </c>
      <c r="B126" s="11">
        <v>54.2</v>
      </c>
      <c r="C126" s="14">
        <f t="shared" si="2"/>
        <v>0.40000000000000568</v>
      </c>
    </row>
    <row r="127" spans="1:3" x14ac:dyDescent="0.35">
      <c r="A127" s="71">
        <v>43101</v>
      </c>
      <c r="B127" s="11">
        <v>53</v>
      </c>
      <c r="C127" s="14">
        <f t="shared" si="2"/>
        <v>-1.2000000000000028</v>
      </c>
    </row>
    <row r="128" spans="1:3" x14ac:dyDescent="0.35">
      <c r="A128" s="71">
        <v>43132</v>
      </c>
      <c r="B128" s="11">
        <v>54.5</v>
      </c>
      <c r="C128" s="14">
        <f t="shared" si="2"/>
        <v>1.5</v>
      </c>
    </row>
    <row r="129" spans="1:3" x14ac:dyDescent="0.35">
      <c r="A129" s="71">
        <v>43160</v>
      </c>
      <c r="B129" s="11">
        <v>51.7</v>
      </c>
      <c r="C129" s="14">
        <f t="shared" si="2"/>
        <v>-2.7999999999999972</v>
      </c>
    </row>
    <row r="130" spans="1:3" x14ac:dyDescent="0.35">
      <c r="A130" s="71">
        <v>43191</v>
      </c>
      <c r="B130" s="11">
        <v>52.8</v>
      </c>
      <c r="C130" s="14">
        <f t="shared" si="2"/>
        <v>1.0999999999999943</v>
      </c>
    </row>
    <row r="131" spans="1:3" x14ac:dyDescent="0.35">
      <c r="A131" s="71">
        <v>43221</v>
      </c>
      <c r="B131" s="11">
        <v>54</v>
      </c>
      <c r="C131" s="14">
        <f t="shared" si="2"/>
        <v>1.2000000000000028</v>
      </c>
    </row>
    <row r="132" spans="1:3" x14ac:dyDescent="0.35">
      <c r="A132" s="71">
        <v>43252</v>
      </c>
      <c r="B132" s="11">
        <v>55.1</v>
      </c>
      <c r="C132" s="14">
        <f t="shared" si="2"/>
        <v>1.1000000000000014</v>
      </c>
    </row>
    <row r="133" spans="1:3" x14ac:dyDescent="0.35">
      <c r="A133" s="71">
        <v>43282</v>
      </c>
      <c r="B133" s="11">
        <v>53.5</v>
      </c>
      <c r="C133" s="14">
        <f t="shared" si="2"/>
        <v>-1.6000000000000014</v>
      </c>
    </row>
    <row r="134" spans="1:3" x14ac:dyDescent="0.35">
      <c r="A134" s="71">
        <v>43313</v>
      </c>
      <c r="B134" s="11">
        <v>54.3</v>
      </c>
      <c r="C134" s="14">
        <f t="shared" si="2"/>
        <v>0.79999999999999716</v>
      </c>
    </row>
    <row r="135" spans="1:3" x14ac:dyDescent="0.35">
      <c r="A135" s="71">
        <v>43344</v>
      </c>
      <c r="B135" s="11">
        <v>53.9</v>
      </c>
      <c r="C135" s="14">
        <f t="shared" si="2"/>
        <v>-0.39999999999999858</v>
      </c>
    </row>
    <row r="136" spans="1:3" x14ac:dyDescent="0.35">
      <c r="A136" s="71">
        <v>43374</v>
      </c>
      <c r="B136" s="11">
        <v>52.2</v>
      </c>
      <c r="C136" s="14">
        <f t="shared" ref="C136:C167" si="3">IF(AND(ISNUMBER(B136),ISNUMBER(B135)),B136-B135,"")</f>
        <v>-1.6999999999999957</v>
      </c>
    </row>
    <row r="137" spans="1:3" x14ac:dyDescent="0.35">
      <c r="A137" s="71">
        <v>43405</v>
      </c>
      <c r="B137" s="11">
        <v>50.4</v>
      </c>
      <c r="C137" s="14">
        <f t="shared" si="3"/>
        <v>-1.8000000000000043</v>
      </c>
    </row>
    <row r="138" spans="1:3" x14ac:dyDescent="0.35">
      <c r="A138" s="71">
        <v>43435</v>
      </c>
      <c r="B138" s="11">
        <v>51.2</v>
      </c>
      <c r="C138" s="14">
        <f t="shared" si="3"/>
        <v>0.80000000000000426</v>
      </c>
    </row>
    <row r="139" spans="1:3" x14ac:dyDescent="0.35">
      <c r="A139" s="71">
        <v>43466</v>
      </c>
      <c r="B139" s="11">
        <v>50.1</v>
      </c>
      <c r="C139" s="14">
        <f t="shared" si="3"/>
        <v>-1.1000000000000014</v>
      </c>
    </row>
    <row r="140" spans="1:3" x14ac:dyDescent="0.35">
      <c r="A140" s="71">
        <v>43497</v>
      </c>
      <c r="B140" s="11">
        <v>51.3</v>
      </c>
      <c r="C140" s="14">
        <f t="shared" si="3"/>
        <v>1.1999999999999957</v>
      </c>
    </row>
    <row r="141" spans="1:3" x14ac:dyDescent="0.35">
      <c r="A141" s="71">
        <v>43525</v>
      </c>
      <c r="B141" s="11">
        <v>48.9</v>
      </c>
      <c r="C141" s="14">
        <f t="shared" si="3"/>
        <v>-2.3999999999999986</v>
      </c>
    </row>
    <row r="142" spans="1:3" x14ac:dyDescent="0.35">
      <c r="A142" s="71">
        <v>43556</v>
      </c>
      <c r="B142" s="11">
        <v>50.4</v>
      </c>
      <c r="C142" s="14">
        <f t="shared" si="3"/>
        <v>1.5</v>
      </c>
    </row>
    <row r="143" spans="1:3" x14ac:dyDescent="0.35">
      <c r="A143" s="71">
        <v>43586</v>
      </c>
      <c r="B143" s="11">
        <v>51</v>
      </c>
      <c r="C143" s="14">
        <f t="shared" si="3"/>
        <v>0.60000000000000142</v>
      </c>
    </row>
    <row r="144" spans="1:3" x14ac:dyDescent="0.35">
      <c r="A144" s="71">
        <v>43617</v>
      </c>
      <c r="B144" s="11">
        <v>50.2</v>
      </c>
      <c r="C144" s="14">
        <f t="shared" si="3"/>
        <v>-0.79999999999999716</v>
      </c>
    </row>
    <row r="145" spans="1:3" x14ac:dyDescent="0.35">
      <c r="A145" s="71">
        <v>43647</v>
      </c>
      <c r="B145" s="11">
        <v>51.4</v>
      </c>
      <c r="C145" s="14">
        <f t="shared" si="3"/>
        <v>1.1999999999999957</v>
      </c>
    </row>
    <row r="146" spans="1:3" x14ac:dyDescent="0.35">
      <c r="A146" s="71">
        <v>43678</v>
      </c>
      <c r="B146" s="11">
        <v>50.6</v>
      </c>
      <c r="C146" s="14">
        <f t="shared" si="3"/>
        <v>-0.79999999999999716</v>
      </c>
    </row>
    <row r="147" spans="1:3" x14ac:dyDescent="0.35">
      <c r="A147" s="71">
        <v>43709</v>
      </c>
      <c r="B147" s="11">
        <v>49.5</v>
      </c>
      <c r="C147" s="14">
        <f t="shared" si="3"/>
        <v>-1.1000000000000014</v>
      </c>
    </row>
    <row r="148" spans="1:3" x14ac:dyDescent="0.35">
      <c r="A148" s="71">
        <v>43739</v>
      </c>
      <c r="B148" s="11">
        <v>50</v>
      </c>
      <c r="C148" s="14">
        <f t="shared" si="3"/>
        <v>0.5</v>
      </c>
    </row>
    <row r="149" spans="1:3" x14ac:dyDescent="0.35">
      <c r="A149" s="71">
        <v>43770</v>
      </c>
      <c r="B149" s="11">
        <v>49.3</v>
      </c>
      <c r="C149" s="14">
        <f t="shared" si="3"/>
        <v>-0.70000000000000284</v>
      </c>
    </row>
    <row r="150" spans="1:3" x14ac:dyDescent="0.35">
      <c r="A150" s="71">
        <v>43800</v>
      </c>
      <c r="B150" s="11">
        <v>50</v>
      </c>
      <c r="C150" s="14">
        <f t="shared" si="3"/>
        <v>0.70000000000000284</v>
      </c>
    </row>
    <row r="151" spans="1:3" x14ac:dyDescent="0.35">
      <c r="A151" s="71">
        <v>43831</v>
      </c>
      <c r="B151" s="11">
        <v>53.9</v>
      </c>
      <c r="C151" s="14">
        <f t="shared" si="3"/>
        <v>3.8999999999999986</v>
      </c>
    </row>
    <row r="152" spans="1:3" x14ac:dyDescent="0.35">
      <c r="A152" s="71">
        <v>43862</v>
      </c>
      <c r="B152" s="11">
        <v>53.2</v>
      </c>
      <c r="C152" s="14">
        <f t="shared" si="3"/>
        <v>-0.69999999999999574</v>
      </c>
    </row>
    <row r="153" spans="1:3" x14ac:dyDescent="0.35">
      <c r="A153" s="71">
        <v>43891</v>
      </c>
      <c r="B153" s="11">
        <v>34.5</v>
      </c>
      <c r="C153" s="14">
        <f t="shared" si="3"/>
        <v>-18.700000000000003</v>
      </c>
    </row>
    <row r="154" spans="1:3" x14ac:dyDescent="0.35">
      <c r="A154" s="71">
        <v>43922</v>
      </c>
      <c r="B154" s="11">
        <v>13.4</v>
      </c>
      <c r="C154" s="14">
        <f t="shared" si="3"/>
        <v>-21.1</v>
      </c>
    </row>
    <row r="155" spans="1:3" x14ac:dyDescent="0.35">
      <c r="A155" s="71">
        <v>43952</v>
      </c>
      <c r="B155" s="11">
        <v>29</v>
      </c>
      <c r="C155" s="14">
        <f t="shared" si="3"/>
        <v>15.6</v>
      </c>
    </row>
    <row r="156" spans="1:3" x14ac:dyDescent="0.35">
      <c r="A156" s="71">
        <v>43983</v>
      </c>
      <c r="B156" s="11">
        <v>47.1</v>
      </c>
      <c r="C156" s="14">
        <f t="shared" si="3"/>
        <v>18.100000000000001</v>
      </c>
    </row>
    <row r="157" spans="1:3" x14ac:dyDescent="0.35">
      <c r="A157" s="71">
        <v>44013</v>
      </c>
      <c r="B157" s="11">
        <v>56.5</v>
      </c>
      <c r="C157" s="14">
        <f t="shared" si="3"/>
        <v>9.3999999999999986</v>
      </c>
    </row>
    <row r="158" spans="1:3" x14ac:dyDescent="0.35">
      <c r="A158" s="71">
        <v>44044</v>
      </c>
      <c r="B158" s="11">
        <v>58.8</v>
      </c>
      <c r="C158" s="14">
        <f t="shared" si="3"/>
        <v>2.2999999999999972</v>
      </c>
    </row>
    <row r="159" spans="1:3" x14ac:dyDescent="0.35">
      <c r="A159" s="71">
        <v>44075</v>
      </c>
      <c r="B159" s="11">
        <v>56.1</v>
      </c>
      <c r="C159" s="14">
        <f t="shared" si="3"/>
        <v>-2.6999999999999957</v>
      </c>
    </row>
    <row r="160" spans="1:3" x14ac:dyDescent="0.35">
      <c r="A160" s="71">
        <v>44105</v>
      </c>
      <c r="B160" s="11">
        <v>51.4</v>
      </c>
      <c r="C160" s="14">
        <f t="shared" si="3"/>
        <v>-4.7000000000000028</v>
      </c>
    </row>
    <row r="161" spans="1:3" x14ac:dyDescent="0.35">
      <c r="A161" s="71">
        <v>44136</v>
      </c>
      <c r="B161" s="11">
        <v>47.6</v>
      </c>
      <c r="C161" s="14">
        <f t="shared" si="3"/>
        <v>-3.7999999999999972</v>
      </c>
    </row>
    <row r="162" spans="1:3" x14ac:dyDescent="0.35">
      <c r="A162" s="71">
        <v>44166</v>
      </c>
      <c r="B162" s="11">
        <v>49.4</v>
      </c>
      <c r="C162" s="14">
        <f t="shared" si="3"/>
        <v>1.7999999999999972</v>
      </c>
    </row>
    <row r="163" spans="1:3" x14ac:dyDescent="0.35">
      <c r="A163" s="71">
        <v>44197</v>
      </c>
      <c r="B163" s="11">
        <v>39.5</v>
      </c>
      <c r="C163" s="14">
        <f t="shared" si="3"/>
        <v>-9.8999999999999986</v>
      </c>
    </row>
    <row r="164" spans="1:3" x14ac:dyDescent="0.35">
      <c r="A164" s="71">
        <v>44228</v>
      </c>
      <c r="B164" s="11">
        <v>49.5</v>
      </c>
      <c r="C164" s="14">
        <f t="shared" si="3"/>
        <v>10</v>
      </c>
    </row>
    <row r="165" spans="1:3" x14ac:dyDescent="0.35">
      <c r="A165" s="71">
        <v>44256</v>
      </c>
      <c r="B165" s="11">
        <v>56.3</v>
      </c>
      <c r="C165" s="14">
        <f t="shared" si="3"/>
        <v>6.7999999999999972</v>
      </c>
    </row>
    <row r="166" spans="1:3" x14ac:dyDescent="0.35">
      <c r="A166" s="71">
        <v>44287</v>
      </c>
      <c r="B166" s="11">
        <v>61</v>
      </c>
      <c r="C166" s="14">
        <f t="shared" si="3"/>
        <v>4.7000000000000028</v>
      </c>
    </row>
    <row r="167" spans="1:3" x14ac:dyDescent="0.35">
      <c r="A167" s="71">
        <v>44317</v>
      </c>
      <c r="B167" s="11">
        <v>62.9</v>
      </c>
      <c r="C167" s="14">
        <f t="shared" si="3"/>
        <v>1.8999999999999986</v>
      </c>
    </row>
    <row r="168" spans="1:3" x14ac:dyDescent="0.35">
      <c r="A168" s="71">
        <v>44348</v>
      </c>
      <c r="B168" s="11">
        <v>62.4</v>
      </c>
      <c r="C168" s="14">
        <f t="shared" ref="C168:C199" si="4">IF(AND(ISNUMBER(B168),ISNUMBER(B167)),B168-B167,"")</f>
        <v>-0.5</v>
      </c>
    </row>
    <row r="169" spans="1:3" x14ac:dyDescent="0.35">
      <c r="A169" s="71">
        <v>44378</v>
      </c>
      <c r="B169" s="11">
        <v>59.6</v>
      </c>
      <c r="C169" s="14">
        <f t="shared" si="4"/>
        <v>-2.7999999999999972</v>
      </c>
    </row>
    <row r="170" spans="1:3" x14ac:dyDescent="0.35">
      <c r="A170" s="71">
        <v>44409</v>
      </c>
      <c r="B170" s="11">
        <v>55</v>
      </c>
      <c r="C170" s="14">
        <f t="shared" si="4"/>
        <v>-4.6000000000000014</v>
      </c>
    </row>
    <row r="171" spans="1:3" x14ac:dyDescent="0.35">
      <c r="A171" s="71">
        <v>44440</v>
      </c>
      <c r="B171" s="11">
        <v>55.4</v>
      </c>
      <c r="C171" s="14">
        <f t="shared" si="4"/>
        <v>0.39999999999999858</v>
      </c>
    </row>
    <row r="172" spans="1:3" x14ac:dyDescent="0.35">
      <c r="A172" s="71">
        <v>44470</v>
      </c>
      <c r="B172" s="11">
        <v>59.1</v>
      </c>
      <c r="C172" s="14">
        <f t="shared" si="4"/>
        <v>3.7000000000000028</v>
      </c>
    </row>
    <row r="173" spans="1:3" x14ac:dyDescent="0.35">
      <c r="A173" s="71">
        <v>44501</v>
      </c>
      <c r="B173" s="11">
        <v>58.5</v>
      </c>
      <c r="C173" s="14">
        <f t="shared" si="4"/>
        <v>-0.60000000000000142</v>
      </c>
    </row>
    <row r="174" spans="1:3" x14ac:dyDescent="0.35">
      <c r="A174" s="71">
        <v>44531</v>
      </c>
      <c r="B174" s="11">
        <v>53.6</v>
      </c>
      <c r="C174" s="14">
        <f t="shared" si="4"/>
        <v>-4.8999999999999986</v>
      </c>
    </row>
    <row r="175" spans="1:3" x14ac:dyDescent="0.35">
      <c r="A175" s="71">
        <v>44562</v>
      </c>
      <c r="B175" s="11">
        <v>54.1</v>
      </c>
      <c r="C175" s="14">
        <f t="shared" si="4"/>
        <v>0.5</v>
      </c>
    </row>
    <row r="176" spans="1:3" x14ac:dyDescent="0.35">
      <c r="A176" s="71">
        <v>44593</v>
      </c>
      <c r="B176" s="11">
        <v>60.5</v>
      </c>
      <c r="C176" s="14">
        <f t="shared" si="4"/>
        <v>6.3999999999999986</v>
      </c>
    </row>
    <row r="177" spans="1:3" x14ac:dyDescent="0.35">
      <c r="A177" s="71">
        <v>44621</v>
      </c>
      <c r="B177" s="11">
        <v>62.6</v>
      </c>
      <c r="C177" s="14">
        <f t="shared" si="4"/>
        <v>2.1000000000000014</v>
      </c>
    </row>
    <row r="178" spans="1:3" x14ac:dyDescent="0.35">
      <c r="A178" s="71">
        <v>44652</v>
      </c>
      <c r="B178" s="11">
        <v>58.9</v>
      </c>
      <c r="C178" s="14">
        <f t="shared" si="4"/>
        <v>-3.7000000000000028</v>
      </c>
    </row>
    <row r="179" spans="1:3" x14ac:dyDescent="0.35">
      <c r="A179" s="71">
        <v>44682</v>
      </c>
      <c r="B179" s="11">
        <v>53.4</v>
      </c>
      <c r="C179" s="14">
        <f t="shared" si="4"/>
        <v>-5.5</v>
      </c>
    </row>
    <row r="180" spans="1:3" x14ac:dyDescent="0.35">
      <c r="A180" s="71">
        <v>44713</v>
      </c>
      <c r="B180" s="11">
        <v>54.3</v>
      </c>
      <c r="C180" s="14">
        <f t="shared" si="4"/>
        <v>0.89999999999999858</v>
      </c>
    </row>
    <row r="181" spans="1:3" x14ac:dyDescent="0.35">
      <c r="A181" s="71">
        <v>44743</v>
      </c>
      <c r="B181" s="11">
        <v>52.6</v>
      </c>
      <c r="C181" s="14">
        <f t="shared" si="4"/>
        <v>-1.6999999999999957</v>
      </c>
    </row>
    <row r="182" spans="1:3" x14ac:dyDescent="0.35">
      <c r="A182" s="71">
        <v>44774</v>
      </c>
      <c r="B182" s="11">
        <v>50.9</v>
      </c>
      <c r="C182" s="14">
        <f t="shared" si="4"/>
        <v>-1.7000000000000028</v>
      </c>
    </row>
    <row r="183" spans="1:3" x14ac:dyDescent="0.35">
      <c r="A183" s="71">
        <v>44805</v>
      </c>
      <c r="B183" s="11">
        <v>50</v>
      </c>
      <c r="C183" s="14">
        <f t="shared" si="4"/>
        <v>-0.89999999999999858</v>
      </c>
    </row>
    <row r="184" spans="1:3" x14ac:dyDescent="0.35">
      <c r="A184" s="71">
        <v>44835</v>
      </c>
      <c r="B184" s="11">
        <v>48.8</v>
      </c>
      <c r="C184" s="14">
        <f t="shared" si="4"/>
        <v>-1.2000000000000028</v>
      </c>
    </row>
    <row r="185" spans="1:3" x14ac:dyDescent="0.35">
      <c r="A185" s="71">
        <v>44866</v>
      </c>
      <c r="B185" s="11">
        <v>48.8</v>
      </c>
      <c r="C185" s="14">
        <f t="shared" si="4"/>
        <v>0</v>
      </c>
    </row>
    <row r="186" spans="1:3" x14ac:dyDescent="0.35">
      <c r="A186" s="71">
        <v>44896</v>
      </c>
      <c r="B186" s="11">
        <v>49.9</v>
      </c>
      <c r="C186" s="14">
        <f t="shared" si="4"/>
        <v>1.1000000000000014</v>
      </c>
    </row>
    <row r="187" spans="1:3" x14ac:dyDescent="0.35">
      <c r="A187" s="71">
        <v>44927</v>
      </c>
      <c r="B187" s="11">
        <v>48.7</v>
      </c>
      <c r="C187" s="14">
        <f t="shared" si="4"/>
        <v>-1.1999999999999957</v>
      </c>
    </row>
    <row r="188" spans="1:3" x14ac:dyDescent="0.35">
      <c r="A188" s="71">
        <v>44958</v>
      </c>
      <c r="B188" s="11">
        <v>53.5</v>
      </c>
      <c r="C188" s="14">
        <f t="shared" si="4"/>
        <v>4.7999999999999972</v>
      </c>
    </row>
    <row r="189" spans="1:3" x14ac:dyDescent="0.35">
      <c r="A189" s="71">
        <v>44986</v>
      </c>
      <c r="B189" s="11">
        <v>52.9</v>
      </c>
      <c r="C189" s="14">
        <f t="shared" si="4"/>
        <v>-0.60000000000000142</v>
      </c>
    </row>
    <row r="190" spans="1:3" x14ac:dyDescent="0.35">
      <c r="A190" s="71">
        <v>45017</v>
      </c>
      <c r="B190" s="11">
        <v>55.9</v>
      </c>
      <c r="C190" s="14">
        <f t="shared" si="4"/>
        <v>3</v>
      </c>
    </row>
    <row r="191" spans="1:3" x14ac:dyDescent="0.35">
      <c r="A191" s="71">
        <v>45047</v>
      </c>
      <c r="B191" s="11">
        <v>55.2</v>
      </c>
      <c r="C191" s="14">
        <f t="shared" si="4"/>
        <v>-0.69999999999999574</v>
      </c>
    </row>
    <row r="192" spans="1:3" x14ac:dyDescent="0.35">
      <c r="A192" s="71">
        <v>45078</v>
      </c>
      <c r="B192" s="11">
        <v>53.7</v>
      </c>
      <c r="C192" s="14">
        <f t="shared" si="4"/>
        <v>-1.5</v>
      </c>
    </row>
    <row r="193" spans="1:3" x14ac:dyDescent="0.35">
      <c r="A193" s="71">
        <v>45108</v>
      </c>
      <c r="B193" s="11">
        <v>51.5</v>
      </c>
      <c r="C193" s="14">
        <f t="shared" si="4"/>
        <v>-2.2000000000000028</v>
      </c>
    </row>
    <row r="194" spans="1:3" x14ac:dyDescent="0.35">
      <c r="A194" s="71">
        <v>45139</v>
      </c>
      <c r="B194" s="11">
        <v>49.5</v>
      </c>
      <c r="C194" s="14">
        <f t="shared" si="4"/>
        <v>-2</v>
      </c>
    </row>
    <row r="195" spans="1:3" x14ac:dyDescent="0.35">
      <c r="A195" s="71">
        <v>45170</v>
      </c>
      <c r="B195" s="11">
        <v>49.3</v>
      </c>
      <c r="C195" s="14">
        <f t="shared" si="4"/>
        <v>-0.20000000000000284</v>
      </c>
    </row>
    <row r="196" spans="1:3" x14ac:dyDescent="0.35">
      <c r="A196" s="71">
        <v>45200</v>
      </c>
      <c r="B196" s="11">
        <v>49.5</v>
      </c>
      <c r="C196" s="14">
        <f t="shared" si="4"/>
        <v>0.20000000000000284</v>
      </c>
    </row>
    <row r="197" spans="1:3" x14ac:dyDescent="0.35">
      <c r="A197" s="71">
        <v>45231</v>
      </c>
      <c r="B197" s="11">
        <v>50.9</v>
      </c>
      <c r="C197" s="14">
        <f t="shared" si="4"/>
        <v>1.3999999999999986</v>
      </c>
    </row>
    <row r="198" spans="1:3" x14ac:dyDescent="0.35">
      <c r="A198" s="71">
        <v>45261</v>
      </c>
      <c r="B198" s="11">
        <v>53.4</v>
      </c>
      <c r="C198" s="14">
        <f t="shared" si="4"/>
        <v>2.5</v>
      </c>
    </row>
    <row r="199" spans="1:3" x14ac:dyDescent="0.35">
      <c r="A199" s="71">
        <v>45292</v>
      </c>
      <c r="B199" s="11">
        <v>54.3</v>
      </c>
      <c r="C199" s="14">
        <f t="shared" si="4"/>
        <v>0.89999999999999858</v>
      </c>
    </row>
    <row r="200" spans="1:3" x14ac:dyDescent="0.35">
      <c r="A200" s="71">
        <v>45323</v>
      </c>
      <c r="B200" s="11">
        <v>53.8</v>
      </c>
      <c r="C200" s="14">
        <f t="shared" ref="C200:C228" si="5">IF(AND(ISNUMBER(B200),ISNUMBER(B199)),B200-B199,"")</f>
        <v>-0.5</v>
      </c>
    </row>
    <row r="201" spans="1:3" x14ac:dyDescent="0.35">
      <c r="A201" s="71">
        <v>45352</v>
      </c>
      <c r="B201" s="11">
        <v>53.1</v>
      </c>
      <c r="C201" s="14">
        <f t="shared" si="5"/>
        <v>-0.69999999999999574</v>
      </c>
    </row>
    <row r="202" spans="1:3" x14ac:dyDescent="0.35">
      <c r="A202" s="71">
        <v>45383</v>
      </c>
      <c r="B202" s="11">
        <v>55</v>
      </c>
      <c r="C202" s="14">
        <f t="shared" si="5"/>
        <v>1.8999999999999986</v>
      </c>
    </row>
    <row r="203" spans="1:3" x14ac:dyDescent="0.35">
      <c r="A203" s="71">
        <v>45413</v>
      </c>
      <c r="B203" s="11">
        <v>52.9</v>
      </c>
      <c r="C203" s="14">
        <f t="shared" si="5"/>
        <v>-2.1000000000000014</v>
      </c>
    </row>
    <row r="204" spans="1:3" x14ac:dyDescent="0.35">
      <c r="A204" s="71">
        <v>45444</v>
      </c>
      <c r="B204" s="11">
        <v>52.1</v>
      </c>
      <c r="C204" s="14">
        <f t="shared" si="5"/>
        <v>-0.79999999999999716</v>
      </c>
    </row>
    <row r="205" spans="1:3" x14ac:dyDescent="0.35">
      <c r="A205" s="71">
        <v>45474</v>
      </c>
      <c r="B205" s="11">
        <v>52.5</v>
      </c>
      <c r="C205" s="14">
        <f t="shared" si="5"/>
        <v>0.39999999999999858</v>
      </c>
    </row>
    <row r="206" spans="1:3" x14ac:dyDescent="0.35">
      <c r="A206" s="71">
        <v>45505</v>
      </c>
      <c r="B206" s="11">
        <v>53.7</v>
      </c>
      <c r="C206" s="14">
        <f t="shared" si="5"/>
        <v>1.2000000000000028</v>
      </c>
    </row>
    <row r="207" spans="1:3" x14ac:dyDescent="0.35">
      <c r="A207" s="71">
        <v>45536</v>
      </c>
      <c r="B207" s="11">
        <v>52.4</v>
      </c>
      <c r="C207" s="14">
        <f t="shared" si="5"/>
        <v>-1.3000000000000043</v>
      </c>
    </row>
    <row r="208" spans="1:3" x14ac:dyDescent="0.35">
      <c r="A208" s="71">
        <v>45566</v>
      </c>
      <c r="B208" s="11">
        <v>52</v>
      </c>
      <c r="C208" s="14">
        <f t="shared" si="5"/>
        <v>-0.39999999999999858</v>
      </c>
    </row>
    <row r="209" spans="1:3" x14ac:dyDescent="0.35">
      <c r="A209" s="71">
        <v>45597</v>
      </c>
      <c r="B209" s="11">
        <v>50.8</v>
      </c>
      <c r="C209" s="14">
        <f t="shared" si="5"/>
        <v>-1.2000000000000028</v>
      </c>
    </row>
    <row r="210" spans="1:3" x14ac:dyDescent="0.35">
      <c r="A210" s="71">
        <v>45627</v>
      </c>
      <c r="B210" s="11">
        <v>51.1</v>
      </c>
      <c r="C210" s="14">
        <f t="shared" si="5"/>
        <v>0.30000000000000426</v>
      </c>
    </row>
    <row r="211" spans="1:3" x14ac:dyDescent="0.35">
      <c r="A211" s="71">
        <v>45658</v>
      </c>
      <c r="B211" s="11">
        <v>50.8</v>
      </c>
      <c r="C211" s="14">
        <f t="shared" si="5"/>
        <v>-0.30000000000000426</v>
      </c>
    </row>
    <row r="212" spans="1:3" x14ac:dyDescent="0.35">
      <c r="A212" s="71">
        <v>45689</v>
      </c>
      <c r="B212" s="11">
        <v>51</v>
      </c>
      <c r="C212" s="14">
        <f t="shared" si="5"/>
        <v>0.20000000000000284</v>
      </c>
    </row>
    <row r="213" spans="1:3" x14ac:dyDescent="0.35">
      <c r="A213" s="71">
        <v>45717</v>
      </c>
      <c r="B213" s="11">
        <v>52.5</v>
      </c>
      <c r="C213" s="14">
        <f t="shared" si="5"/>
        <v>1.5</v>
      </c>
    </row>
    <row r="214" spans="1:3" x14ac:dyDescent="0.35">
      <c r="A214" s="71">
        <v>45748</v>
      </c>
      <c r="B214" s="11">
        <v>49</v>
      </c>
      <c r="C214" s="14">
        <f t="shared" si="5"/>
        <v>-3.5</v>
      </c>
    </row>
    <row r="215" spans="1:3" x14ac:dyDescent="0.35">
      <c r="A215" s="71">
        <v>45778</v>
      </c>
      <c r="B215" s="11">
        <v>50.9</v>
      </c>
      <c r="C215" s="14">
        <f t="shared" si="5"/>
        <v>1.8999999999999986</v>
      </c>
    </row>
    <row r="216" spans="1:3" x14ac:dyDescent="0.35">
      <c r="A216" s="71">
        <v>45809</v>
      </c>
      <c r="B216" s="11">
        <v>52.8</v>
      </c>
      <c r="C216" s="14">
        <f t="shared" si="5"/>
        <v>1.8999999999999986</v>
      </c>
    </row>
    <row r="217" spans="1:3" x14ac:dyDescent="0.35">
      <c r="A217" s="71">
        <v>45839</v>
      </c>
      <c r="B217" s="11">
        <v>51.8</v>
      </c>
      <c r="C217" s="14">
        <f t="shared" si="5"/>
        <v>-1</v>
      </c>
    </row>
    <row r="218" spans="1:3" x14ac:dyDescent="0.35">
      <c r="A218" s="71">
        <v>45870</v>
      </c>
      <c r="B218" s="11">
        <v>54.2</v>
      </c>
      <c r="C218" s="14">
        <f t="shared" si="5"/>
        <v>2.4000000000000057</v>
      </c>
    </row>
    <row r="219" spans="1:3" x14ac:dyDescent="0.35">
      <c r="A219" s="71">
        <v>45901</v>
      </c>
      <c r="B219" s="11">
        <v>50.8</v>
      </c>
      <c r="C219" s="14">
        <f t="shared" si="5"/>
        <v>-3.4000000000000057</v>
      </c>
    </row>
    <row r="220" spans="1:3" x14ac:dyDescent="0.35">
      <c r="A220" s="71">
        <v>45931</v>
      </c>
      <c r="B220" s="11">
        <v>52.3</v>
      </c>
      <c r="C220" s="14">
        <f t="shared" si="5"/>
        <v>1.5</v>
      </c>
    </row>
    <row r="221" spans="1:3" x14ac:dyDescent="0.35">
      <c r="A221" s="71">
        <v>45962</v>
      </c>
      <c r="B221" s="11">
        <v>51.3</v>
      </c>
      <c r="C221" s="14">
        <f t="shared" si="5"/>
        <v>-1</v>
      </c>
    </row>
    <row r="222" spans="1:3" x14ac:dyDescent="0.35">
      <c r="A222" s="71">
        <v>45992</v>
      </c>
      <c r="B222" s="11">
        <v>51.4</v>
      </c>
      <c r="C222" s="14">
        <f t="shared" si="5"/>
        <v>0.10000000000000142</v>
      </c>
    </row>
    <row r="223" spans="1:3" x14ac:dyDescent="0.35">
      <c r="A223" s="71">
        <v>46023</v>
      </c>
      <c r="B223" s="11">
        <v>54</v>
      </c>
      <c r="C223" s="14">
        <f t="shared" si="5"/>
        <v>2.6000000000000014</v>
      </c>
    </row>
    <row r="224" spans="1:3" x14ac:dyDescent="0.35">
      <c r="A224" s="71">
        <v>46054</v>
      </c>
      <c r="B224" s="11">
        <v>53.9</v>
      </c>
      <c r="C224" s="14">
        <f t="shared" si="5"/>
        <v>-0.10000000000000142</v>
      </c>
    </row>
    <row r="225" spans="1:4" x14ac:dyDescent="0.35">
      <c r="A225" s="71">
        <v>46082</v>
      </c>
      <c r="B225" s="11">
        <v>50.5</v>
      </c>
      <c r="C225" s="14">
        <f t="shared" si="5"/>
        <v>-3.3999999999999986</v>
      </c>
    </row>
    <row r="226" spans="1:4" x14ac:dyDescent="0.35">
      <c r="A226" s="71">
        <v>46113</v>
      </c>
      <c r="B226" s="11">
        <v>52.7</v>
      </c>
      <c r="C226" s="14">
        <f t="shared" si="5"/>
        <v>2.2000000000000028</v>
      </c>
    </row>
    <row r="227" spans="1:4" x14ac:dyDescent="0.35">
      <c r="A227" s="71">
        <v>46143</v>
      </c>
      <c r="B227" s="11">
        <v>49.3</v>
      </c>
      <c r="C227" s="14">
        <f t="shared" si="5"/>
        <v>-3.4000000000000057</v>
      </c>
    </row>
    <row r="228" spans="1:4" x14ac:dyDescent="0.35">
      <c r="A228" s="72">
        <v>46174</v>
      </c>
      <c r="B228" s="11">
        <v>48.8</v>
      </c>
      <c r="C228" s="14">
        <f t="shared" si="5"/>
        <v>-0.5</v>
      </c>
      <c r="D228" s="1" t="s">
        <v>283</v>
      </c>
    </row>
    <row r="229" spans="1:4" x14ac:dyDescent="0.35">
      <c r="C229" s="14"/>
    </row>
    <row r="230" spans="1:4" x14ac:dyDescent="0.35">
      <c r="C230" s="14"/>
    </row>
    <row r="231" spans="1:4" x14ac:dyDescent="0.35">
      <c r="C231" s="14"/>
    </row>
    <row r="232" spans="1:4" x14ac:dyDescent="0.35">
      <c r="C232" s="14"/>
    </row>
    <row r="233" spans="1:4" x14ac:dyDescent="0.35">
      <c r="C233" s="14"/>
    </row>
    <row r="234" spans="1:4" x14ac:dyDescent="0.35">
      <c r="C234" s="14"/>
    </row>
    <row r="235" spans="1:4" x14ac:dyDescent="0.35">
      <c r="C235" s="14"/>
    </row>
    <row r="236" spans="1:4" x14ac:dyDescent="0.35">
      <c r="C236" s="14"/>
    </row>
    <row r="237" spans="1:4" x14ac:dyDescent="0.35">
      <c r="C237" s="14"/>
    </row>
    <row r="238" spans="1:4" x14ac:dyDescent="0.35">
      <c r="C238" s="14"/>
    </row>
    <row r="239" spans="1:4" x14ac:dyDescent="0.35">
      <c r="C239" s="14"/>
    </row>
    <row r="240" spans="1:4" x14ac:dyDescent="0.35">
      <c r="C240" s="14"/>
    </row>
    <row r="241" spans="3:3" x14ac:dyDescent="0.35">
      <c r="C241" s="14"/>
    </row>
    <row r="242" spans="3:3" x14ac:dyDescent="0.35">
      <c r="C242" s="14"/>
    </row>
    <row r="243" spans="3:3" x14ac:dyDescent="0.35">
      <c r="C243" s="14"/>
    </row>
    <row r="244" spans="3:3" x14ac:dyDescent="0.35">
      <c r="C244" s="14"/>
    </row>
    <row r="245" spans="3:3" x14ac:dyDescent="0.35">
      <c r="C245" s="14"/>
    </row>
    <row r="246" spans="3:3" x14ac:dyDescent="0.35">
      <c r="C246" s="14"/>
    </row>
    <row r="247" spans="3:3" x14ac:dyDescent="0.35">
      <c r="C247" s="14"/>
    </row>
    <row r="248" spans="3:3" x14ac:dyDescent="0.35">
      <c r="C248" s="14"/>
    </row>
    <row r="249" spans="3:3" x14ac:dyDescent="0.35">
      <c r="C249" s="14"/>
    </row>
    <row r="250" spans="3:3" x14ac:dyDescent="0.35">
      <c r="C250" s="14"/>
    </row>
    <row r="251" spans="3:3" x14ac:dyDescent="0.35">
      <c r="C251" s="14"/>
    </row>
    <row r="252" spans="3:3" x14ac:dyDescent="0.35">
      <c r="C252" s="14"/>
    </row>
    <row r="253" spans="3:3" x14ac:dyDescent="0.35">
      <c r="C253" s="14"/>
    </row>
  </sheetData>
  <conditionalFormatting sqref="C42:C9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45:C25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92:C24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1:B244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8"/>
  <sheetViews>
    <sheetView zoomScale="70" zoomScaleNormal="70" workbookViewId="0">
      <pane xSplit="1" ySplit="1" topLeftCell="B71" activePane="bottomRight" state="frozen"/>
      <selection activeCell="D88" sqref="D88"/>
      <selection pane="topRight" activeCell="D88" sqref="D88"/>
      <selection pane="bottomLeft" activeCell="D88" sqref="D88"/>
      <selection pane="bottomRight" sqref="A1:D90"/>
    </sheetView>
  </sheetViews>
  <sheetFormatPr defaultRowHeight="14.5" x14ac:dyDescent="0.35"/>
  <cols>
    <col min="1" max="1" width="9.7265625" style="7" customWidth="1"/>
    <col min="2" max="2" width="29.36328125" style="14" customWidth="1"/>
    <col min="3" max="3" width="12.26953125" style="14" customWidth="1"/>
    <col min="4" max="4" width="27.6328125" customWidth="1"/>
  </cols>
  <sheetData>
    <row r="1" spans="1:4" x14ac:dyDescent="0.35">
      <c r="A1" s="69" t="s">
        <v>0</v>
      </c>
      <c r="B1" s="14" t="s">
        <v>4</v>
      </c>
      <c r="C1" s="14" t="s">
        <v>1</v>
      </c>
      <c r="D1" s="1" t="s">
        <v>17</v>
      </c>
    </row>
    <row r="2" spans="1:4" x14ac:dyDescent="0.35">
      <c r="A2" s="70">
        <v>39264</v>
      </c>
      <c r="B2" s="11">
        <v>58.3</v>
      </c>
    </row>
    <row r="3" spans="1:4" x14ac:dyDescent="0.35">
      <c r="A3" s="70">
        <v>39295</v>
      </c>
      <c r="B3" s="11">
        <v>58</v>
      </c>
      <c r="C3" s="14">
        <f t="shared" ref="C3:C32" si="0">B3-B2</f>
        <v>-0.29999999999999716</v>
      </c>
      <c r="D3" s="1"/>
    </row>
    <row r="4" spans="1:4" x14ac:dyDescent="0.35">
      <c r="A4" s="70">
        <v>39326</v>
      </c>
      <c r="B4" s="11">
        <v>54.2</v>
      </c>
      <c r="C4" s="14">
        <f t="shared" si="0"/>
        <v>-3.7999999999999972</v>
      </c>
      <c r="D4" s="1">
        <v>6.0000000000000001E-3</v>
      </c>
    </row>
    <row r="5" spans="1:4" x14ac:dyDescent="0.35">
      <c r="A5" s="70">
        <v>39356</v>
      </c>
      <c r="B5" s="11">
        <v>55.8</v>
      </c>
      <c r="C5" s="14">
        <f t="shared" si="0"/>
        <v>1.5999999999999943</v>
      </c>
    </row>
    <row r="6" spans="1:4" x14ac:dyDescent="0.35">
      <c r="A6" s="70">
        <v>39387</v>
      </c>
      <c r="B6" s="11">
        <v>54.1</v>
      </c>
      <c r="C6" s="14">
        <f t="shared" si="0"/>
        <v>-1.6999999999999957</v>
      </c>
    </row>
    <row r="7" spans="1:4" x14ac:dyDescent="0.35">
      <c r="A7" s="70">
        <v>39417</v>
      </c>
      <c r="B7" s="11">
        <v>53.1</v>
      </c>
      <c r="C7" s="14">
        <f t="shared" si="0"/>
        <v>-1</v>
      </c>
      <c r="D7" s="1">
        <v>4.0000000000000001E-3</v>
      </c>
    </row>
    <row r="8" spans="1:4" x14ac:dyDescent="0.35">
      <c r="A8" s="70">
        <v>39448</v>
      </c>
      <c r="B8" s="11">
        <v>50.6</v>
      </c>
      <c r="C8" s="14">
        <f t="shared" si="0"/>
        <v>-2.5</v>
      </c>
    </row>
    <row r="9" spans="1:4" x14ac:dyDescent="0.35">
      <c r="A9" s="70">
        <v>39479</v>
      </c>
      <c r="B9" s="11">
        <v>51.7</v>
      </c>
      <c r="C9" s="14">
        <f t="shared" si="0"/>
        <v>1.1000000000000014</v>
      </c>
    </row>
    <row r="10" spans="1:4" x14ac:dyDescent="0.35">
      <c r="A10" s="70">
        <v>39508</v>
      </c>
      <c r="B10" s="11">
        <v>51.6</v>
      </c>
      <c r="C10" s="14">
        <f t="shared" si="0"/>
        <v>-0.10000000000000142</v>
      </c>
      <c r="D10" s="1">
        <v>6.0000000000000001E-3</v>
      </c>
    </row>
    <row r="11" spans="1:4" x14ac:dyDescent="0.35">
      <c r="A11" s="70">
        <v>39539</v>
      </c>
      <c r="B11" s="11">
        <v>52</v>
      </c>
      <c r="C11" s="14">
        <f t="shared" si="0"/>
        <v>0.39999999999999858</v>
      </c>
    </row>
    <row r="12" spans="1:4" x14ac:dyDescent="0.35">
      <c r="A12" s="70">
        <v>39569</v>
      </c>
      <c r="B12" s="11">
        <v>50.6</v>
      </c>
      <c r="C12" s="14">
        <f t="shared" si="0"/>
        <v>-1.3999999999999986</v>
      </c>
    </row>
    <row r="13" spans="1:4" x14ac:dyDescent="0.35">
      <c r="A13" s="70">
        <v>39600</v>
      </c>
      <c r="B13" s="11">
        <v>49.1</v>
      </c>
      <c r="C13" s="14">
        <f t="shared" si="0"/>
        <v>-1.5</v>
      </c>
      <c r="D13" s="1">
        <v>-4.0000000000000001E-3</v>
      </c>
    </row>
    <row r="14" spans="1:4" x14ac:dyDescent="0.35">
      <c r="A14" s="70">
        <v>39630</v>
      </c>
      <c r="B14" s="11">
        <v>48.3</v>
      </c>
      <c r="C14" s="14">
        <f t="shared" si="0"/>
        <v>-0.80000000000000426</v>
      </c>
    </row>
    <row r="15" spans="1:4" x14ac:dyDescent="0.35">
      <c r="A15" s="70">
        <v>39661</v>
      </c>
      <c r="B15" s="11">
        <v>48.5</v>
      </c>
      <c r="C15" s="14">
        <f t="shared" si="0"/>
        <v>0.20000000000000284</v>
      </c>
    </row>
    <row r="16" spans="1:4" x14ac:dyDescent="0.35">
      <c r="A16" s="70">
        <v>39692</v>
      </c>
      <c r="B16" s="11">
        <v>48.4</v>
      </c>
      <c r="C16" s="14">
        <f t="shared" si="0"/>
        <v>-0.10000000000000142</v>
      </c>
      <c r="D16" s="1">
        <v>-6.0000000000000001E-3</v>
      </c>
    </row>
    <row r="17" spans="1:4" x14ac:dyDescent="0.35">
      <c r="A17" s="70">
        <v>39722</v>
      </c>
      <c r="B17" s="11">
        <v>45.8</v>
      </c>
      <c r="C17" s="14">
        <f t="shared" si="0"/>
        <v>-2.6000000000000014</v>
      </c>
    </row>
    <row r="18" spans="1:4" x14ac:dyDescent="0.35">
      <c r="A18" s="70">
        <v>39753</v>
      </c>
      <c r="B18" s="11">
        <v>42.5</v>
      </c>
      <c r="C18" s="14">
        <f t="shared" si="0"/>
        <v>-3.2999999999999972</v>
      </c>
    </row>
    <row r="19" spans="1:4" x14ac:dyDescent="0.35">
      <c r="A19" s="70">
        <v>39783</v>
      </c>
      <c r="B19" s="11">
        <v>42.3</v>
      </c>
      <c r="C19" s="14">
        <f t="shared" si="0"/>
        <v>-0.20000000000000284</v>
      </c>
      <c r="D19" s="1">
        <v>-1.7000000000000001E-2</v>
      </c>
    </row>
    <row r="20" spans="1:4" x14ac:dyDescent="0.35">
      <c r="A20" s="70">
        <v>39814</v>
      </c>
      <c r="B20" s="11">
        <v>42.2</v>
      </c>
      <c r="C20" s="14">
        <f t="shared" si="0"/>
        <v>-9.9999999999994316E-2</v>
      </c>
    </row>
    <row r="21" spans="1:4" x14ac:dyDescent="0.35">
      <c r="A21" s="70">
        <v>39845</v>
      </c>
      <c r="B21" s="11">
        <v>39.200000000000003</v>
      </c>
      <c r="C21" s="14">
        <f t="shared" si="0"/>
        <v>-3</v>
      </c>
    </row>
    <row r="22" spans="1:4" x14ac:dyDescent="0.35">
      <c r="A22" s="70">
        <v>39873</v>
      </c>
      <c r="B22" s="11">
        <v>40.9</v>
      </c>
      <c r="C22" s="14">
        <f t="shared" si="0"/>
        <v>1.6999999999999957</v>
      </c>
      <c r="D22" s="1">
        <v>-2.8000000000000001E-2</v>
      </c>
    </row>
    <row r="23" spans="1:4" x14ac:dyDescent="0.35">
      <c r="A23" s="70">
        <v>39904</v>
      </c>
      <c r="B23" s="11">
        <v>43.8</v>
      </c>
      <c r="C23" s="14">
        <f t="shared" si="0"/>
        <v>2.8999999999999986</v>
      </c>
    </row>
    <row r="24" spans="1:4" x14ac:dyDescent="0.35">
      <c r="A24" s="70">
        <v>39934</v>
      </c>
      <c r="B24" s="11">
        <v>44.8</v>
      </c>
      <c r="C24" s="14">
        <f t="shared" si="0"/>
        <v>1</v>
      </c>
    </row>
    <row r="25" spans="1:4" x14ac:dyDescent="0.35">
      <c r="A25" s="70">
        <v>39965</v>
      </c>
      <c r="B25" s="11">
        <v>44.7</v>
      </c>
      <c r="C25" s="14">
        <f t="shared" si="0"/>
        <v>-9.9999999999994316E-2</v>
      </c>
      <c r="D25" s="1">
        <v>-3.0000000000000001E-3</v>
      </c>
    </row>
    <row r="26" spans="1:4" x14ac:dyDescent="0.35">
      <c r="A26" s="70">
        <v>39995</v>
      </c>
      <c r="B26" s="11">
        <v>45.7</v>
      </c>
      <c r="C26" s="14">
        <f t="shared" si="0"/>
        <v>1</v>
      </c>
    </row>
    <row r="27" spans="1:4" x14ac:dyDescent="0.35">
      <c r="A27" s="70">
        <v>40026</v>
      </c>
      <c r="B27" s="11">
        <v>49.9</v>
      </c>
      <c r="C27" s="14">
        <f t="shared" si="0"/>
        <v>4.1999999999999957</v>
      </c>
    </row>
    <row r="28" spans="1:4" x14ac:dyDescent="0.35">
      <c r="A28" s="70">
        <v>40057</v>
      </c>
      <c r="B28" s="11">
        <v>50.9</v>
      </c>
      <c r="C28" s="14">
        <f t="shared" si="0"/>
        <v>1</v>
      </c>
      <c r="D28" s="1">
        <v>4.0000000000000001E-3</v>
      </c>
    </row>
    <row r="29" spans="1:4" x14ac:dyDescent="0.35">
      <c r="A29" s="70">
        <v>40087</v>
      </c>
      <c r="B29" s="11">
        <v>52.6</v>
      </c>
      <c r="C29" s="14">
        <f t="shared" si="0"/>
        <v>1.7000000000000028</v>
      </c>
    </row>
    <row r="30" spans="1:4" x14ac:dyDescent="0.35">
      <c r="A30" s="70">
        <v>40118</v>
      </c>
      <c r="B30" s="11">
        <v>53</v>
      </c>
      <c r="C30" s="14">
        <f t="shared" si="0"/>
        <v>0.39999999999999858</v>
      </c>
    </row>
    <row r="31" spans="1:4" x14ac:dyDescent="0.35">
      <c r="A31" s="70">
        <v>40148</v>
      </c>
      <c r="B31" s="11">
        <v>52.9</v>
      </c>
      <c r="C31" s="14">
        <f t="shared" si="0"/>
        <v>-0.10000000000000142</v>
      </c>
      <c r="D31" s="1">
        <v>5.0000000000000001E-3</v>
      </c>
    </row>
    <row r="32" spans="1:4" x14ac:dyDescent="0.35">
      <c r="A32" s="70">
        <v>40179</v>
      </c>
      <c r="B32" s="11">
        <v>52.5</v>
      </c>
      <c r="C32" s="14">
        <f t="shared" si="0"/>
        <v>-0.39999999999999858</v>
      </c>
    </row>
    <row r="33" spans="1:4" x14ac:dyDescent="0.35">
      <c r="A33" s="70">
        <v>40210</v>
      </c>
      <c r="B33" s="11">
        <v>51.8</v>
      </c>
      <c r="C33" s="14">
        <f t="shared" ref="C33:C41" si="1">B33-B32</f>
        <v>-0.70000000000000284</v>
      </c>
    </row>
    <row r="34" spans="1:4" x14ac:dyDescent="0.35">
      <c r="A34" s="70">
        <v>40238</v>
      </c>
      <c r="B34" s="11">
        <v>54.1</v>
      </c>
      <c r="C34" s="14">
        <f t="shared" si="1"/>
        <v>2.3000000000000043</v>
      </c>
      <c r="D34" s="1">
        <v>4.0000000000000001E-3</v>
      </c>
    </row>
    <row r="35" spans="1:4" x14ac:dyDescent="0.35">
      <c r="A35" s="70">
        <v>40269</v>
      </c>
      <c r="B35" s="11">
        <v>55.6</v>
      </c>
      <c r="C35" s="14">
        <f t="shared" si="1"/>
        <v>1.5</v>
      </c>
    </row>
    <row r="36" spans="1:4" x14ac:dyDescent="0.35">
      <c r="A36" s="70">
        <v>40299</v>
      </c>
      <c r="B36" s="11">
        <v>56.2</v>
      </c>
      <c r="C36" s="14">
        <f t="shared" si="1"/>
        <v>0.60000000000000142</v>
      </c>
    </row>
    <row r="37" spans="1:4" x14ac:dyDescent="0.35">
      <c r="A37" s="70">
        <v>40330</v>
      </c>
      <c r="B37" s="11">
        <v>55.5</v>
      </c>
      <c r="C37" s="14">
        <f t="shared" si="1"/>
        <v>-0.70000000000000284</v>
      </c>
      <c r="D37" s="1">
        <v>8.9999999999999993E-3</v>
      </c>
    </row>
    <row r="38" spans="1:4" x14ac:dyDescent="0.35">
      <c r="A38" s="70">
        <v>40360</v>
      </c>
      <c r="B38" s="11">
        <v>55.8</v>
      </c>
      <c r="C38" s="14">
        <f t="shared" si="1"/>
        <v>0.29999999999999716</v>
      </c>
    </row>
    <row r="39" spans="1:4" x14ac:dyDescent="0.35">
      <c r="A39" s="70">
        <v>40391</v>
      </c>
      <c r="B39" s="11">
        <v>55.9</v>
      </c>
      <c r="C39" s="14">
        <f t="shared" si="1"/>
        <v>0.10000000000000142</v>
      </c>
    </row>
    <row r="40" spans="1:4" x14ac:dyDescent="0.35">
      <c r="A40" s="70">
        <v>40422</v>
      </c>
      <c r="B40" s="11">
        <v>54.1</v>
      </c>
      <c r="C40" s="14">
        <f t="shared" si="1"/>
        <v>-1.7999999999999972</v>
      </c>
      <c r="D40" s="1">
        <v>4.0000000000000001E-3</v>
      </c>
    </row>
    <row r="41" spans="1:4" x14ac:dyDescent="0.35">
      <c r="A41" s="70">
        <v>40452</v>
      </c>
      <c r="B41" s="11">
        <v>53.3</v>
      </c>
      <c r="C41" s="14">
        <f t="shared" si="1"/>
        <v>-0.80000000000000426</v>
      </c>
    </row>
    <row r="42" spans="1:4" x14ac:dyDescent="0.35">
      <c r="A42" s="70">
        <v>40483</v>
      </c>
      <c r="B42" s="11">
        <v>55.4</v>
      </c>
      <c r="C42" s="14">
        <f>B42-B41</f>
        <v>2.1000000000000014</v>
      </c>
    </row>
    <row r="43" spans="1:4" x14ac:dyDescent="0.35">
      <c r="A43" s="70">
        <v>40513</v>
      </c>
      <c r="B43" s="11">
        <v>56.5</v>
      </c>
      <c r="C43" s="14">
        <f t="shared" ref="C43:C83" si="2">B43-B42</f>
        <v>1.1000000000000014</v>
      </c>
      <c r="D43" s="1">
        <v>5.0000000000000001E-3</v>
      </c>
    </row>
    <row r="44" spans="1:4" x14ac:dyDescent="0.35">
      <c r="A44" s="70">
        <v>40544</v>
      </c>
      <c r="B44" s="11">
        <v>55.9</v>
      </c>
      <c r="C44" s="14">
        <f t="shared" si="2"/>
        <v>-0.60000000000000142</v>
      </c>
    </row>
    <row r="45" spans="1:4" x14ac:dyDescent="0.35">
      <c r="A45" s="70">
        <v>40575</v>
      </c>
      <c r="B45" s="11">
        <v>56.8</v>
      </c>
      <c r="C45" s="14">
        <f t="shared" si="2"/>
        <v>0.89999999999999858</v>
      </c>
    </row>
    <row r="46" spans="1:4" x14ac:dyDescent="0.35">
      <c r="A46" s="70">
        <v>40603</v>
      </c>
      <c r="B46" s="11">
        <v>57.2</v>
      </c>
      <c r="C46" s="14">
        <f t="shared" si="2"/>
        <v>0.40000000000000568</v>
      </c>
      <c r="D46" s="1">
        <v>8.0000000000000002E-3</v>
      </c>
    </row>
    <row r="47" spans="1:4" x14ac:dyDescent="0.35">
      <c r="A47" s="70">
        <v>40634</v>
      </c>
      <c r="B47" s="11">
        <v>56.7</v>
      </c>
      <c r="C47" s="14">
        <f t="shared" si="2"/>
        <v>-0.5</v>
      </c>
    </row>
    <row r="48" spans="1:4" x14ac:dyDescent="0.35">
      <c r="A48" s="70">
        <v>40664</v>
      </c>
      <c r="B48" s="11">
        <v>55.4</v>
      </c>
      <c r="C48" s="14">
        <f t="shared" si="2"/>
        <v>-1.3000000000000043</v>
      </c>
    </row>
    <row r="49" spans="1:4" x14ac:dyDescent="0.35">
      <c r="A49" s="70">
        <v>40695</v>
      </c>
      <c r="B49" s="11">
        <v>53.7</v>
      </c>
      <c r="C49" s="14">
        <f t="shared" si="2"/>
        <v>-1.6999999999999957</v>
      </c>
      <c r="D49" s="1">
        <v>2E-3</v>
      </c>
    </row>
    <row r="50" spans="1:4" x14ac:dyDescent="0.35">
      <c r="A50" s="70">
        <v>40725</v>
      </c>
      <c r="B50" s="11">
        <v>51.6</v>
      </c>
      <c r="C50" s="14">
        <f t="shared" si="2"/>
        <v>-2.1000000000000014</v>
      </c>
    </row>
    <row r="51" spans="1:4" x14ac:dyDescent="0.35">
      <c r="A51" s="70">
        <v>40756</v>
      </c>
      <c r="B51" s="11">
        <v>51.5</v>
      </c>
      <c r="C51" s="14">
        <f t="shared" si="2"/>
        <v>-0.10000000000000142</v>
      </c>
    </row>
    <row r="52" spans="1:4" x14ac:dyDescent="0.35">
      <c r="A52" s="70">
        <v>40787</v>
      </c>
      <c r="B52" s="11">
        <v>48.8</v>
      </c>
      <c r="C52" s="14">
        <f t="shared" si="2"/>
        <v>-2.7000000000000028</v>
      </c>
      <c r="D52" s="1">
        <v>2E-3</v>
      </c>
    </row>
    <row r="53" spans="1:4" x14ac:dyDescent="0.35">
      <c r="A53" s="70">
        <v>40817</v>
      </c>
      <c r="B53" s="11">
        <v>46.4</v>
      </c>
      <c r="C53" s="14">
        <f t="shared" si="2"/>
        <v>-2.3999999999999986</v>
      </c>
    </row>
    <row r="54" spans="1:4" x14ac:dyDescent="0.35">
      <c r="A54" s="70">
        <v>40848</v>
      </c>
      <c r="B54" s="11">
        <v>47.5</v>
      </c>
      <c r="C54" s="14">
        <f t="shared" si="2"/>
        <v>1.1000000000000014</v>
      </c>
    </row>
    <row r="55" spans="1:4" x14ac:dyDescent="0.35">
      <c r="A55" s="70">
        <v>40878</v>
      </c>
      <c r="B55" s="11">
        <v>48.8</v>
      </c>
      <c r="C55" s="14">
        <f t="shared" si="2"/>
        <v>1.2999999999999972</v>
      </c>
      <c r="D55" s="1">
        <v>-2E-3</v>
      </c>
    </row>
    <row r="56" spans="1:4" x14ac:dyDescent="0.35">
      <c r="A56" s="70">
        <v>40909</v>
      </c>
      <c r="B56" s="11">
        <v>50.4</v>
      </c>
      <c r="C56" s="14">
        <f t="shared" si="2"/>
        <v>1.6000000000000014</v>
      </c>
    </row>
    <row r="57" spans="1:4" x14ac:dyDescent="0.35">
      <c r="A57" s="70">
        <v>40940</v>
      </c>
      <c r="B57" s="11">
        <v>48.8</v>
      </c>
      <c r="C57" s="14">
        <f t="shared" si="2"/>
        <v>-1.6000000000000014</v>
      </c>
    </row>
    <row r="58" spans="1:4" x14ac:dyDescent="0.35">
      <c r="A58" s="70">
        <v>40969</v>
      </c>
      <c r="B58" s="11">
        <v>47.9</v>
      </c>
      <c r="C58" s="14">
        <f t="shared" si="2"/>
        <v>-0.89999999999999858</v>
      </c>
      <c r="D58" s="1">
        <v>-1E-3</v>
      </c>
    </row>
    <row r="59" spans="1:4" x14ac:dyDescent="0.35">
      <c r="A59" s="70">
        <v>41000</v>
      </c>
      <c r="B59" s="11">
        <v>46.9</v>
      </c>
      <c r="C59" s="14">
        <f t="shared" si="2"/>
        <v>-1</v>
      </c>
    </row>
    <row r="60" spans="1:4" x14ac:dyDescent="0.35">
      <c r="A60" s="70">
        <v>41030</v>
      </c>
      <c r="B60" s="11">
        <v>46.7</v>
      </c>
      <c r="C60" s="14">
        <f t="shared" si="2"/>
        <v>-0.19999999999999574</v>
      </c>
    </row>
    <row r="61" spans="1:4" x14ac:dyDescent="0.35">
      <c r="A61" s="70">
        <v>41061</v>
      </c>
      <c r="B61" s="11">
        <v>47.1</v>
      </c>
      <c r="C61" s="14">
        <f t="shared" si="2"/>
        <v>0.39999999999999858</v>
      </c>
      <c r="D61" s="1">
        <v>-3.0000000000000001E-3</v>
      </c>
    </row>
    <row r="62" spans="1:4" x14ac:dyDescent="0.35">
      <c r="A62" s="70">
        <v>41091</v>
      </c>
      <c r="B62" s="11">
        <v>47.9</v>
      </c>
      <c r="C62" s="14">
        <f t="shared" si="2"/>
        <v>0.79999999999999716</v>
      </c>
    </row>
    <row r="63" spans="1:4" x14ac:dyDescent="0.35">
      <c r="A63" s="70">
        <v>41122</v>
      </c>
      <c r="B63" s="11">
        <v>47.2</v>
      </c>
      <c r="C63" s="14">
        <f t="shared" si="2"/>
        <v>-0.69999999999999574</v>
      </c>
    </row>
    <row r="64" spans="1:4" x14ac:dyDescent="0.35">
      <c r="A64" s="70">
        <v>41153</v>
      </c>
      <c r="B64" s="11">
        <v>46.1</v>
      </c>
      <c r="C64" s="14">
        <f t="shared" si="2"/>
        <v>-1.1000000000000014</v>
      </c>
      <c r="D64" s="1">
        <v>-2E-3</v>
      </c>
    </row>
    <row r="65" spans="1:4" x14ac:dyDescent="0.35">
      <c r="A65" s="70">
        <v>41183</v>
      </c>
      <c r="B65" s="11">
        <v>46</v>
      </c>
      <c r="C65" s="14">
        <f t="shared" si="2"/>
        <v>-0.10000000000000142</v>
      </c>
    </row>
    <row r="66" spans="1:4" x14ac:dyDescent="0.35">
      <c r="A66" s="70">
        <v>41214</v>
      </c>
      <c r="B66" s="11">
        <v>46.7</v>
      </c>
      <c r="C66" s="14">
        <f t="shared" si="2"/>
        <v>0.70000000000000284</v>
      </c>
    </row>
    <row r="67" spans="1:4" x14ac:dyDescent="0.35">
      <c r="A67" s="70">
        <v>41244</v>
      </c>
      <c r="B67" s="11">
        <v>47.2</v>
      </c>
      <c r="C67" s="14">
        <f t="shared" si="2"/>
        <v>0.5</v>
      </c>
      <c r="D67" s="1">
        <v>-5.0000000000000001E-3</v>
      </c>
    </row>
    <row r="68" spans="1:4" x14ac:dyDescent="0.35">
      <c r="A68" s="70">
        <v>41275</v>
      </c>
      <c r="B68" s="11">
        <v>48.6</v>
      </c>
      <c r="C68" s="14">
        <f t="shared" si="2"/>
        <v>1.3999999999999986</v>
      </c>
    </row>
    <row r="69" spans="1:4" x14ac:dyDescent="0.35">
      <c r="A69" s="70">
        <v>41306</v>
      </c>
      <c r="B69" s="11">
        <v>47.9</v>
      </c>
      <c r="C69" s="14">
        <f t="shared" si="2"/>
        <v>-0.70000000000000284</v>
      </c>
    </row>
    <row r="70" spans="1:4" x14ac:dyDescent="0.35">
      <c r="A70" s="70">
        <v>41334</v>
      </c>
      <c r="B70" s="11">
        <v>46.4</v>
      </c>
      <c r="C70" s="14">
        <f t="shared" si="2"/>
        <v>-1.5</v>
      </c>
      <c r="D70" s="1">
        <v>-2E-3</v>
      </c>
    </row>
    <row r="71" spans="1:4" x14ac:dyDescent="0.35">
      <c r="A71" s="70">
        <v>41365</v>
      </c>
      <c r="B71" s="11">
        <v>47</v>
      </c>
      <c r="C71" s="14">
        <f t="shared" si="2"/>
        <v>0.60000000000000142</v>
      </c>
    </row>
    <row r="72" spans="1:4" x14ac:dyDescent="0.35">
      <c r="A72" s="70">
        <v>41395</v>
      </c>
      <c r="B72" s="11">
        <v>47.2</v>
      </c>
      <c r="C72" s="14">
        <f t="shared" si="2"/>
        <v>0.20000000000000284</v>
      </c>
    </row>
    <row r="73" spans="1:4" x14ac:dyDescent="0.35">
      <c r="A73" s="70">
        <v>41426</v>
      </c>
      <c r="B73" s="11">
        <v>48.3</v>
      </c>
      <c r="C73" s="14">
        <f t="shared" si="2"/>
        <v>1.0999999999999943</v>
      </c>
      <c r="D73" s="1">
        <v>3.0000000000000001E-3</v>
      </c>
    </row>
    <row r="74" spans="1:4" x14ac:dyDescent="0.35">
      <c r="A74" s="70">
        <v>41456</v>
      </c>
      <c r="B74" s="11">
        <v>49.8</v>
      </c>
      <c r="C74" s="14">
        <f t="shared" si="2"/>
        <v>1.5</v>
      </c>
    </row>
    <row r="75" spans="1:4" x14ac:dyDescent="0.35">
      <c r="A75" s="70">
        <v>41487</v>
      </c>
      <c r="B75" s="11">
        <v>50.7</v>
      </c>
      <c r="C75" s="14">
        <f t="shared" si="2"/>
        <v>0.90000000000000568</v>
      </c>
    </row>
    <row r="76" spans="1:4" x14ac:dyDescent="0.35">
      <c r="A76" s="70">
        <v>41518</v>
      </c>
      <c r="B76" s="11">
        <v>52.2</v>
      </c>
      <c r="C76" s="14">
        <f t="shared" si="2"/>
        <v>1.5</v>
      </c>
      <c r="D76" s="1">
        <v>1E-3</v>
      </c>
    </row>
    <row r="77" spans="1:4" x14ac:dyDescent="0.35">
      <c r="A77" s="70">
        <v>41548</v>
      </c>
      <c r="B77" s="11">
        <v>51.6</v>
      </c>
      <c r="C77" s="14">
        <f t="shared" si="2"/>
        <v>-0.60000000000000142</v>
      </c>
    </row>
    <row r="78" spans="1:4" x14ac:dyDescent="0.35">
      <c r="A78" s="70">
        <v>41579</v>
      </c>
      <c r="B78" s="11">
        <v>51.2</v>
      </c>
      <c r="C78" s="14">
        <f t="shared" si="2"/>
        <v>-0.39999999999999858</v>
      </c>
    </row>
    <row r="79" spans="1:4" x14ac:dyDescent="0.35">
      <c r="A79" s="70">
        <v>41609</v>
      </c>
      <c r="B79" s="11">
        <v>51</v>
      </c>
      <c r="C79" s="14">
        <f t="shared" si="2"/>
        <v>-0.20000000000000284</v>
      </c>
      <c r="D79" s="1">
        <v>2E-3</v>
      </c>
    </row>
    <row r="80" spans="1:4" x14ac:dyDescent="0.35">
      <c r="A80" s="70">
        <v>41640</v>
      </c>
      <c r="B80" s="11">
        <v>51.6</v>
      </c>
      <c r="C80" s="14">
        <f t="shared" si="2"/>
        <v>0.60000000000000142</v>
      </c>
    </row>
    <row r="81" spans="1:9" x14ac:dyDescent="0.35">
      <c r="A81" s="70">
        <v>41671</v>
      </c>
      <c r="B81" s="11">
        <v>52.6</v>
      </c>
      <c r="C81" s="14">
        <f t="shared" si="2"/>
        <v>1</v>
      </c>
    </row>
    <row r="82" spans="1:9" x14ac:dyDescent="0.35">
      <c r="A82" s="70">
        <v>41699</v>
      </c>
      <c r="B82" s="11">
        <v>52.2</v>
      </c>
      <c r="C82" s="14">
        <f t="shared" si="2"/>
        <v>-0.39999999999999858</v>
      </c>
      <c r="D82" s="1">
        <v>2E-3</v>
      </c>
    </row>
    <row r="83" spans="1:9" x14ac:dyDescent="0.35">
      <c r="A83" s="70">
        <v>41730</v>
      </c>
      <c r="B83" s="11">
        <v>53.1</v>
      </c>
      <c r="C83" s="14">
        <f t="shared" si="2"/>
        <v>0.89999999999999858</v>
      </c>
    </row>
    <row r="84" spans="1:9" x14ac:dyDescent="0.35">
      <c r="A84" s="70">
        <v>41760</v>
      </c>
      <c r="B84" s="11">
        <v>53.2</v>
      </c>
      <c r="C84" s="14">
        <f t="shared" ref="C84:C87" si="3">B84-B83</f>
        <v>0.10000000000000142</v>
      </c>
    </row>
    <row r="85" spans="1:9" x14ac:dyDescent="0.35">
      <c r="A85" s="70">
        <v>41791</v>
      </c>
      <c r="B85" s="11">
        <v>52.8</v>
      </c>
      <c r="C85" s="14">
        <f t="shared" si="3"/>
        <v>-0.40000000000000568</v>
      </c>
      <c r="D85" s="36">
        <v>0</v>
      </c>
      <c r="H85" s="41" t="s">
        <v>65</v>
      </c>
      <c r="I85" t="s">
        <v>77</v>
      </c>
    </row>
    <row r="86" spans="1:9" x14ac:dyDescent="0.35">
      <c r="A86" s="70">
        <v>41821</v>
      </c>
      <c r="B86" s="11">
        <v>54.2</v>
      </c>
      <c r="C86" s="14">
        <f t="shared" si="3"/>
        <v>1.4000000000000057</v>
      </c>
    </row>
    <row r="87" spans="1:9" x14ac:dyDescent="0.35">
      <c r="A87" s="70">
        <v>41852</v>
      </c>
      <c r="B87" s="11">
        <v>53.1</v>
      </c>
      <c r="C87" s="14">
        <f t="shared" si="3"/>
        <v>-1.1000000000000014</v>
      </c>
    </row>
    <row r="88" spans="1:9" x14ac:dyDescent="0.35">
      <c r="A88" s="70">
        <v>41883</v>
      </c>
      <c r="B88" s="11">
        <v>52.4</v>
      </c>
      <c r="C88" s="14">
        <f>IFERROR(B88-B87,"")</f>
        <v>-0.70000000000000284</v>
      </c>
      <c r="D88" s="1">
        <f>IF(VLOOKUP(I85,Data!$A$30:$H$150,7,FALSE)=A87,VLOOKUP(I85,Data!$A$30:$H$150,2,FALSE)/100,#N/A)</f>
        <v>2E-3</v>
      </c>
    </row>
    <row r="89" spans="1:9" x14ac:dyDescent="0.35">
      <c r="A89" s="70">
        <v>41913</v>
      </c>
      <c r="B89" s="11">
        <v>52.3</v>
      </c>
      <c r="C89" s="14">
        <v>-0.10000000000000142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4">IFERROR(B90-B89,"")</f>
        <v/>
      </c>
    </row>
    <row r="91" spans="1:9" x14ac:dyDescent="0.35">
      <c r="A91" s="70">
        <v>41974</v>
      </c>
      <c r="B91" s="11" t="s">
        <v>283</v>
      </c>
      <c r="C91" s="14" t="str">
        <f t="shared" si="4"/>
        <v/>
      </c>
    </row>
    <row r="92" spans="1:9" x14ac:dyDescent="0.35">
      <c r="A92" s="70">
        <v>42005</v>
      </c>
      <c r="B92" s="11" t="s">
        <v>283</v>
      </c>
      <c r="C92" s="14" t="str">
        <f t="shared" si="4"/>
        <v/>
      </c>
    </row>
    <row r="93" spans="1:9" x14ac:dyDescent="0.35">
      <c r="A93" s="70">
        <v>42036</v>
      </c>
      <c r="B93" s="11" t="s">
        <v>283</v>
      </c>
      <c r="C93" s="14" t="str">
        <f t="shared" si="4"/>
        <v/>
      </c>
    </row>
    <row r="94" spans="1:9" x14ac:dyDescent="0.35">
      <c r="A94" s="70">
        <v>42064</v>
      </c>
      <c r="B94" s="11" t="s">
        <v>283</v>
      </c>
      <c r="C94" s="14" t="str">
        <f t="shared" si="4"/>
        <v/>
      </c>
    </row>
    <row r="95" spans="1:9" x14ac:dyDescent="0.35">
      <c r="A95" s="70">
        <v>42095</v>
      </c>
      <c r="B95" s="11" t="s">
        <v>283</v>
      </c>
      <c r="C95" s="14" t="str">
        <f t="shared" si="4"/>
        <v/>
      </c>
    </row>
    <row r="96" spans="1:9" x14ac:dyDescent="0.35">
      <c r="A96" s="70">
        <v>42125</v>
      </c>
      <c r="B96" s="11" t="s">
        <v>283</v>
      </c>
      <c r="C96" s="14" t="str">
        <f t="shared" si="4"/>
        <v/>
      </c>
    </row>
    <row r="97" spans="1:3" x14ac:dyDescent="0.35">
      <c r="A97" s="70">
        <v>42156</v>
      </c>
      <c r="B97" s="11" t="s">
        <v>283</v>
      </c>
      <c r="C97" s="14" t="str">
        <f t="shared" si="4"/>
        <v/>
      </c>
    </row>
    <row r="98" spans="1:3" x14ac:dyDescent="0.35">
      <c r="A98" s="70">
        <v>42186</v>
      </c>
      <c r="B98" s="11" t="s">
        <v>283</v>
      </c>
      <c r="C98" s="14" t="str">
        <f t="shared" si="4"/>
        <v/>
      </c>
    </row>
    <row r="99" spans="1:3" x14ac:dyDescent="0.35">
      <c r="A99" s="70">
        <v>42217</v>
      </c>
      <c r="B99" s="11" t="s">
        <v>283</v>
      </c>
      <c r="C99" s="14" t="str">
        <f t="shared" si="4"/>
        <v/>
      </c>
    </row>
    <row r="100" spans="1:3" x14ac:dyDescent="0.35">
      <c r="A100" s="70">
        <v>42248</v>
      </c>
      <c r="B100" s="11" t="s">
        <v>283</v>
      </c>
      <c r="C100" s="14" t="str">
        <f t="shared" si="4"/>
        <v/>
      </c>
    </row>
    <row r="101" spans="1:3" x14ac:dyDescent="0.35">
      <c r="A101" s="70">
        <v>42278</v>
      </c>
      <c r="B101" s="11" t="s">
        <v>283</v>
      </c>
      <c r="C101" s="14" t="str">
        <f t="shared" si="4"/>
        <v/>
      </c>
    </row>
    <row r="102" spans="1:3" x14ac:dyDescent="0.35">
      <c r="A102" s="70">
        <v>42309</v>
      </c>
      <c r="B102" s="11" t="s">
        <v>283</v>
      </c>
      <c r="C102" s="14" t="str">
        <f t="shared" si="4"/>
        <v/>
      </c>
    </row>
    <row r="103" spans="1:3" x14ac:dyDescent="0.35">
      <c r="A103" s="70">
        <v>42339</v>
      </c>
      <c r="B103" s="11" t="s">
        <v>283</v>
      </c>
      <c r="C103" s="14" t="str">
        <f t="shared" si="4"/>
        <v/>
      </c>
    </row>
    <row r="104" spans="1:3" x14ac:dyDescent="0.35">
      <c r="A104" s="70">
        <v>42370</v>
      </c>
      <c r="B104" s="11" t="s">
        <v>283</v>
      </c>
      <c r="C104" s="14" t="str">
        <f t="shared" si="4"/>
        <v/>
      </c>
    </row>
    <row r="105" spans="1:3" x14ac:dyDescent="0.35">
      <c r="A105" s="70">
        <v>42401</v>
      </c>
      <c r="B105" s="11" t="s">
        <v>283</v>
      </c>
      <c r="C105" s="14" t="str">
        <f t="shared" si="4"/>
        <v/>
      </c>
    </row>
    <row r="106" spans="1:3" x14ac:dyDescent="0.35">
      <c r="A106" s="70">
        <v>42430</v>
      </c>
      <c r="B106" s="11" t="s">
        <v>283</v>
      </c>
      <c r="C106" s="14" t="str">
        <f t="shared" si="4"/>
        <v/>
      </c>
    </row>
    <row r="107" spans="1:3" x14ac:dyDescent="0.35">
      <c r="A107" s="70">
        <v>42461</v>
      </c>
      <c r="B107" s="11" t="s">
        <v>283</v>
      </c>
      <c r="C107" s="14" t="str">
        <f t="shared" si="4"/>
        <v/>
      </c>
    </row>
    <row r="108" spans="1:3" x14ac:dyDescent="0.35">
      <c r="A108" s="70">
        <v>42491</v>
      </c>
      <c r="B108" s="11" t="s">
        <v>283</v>
      </c>
      <c r="C108" s="14" t="str">
        <f t="shared" si="4"/>
        <v/>
      </c>
    </row>
    <row r="109" spans="1:3" x14ac:dyDescent="0.35">
      <c r="A109" s="70">
        <v>42522</v>
      </c>
      <c r="B109" s="11" t="s">
        <v>283</v>
      </c>
      <c r="C109" s="14" t="str">
        <f t="shared" si="4"/>
        <v/>
      </c>
    </row>
    <row r="110" spans="1:3" x14ac:dyDescent="0.35">
      <c r="A110" s="70">
        <v>42552</v>
      </c>
      <c r="B110" s="11" t="s">
        <v>283</v>
      </c>
      <c r="C110" s="14" t="str">
        <f t="shared" si="4"/>
        <v/>
      </c>
    </row>
    <row r="111" spans="1:3" x14ac:dyDescent="0.35">
      <c r="A111" s="70">
        <v>42583</v>
      </c>
      <c r="B111" s="11" t="s">
        <v>283</v>
      </c>
      <c r="C111" s="14" t="str">
        <f t="shared" si="4"/>
        <v/>
      </c>
    </row>
    <row r="112" spans="1:3" x14ac:dyDescent="0.35">
      <c r="A112" s="70">
        <v>42614</v>
      </c>
      <c r="B112" s="11" t="s">
        <v>283</v>
      </c>
      <c r="C112" s="14" t="str">
        <f t="shared" si="4"/>
        <v/>
      </c>
    </row>
    <row r="113" spans="1:3" x14ac:dyDescent="0.35">
      <c r="A113" s="70">
        <v>42644</v>
      </c>
      <c r="B113" s="11" t="s">
        <v>283</v>
      </c>
      <c r="C113" s="14" t="str">
        <f t="shared" si="4"/>
        <v/>
      </c>
    </row>
    <row r="114" spans="1:3" x14ac:dyDescent="0.35">
      <c r="A114" s="70">
        <v>42675</v>
      </c>
      <c r="B114" s="11" t="s">
        <v>283</v>
      </c>
      <c r="C114" s="14" t="str">
        <f t="shared" si="4"/>
        <v/>
      </c>
    </row>
    <row r="115" spans="1:3" x14ac:dyDescent="0.35">
      <c r="A115" s="70">
        <v>42705</v>
      </c>
      <c r="B115" s="11" t="s">
        <v>283</v>
      </c>
      <c r="C115" s="14" t="str">
        <f t="shared" si="4"/>
        <v/>
      </c>
    </row>
    <row r="116" spans="1:3" x14ac:dyDescent="0.35">
      <c r="A116" s="70">
        <v>42736</v>
      </c>
      <c r="B116" s="11" t="s">
        <v>283</v>
      </c>
      <c r="C116" s="14" t="str">
        <f t="shared" si="4"/>
        <v/>
      </c>
    </row>
    <row r="117" spans="1:3" x14ac:dyDescent="0.35">
      <c r="A117" s="70">
        <v>42767</v>
      </c>
      <c r="B117" s="11" t="s">
        <v>283</v>
      </c>
      <c r="C117" s="14" t="str">
        <f t="shared" si="4"/>
        <v/>
      </c>
    </row>
    <row r="118" spans="1:3" x14ac:dyDescent="0.35">
      <c r="A118" s="70">
        <v>42795</v>
      </c>
      <c r="B118" s="11" t="s">
        <v>283</v>
      </c>
      <c r="C118" s="14" t="str">
        <f t="shared" si="4"/>
        <v/>
      </c>
    </row>
    <row r="119" spans="1:3" x14ac:dyDescent="0.35">
      <c r="A119" s="70">
        <v>42826</v>
      </c>
      <c r="B119" s="11" t="s">
        <v>283</v>
      </c>
      <c r="C119" s="14" t="str">
        <f t="shared" si="4"/>
        <v/>
      </c>
    </row>
    <row r="120" spans="1:3" x14ac:dyDescent="0.35">
      <c r="A120" s="70">
        <v>42856</v>
      </c>
      <c r="B120" s="11" t="s">
        <v>283</v>
      </c>
      <c r="C120" s="14" t="str">
        <f t="shared" si="4"/>
        <v/>
      </c>
    </row>
    <row r="121" spans="1:3" x14ac:dyDescent="0.35">
      <c r="A121" s="70">
        <v>42887</v>
      </c>
      <c r="B121" s="11" t="s">
        <v>283</v>
      </c>
      <c r="C121" s="14" t="str">
        <f t="shared" si="4"/>
        <v/>
      </c>
    </row>
    <row r="122" spans="1:3" x14ac:dyDescent="0.35">
      <c r="A122" s="70">
        <v>42917</v>
      </c>
      <c r="B122" s="11" t="s">
        <v>283</v>
      </c>
      <c r="C122" s="14" t="str">
        <f t="shared" ref="C122:C153" si="5">IFERROR(B122-B121,"")</f>
        <v/>
      </c>
    </row>
    <row r="123" spans="1:3" x14ac:dyDescent="0.35">
      <c r="A123" s="70">
        <v>42948</v>
      </c>
      <c r="B123" s="11" t="s">
        <v>283</v>
      </c>
      <c r="C123" s="14" t="str">
        <f t="shared" si="5"/>
        <v/>
      </c>
    </row>
    <row r="124" spans="1:3" x14ac:dyDescent="0.35">
      <c r="A124" s="70">
        <v>42979</v>
      </c>
      <c r="B124" s="11" t="s">
        <v>283</v>
      </c>
      <c r="C124" s="14" t="str">
        <f t="shared" si="5"/>
        <v/>
      </c>
    </row>
    <row r="125" spans="1:3" x14ac:dyDescent="0.35">
      <c r="A125" s="70">
        <v>43009</v>
      </c>
      <c r="B125" s="11" t="s">
        <v>283</v>
      </c>
      <c r="C125" s="14" t="str">
        <f t="shared" si="5"/>
        <v/>
      </c>
    </row>
    <row r="126" spans="1:3" x14ac:dyDescent="0.35">
      <c r="A126" s="70">
        <v>43040</v>
      </c>
      <c r="B126" s="11" t="s">
        <v>283</v>
      </c>
      <c r="C126" s="14" t="str">
        <f t="shared" si="5"/>
        <v/>
      </c>
    </row>
    <row r="127" spans="1:3" x14ac:dyDescent="0.35">
      <c r="A127" s="70">
        <v>43070</v>
      </c>
      <c r="B127" s="11" t="s">
        <v>283</v>
      </c>
      <c r="C127" s="14" t="str">
        <f t="shared" si="5"/>
        <v/>
      </c>
    </row>
    <row r="128" spans="1:3" x14ac:dyDescent="0.35">
      <c r="A128" s="70">
        <v>43101</v>
      </c>
      <c r="B128" s="11" t="s">
        <v>283</v>
      </c>
      <c r="C128" s="14" t="str">
        <f t="shared" si="5"/>
        <v/>
      </c>
    </row>
    <row r="129" spans="1:3" x14ac:dyDescent="0.35">
      <c r="A129" s="70">
        <v>43132</v>
      </c>
      <c r="B129" s="11" t="s">
        <v>283</v>
      </c>
      <c r="C129" s="14" t="str">
        <f t="shared" si="5"/>
        <v/>
      </c>
    </row>
    <row r="130" spans="1:3" x14ac:dyDescent="0.35">
      <c r="A130" s="70">
        <v>43160</v>
      </c>
      <c r="B130" s="11" t="s">
        <v>283</v>
      </c>
      <c r="C130" s="14" t="str">
        <f t="shared" si="5"/>
        <v/>
      </c>
    </row>
    <row r="131" spans="1:3" x14ac:dyDescent="0.35">
      <c r="A131" s="70">
        <v>43191</v>
      </c>
      <c r="B131" s="11" t="s">
        <v>283</v>
      </c>
      <c r="C131" s="14" t="str">
        <f t="shared" si="5"/>
        <v/>
      </c>
    </row>
    <row r="132" spans="1:3" x14ac:dyDescent="0.35">
      <c r="A132" s="70">
        <v>43221</v>
      </c>
      <c r="B132" s="11" t="s">
        <v>283</v>
      </c>
      <c r="C132" s="14" t="str">
        <f t="shared" si="5"/>
        <v/>
      </c>
    </row>
    <row r="133" spans="1:3" x14ac:dyDescent="0.35">
      <c r="A133" s="70">
        <v>43252</v>
      </c>
      <c r="B133" s="11" t="s">
        <v>283</v>
      </c>
      <c r="C133" s="14" t="str">
        <f t="shared" si="5"/>
        <v/>
      </c>
    </row>
    <row r="134" spans="1:3" x14ac:dyDescent="0.35">
      <c r="A134" s="70">
        <v>43282</v>
      </c>
      <c r="B134" s="11" t="s">
        <v>283</v>
      </c>
      <c r="C134" s="14" t="str">
        <f t="shared" si="5"/>
        <v/>
      </c>
    </row>
    <row r="135" spans="1:3" x14ac:dyDescent="0.35">
      <c r="A135" s="70">
        <v>43313</v>
      </c>
      <c r="B135" s="11" t="s">
        <v>283</v>
      </c>
      <c r="C135" s="14" t="str">
        <f t="shared" si="5"/>
        <v/>
      </c>
    </row>
    <row r="136" spans="1:3" x14ac:dyDescent="0.35">
      <c r="A136" s="70">
        <v>43344</v>
      </c>
      <c r="B136" s="11" t="s">
        <v>283</v>
      </c>
      <c r="C136" s="14" t="str">
        <f t="shared" si="5"/>
        <v/>
      </c>
    </row>
    <row r="137" spans="1:3" x14ac:dyDescent="0.35">
      <c r="A137" s="70">
        <v>43374</v>
      </c>
      <c r="B137" s="11" t="s">
        <v>283</v>
      </c>
      <c r="C137" s="14" t="str">
        <f t="shared" si="5"/>
        <v/>
      </c>
    </row>
    <row r="138" spans="1:3" x14ac:dyDescent="0.35">
      <c r="A138" s="70">
        <v>43405</v>
      </c>
      <c r="B138" s="11" t="s">
        <v>283</v>
      </c>
      <c r="C138" s="14" t="str">
        <f t="shared" si="5"/>
        <v/>
      </c>
    </row>
    <row r="139" spans="1:3" x14ac:dyDescent="0.35">
      <c r="A139" s="70">
        <v>43435</v>
      </c>
      <c r="B139" s="11" t="s">
        <v>283</v>
      </c>
      <c r="C139" s="14" t="str">
        <f t="shared" si="5"/>
        <v/>
      </c>
    </row>
    <row r="140" spans="1:3" x14ac:dyDescent="0.35">
      <c r="A140" s="70">
        <v>43466</v>
      </c>
      <c r="B140" s="11" t="s">
        <v>283</v>
      </c>
      <c r="C140" s="14" t="str">
        <f t="shared" si="5"/>
        <v/>
      </c>
    </row>
    <row r="141" spans="1:3" x14ac:dyDescent="0.35">
      <c r="A141" s="70">
        <v>43497</v>
      </c>
      <c r="B141" s="11" t="s">
        <v>283</v>
      </c>
      <c r="C141" s="14" t="str">
        <f t="shared" si="5"/>
        <v/>
      </c>
    </row>
    <row r="142" spans="1:3" x14ac:dyDescent="0.35">
      <c r="A142" s="70">
        <v>43525</v>
      </c>
      <c r="B142" s="11" t="s">
        <v>283</v>
      </c>
      <c r="C142" s="14" t="str">
        <f t="shared" si="5"/>
        <v/>
      </c>
    </row>
    <row r="143" spans="1:3" x14ac:dyDescent="0.35">
      <c r="A143" s="70">
        <v>43556</v>
      </c>
      <c r="B143" s="11" t="s">
        <v>283</v>
      </c>
      <c r="C143" s="14" t="str">
        <f t="shared" si="5"/>
        <v/>
      </c>
    </row>
    <row r="144" spans="1:3" x14ac:dyDescent="0.35">
      <c r="A144" s="70">
        <v>43586</v>
      </c>
      <c r="B144" s="11" t="s">
        <v>283</v>
      </c>
      <c r="C144" s="14" t="str">
        <f t="shared" si="5"/>
        <v/>
      </c>
    </row>
    <row r="145" spans="1:3" x14ac:dyDescent="0.35">
      <c r="A145" s="70">
        <v>43617</v>
      </c>
      <c r="B145" s="11" t="s">
        <v>283</v>
      </c>
      <c r="C145" s="14" t="str">
        <f t="shared" si="5"/>
        <v/>
      </c>
    </row>
    <row r="146" spans="1:3" x14ac:dyDescent="0.35">
      <c r="A146" s="70">
        <v>43647</v>
      </c>
      <c r="B146" s="11" t="s">
        <v>283</v>
      </c>
      <c r="C146" s="14" t="str">
        <f t="shared" si="5"/>
        <v/>
      </c>
    </row>
    <row r="147" spans="1:3" x14ac:dyDescent="0.35">
      <c r="A147" s="70">
        <v>43678</v>
      </c>
      <c r="B147" s="11" t="s">
        <v>283</v>
      </c>
      <c r="C147" s="14" t="str">
        <f t="shared" si="5"/>
        <v/>
      </c>
    </row>
    <row r="148" spans="1:3" x14ac:dyDescent="0.35">
      <c r="A148" s="70">
        <v>43709</v>
      </c>
      <c r="B148" s="11" t="s">
        <v>283</v>
      </c>
      <c r="C148" s="14" t="str">
        <f t="shared" si="5"/>
        <v/>
      </c>
    </row>
    <row r="149" spans="1:3" x14ac:dyDescent="0.35">
      <c r="A149" s="70">
        <v>43739</v>
      </c>
      <c r="B149" s="11" t="s">
        <v>283</v>
      </c>
      <c r="C149" s="14" t="str">
        <f t="shared" si="5"/>
        <v/>
      </c>
    </row>
    <row r="150" spans="1:3" x14ac:dyDescent="0.35">
      <c r="A150" s="70">
        <v>43770</v>
      </c>
      <c r="B150" s="11" t="s">
        <v>283</v>
      </c>
      <c r="C150" s="14" t="str">
        <f t="shared" si="5"/>
        <v/>
      </c>
    </row>
    <row r="151" spans="1:3" x14ac:dyDescent="0.35">
      <c r="A151" s="70">
        <v>43800</v>
      </c>
      <c r="B151" s="11" t="s">
        <v>283</v>
      </c>
      <c r="C151" s="14" t="str">
        <f t="shared" si="5"/>
        <v/>
      </c>
    </row>
    <row r="152" spans="1:3" x14ac:dyDescent="0.35">
      <c r="A152" s="70">
        <v>43831</v>
      </c>
      <c r="B152" s="11" t="s">
        <v>283</v>
      </c>
      <c r="C152" s="14" t="str">
        <f t="shared" si="5"/>
        <v/>
      </c>
    </row>
    <row r="153" spans="1:3" x14ac:dyDescent="0.35">
      <c r="A153" s="70">
        <v>43862</v>
      </c>
      <c r="B153" s="11" t="s">
        <v>283</v>
      </c>
      <c r="C153" s="14" t="str">
        <f t="shared" si="5"/>
        <v/>
      </c>
    </row>
    <row r="154" spans="1:3" x14ac:dyDescent="0.35">
      <c r="A154" s="70">
        <v>43891</v>
      </c>
      <c r="B154" s="11" t="s">
        <v>283</v>
      </c>
      <c r="C154" s="14" t="str">
        <f t="shared" ref="C154:C185" si="6">IFERROR(B154-B153,"")</f>
        <v/>
      </c>
    </row>
    <row r="155" spans="1:3" x14ac:dyDescent="0.35">
      <c r="A155" s="70">
        <v>43922</v>
      </c>
      <c r="B155" s="11" t="s">
        <v>283</v>
      </c>
      <c r="C155" s="14" t="str">
        <f t="shared" si="6"/>
        <v/>
      </c>
    </row>
    <row r="156" spans="1:3" x14ac:dyDescent="0.35">
      <c r="A156" s="70">
        <v>43952</v>
      </c>
      <c r="B156" s="11" t="s">
        <v>283</v>
      </c>
      <c r="C156" s="14" t="str">
        <f t="shared" si="6"/>
        <v/>
      </c>
    </row>
    <row r="157" spans="1:3" x14ac:dyDescent="0.35">
      <c r="A157" s="70">
        <v>43983</v>
      </c>
      <c r="B157" s="11" t="s">
        <v>283</v>
      </c>
      <c r="C157" s="14" t="str">
        <f t="shared" si="6"/>
        <v/>
      </c>
    </row>
    <row r="158" spans="1:3" x14ac:dyDescent="0.35">
      <c r="A158" s="70">
        <v>44013</v>
      </c>
      <c r="B158" s="11" t="s">
        <v>283</v>
      </c>
      <c r="C158" s="14" t="str">
        <f t="shared" si="6"/>
        <v/>
      </c>
    </row>
    <row r="159" spans="1:3" x14ac:dyDescent="0.35">
      <c r="A159" s="70">
        <v>44044</v>
      </c>
      <c r="B159" s="11" t="s">
        <v>283</v>
      </c>
      <c r="C159" s="14" t="str">
        <f t="shared" si="6"/>
        <v/>
      </c>
    </row>
    <row r="160" spans="1:3" x14ac:dyDescent="0.35">
      <c r="A160" s="70">
        <v>44075</v>
      </c>
      <c r="B160" s="11" t="s">
        <v>283</v>
      </c>
      <c r="C160" s="14" t="str">
        <f t="shared" si="6"/>
        <v/>
      </c>
    </row>
    <row r="161" spans="1:3" x14ac:dyDescent="0.35">
      <c r="A161" s="70">
        <v>44105</v>
      </c>
      <c r="B161" s="11" t="s">
        <v>283</v>
      </c>
      <c r="C161" s="14" t="str">
        <f t="shared" si="6"/>
        <v/>
      </c>
    </row>
    <row r="162" spans="1:3" x14ac:dyDescent="0.35">
      <c r="A162" s="70">
        <v>44136</v>
      </c>
      <c r="B162" s="11" t="s">
        <v>283</v>
      </c>
      <c r="C162" s="14" t="str">
        <f t="shared" si="6"/>
        <v/>
      </c>
    </row>
    <row r="163" spans="1:3" x14ac:dyDescent="0.35">
      <c r="A163" s="70">
        <v>44166</v>
      </c>
      <c r="B163" s="11" t="s">
        <v>283</v>
      </c>
      <c r="C163" s="14" t="str">
        <f t="shared" si="6"/>
        <v/>
      </c>
    </row>
    <row r="164" spans="1:3" x14ac:dyDescent="0.35">
      <c r="A164" s="70">
        <v>44197</v>
      </c>
      <c r="B164" s="11" t="s">
        <v>283</v>
      </c>
      <c r="C164" s="14" t="str">
        <f t="shared" si="6"/>
        <v/>
      </c>
    </row>
    <row r="165" spans="1:3" x14ac:dyDescent="0.35">
      <c r="A165" s="70">
        <v>44228</v>
      </c>
      <c r="B165" s="11" t="s">
        <v>283</v>
      </c>
      <c r="C165" s="14" t="str">
        <f t="shared" si="6"/>
        <v/>
      </c>
    </row>
    <row r="166" spans="1:3" x14ac:dyDescent="0.35">
      <c r="A166" s="70">
        <v>44256</v>
      </c>
      <c r="B166" s="11" t="s">
        <v>283</v>
      </c>
      <c r="C166" s="14" t="str">
        <f t="shared" si="6"/>
        <v/>
      </c>
    </row>
    <row r="167" spans="1:3" x14ac:dyDescent="0.35">
      <c r="A167" s="70">
        <v>44287</v>
      </c>
      <c r="B167" s="11" t="s">
        <v>283</v>
      </c>
      <c r="C167" s="14" t="str">
        <f t="shared" si="6"/>
        <v/>
      </c>
    </row>
    <row r="168" spans="1:3" x14ac:dyDescent="0.35">
      <c r="A168" s="70">
        <v>44317</v>
      </c>
      <c r="B168" s="11" t="s">
        <v>283</v>
      </c>
      <c r="C168" s="14" t="str">
        <f t="shared" si="6"/>
        <v/>
      </c>
    </row>
    <row r="169" spans="1:3" x14ac:dyDescent="0.35">
      <c r="A169" s="70">
        <v>44348</v>
      </c>
      <c r="B169" s="11" t="s">
        <v>283</v>
      </c>
      <c r="C169" s="14" t="str">
        <f t="shared" si="6"/>
        <v/>
      </c>
    </row>
    <row r="170" spans="1:3" x14ac:dyDescent="0.35">
      <c r="A170" s="70">
        <v>44378</v>
      </c>
      <c r="B170" s="11" t="s">
        <v>283</v>
      </c>
      <c r="C170" s="14" t="str">
        <f t="shared" si="6"/>
        <v/>
      </c>
    </row>
    <row r="171" spans="1:3" x14ac:dyDescent="0.35">
      <c r="A171" s="70">
        <v>44409</v>
      </c>
      <c r="B171" s="11" t="s">
        <v>283</v>
      </c>
      <c r="C171" s="14" t="str">
        <f t="shared" si="6"/>
        <v/>
      </c>
    </row>
    <row r="172" spans="1:3" x14ac:dyDescent="0.35">
      <c r="A172" s="70">
        <v>44440</v>
      </c>
      <c r="B172" s="11" t="s">
        <v>283</v>
      </c>
      <c r="C172" s="14" t="str">
        <f t="shared" si="6"/>
        <v/>
      </c>
    </row>
    <row r="173" spans="1:3" x14ac:dyDescent="0.35">
      <c r="A173" s="70">
        <v>44470</v>
      </c>
      <c r="B173" s="11" t="s">
        <v>283</v>
      </c>
      <c r="C173" s="14" t="str">
        <f t="shared" si="6"/>
        <v/>
      </c>
    </row>
    <row r="174" spans="1:3" x14ac:dyDescent="0.35">
      <c r="A174" s="70">
        <v>44501</v>
      </c>
      <c r="B174" s="11" t="s">
        <v>283</v>
      </c>
      <c r="C174" s="14" t="str">
        <f t="shared" si="6"/>
        <v/>
      </c>
    </row>
    <row r="175" spans="1:3" x14ac:dyDescent="0.35">
      <c r="A175" s="70">
        <v>44531</v>
      </c>
      <c r="B175" s="11" t="s">
        <v>283</v>
      </c>
      <c r="C175" s="14" t="str">
        <f t="shared" si="6"/>
        <v/>
      </c>
    </row>
    <row r="176" spans="1:3" x14ac:dyDescent="0.35">
      <c r="A176" s="70">
        <v>44562</v>
      </c>
      <c r="B176" s="11" t="s">
        <v>283</v>
      </c>
      <c r="C176" s="14" t="str">
        <f t="shared" si="6"/>
        <v/>
      </c>
    </row>
    <row r="177" spans="1:3" x14ac:dyDescent="0.35">
      <c r="A177" s="70">
        <v>44593</v>
      </c>
      <c r="B177" s="11" t="s">
        <v>283</v>
      </c>
      <c r="C177" s="14" t="str">
        <f t="shared" si="6"/>
        <v/>
      </c>
    </row>
    <row r="178" spans="1:3" x14ac:dyDescent="0.35">
      <c r="A178" s="70">
        <v>44621</v>
      </c>
      <c r="B178" s="11" t="s">
        <v>283</v>
      </c>
      <c r="C178" s="14" t="str">
        <f t="shared" si="6"/>
        <v/>
      </c>
    </row>
    <row r="179" spans="1:3" x14ac:dyDescent="0.35">
      <c r="A179" s="70">
        <v>44652</v>
      </c>
      <c r="B179" s="11" t="s">
        <v>283</v>
      </c>
      <c r="C179" s="14" t="str">
        <f t="shared" si="6"/>
        <v/>
      </c>
    </row>
    <row r="180" spans="1:3" x14ac:dyDescent="0.35">
      <c r="A180" s="70">
        <v>44682</v>
      </c>
      <c r="B180" s="11" t="s">
        <v>283</v>
      </c>
      <c r="C180" s="14" t="str">
        <f t="shared" si="6"/>
        <v/>
      </c>
    </row>
    <row r="181" spans="1:3" x14ac:dyDescent="0.35">
      <c r="A181" s="70">
        <v>44713</v>
      </c>
      <c r="B181" s="11" t="s">
        <v>283</v>
      </c>
      <c r="C181" s="14" t="str">
        <f t="shared" si="6"/>
        <v/>
      </c>
    </row>
    <row r="182" spans="1:3" x14ac:dyDescent="0.35">
      <c r="A182" s="70">
        <v>44743</v>
      </c>
      <c r="B182" s="11" t="s">
        <v>283</v>
      </c>
      <c r="C182" s="14" t="str">
        <f t="shared" si="6"/>
        <v/>
      </c>
    </row>
    <row r="183" spans="1:3" x14ac:dyDescent="0.35">
      <c r="A183" s="70">
        <v>44774</v>
      </c>
      <c r="B183" s="11" t="s">
        <v>283</v>
      </c>
      <c r="C183" s="14" t="str">
        <f t="shared" si="6"/>
        <v/>
      </c>
    </row>
    <row r="184" spans="1:3" x14ac:dyDescent="0.35">
      <c r="A184" s="70">
        <v>44805</v>
      </c>
      <c r="B184" s="11" t="s">
        <v>283</v>
      </c>
      <c r="C184" s="14" t="str">
        <f t="shared" si="6"/>
        <v/>
      </c>
    </row>
    <row r="185" spans="1:3" x14ac:dyDescent="0.35">
      <c r="A185" s="70">
        <v>44835</v>
      </c>
      <c r="B185" s="11" t="s">
        <v>283</v>
      </c>
      <c r="C185" s="14" t="str">
        <f t="shared" si="6"/>
        <v/>
      </c>
    </row>
    <row r="186" spans="1:3" x14ac:dyDescent="0.35">
      <c r="A186" s="70">
        <v>44866</v>
      </c>
      <c r="B186" s="11" t="s">
        <v>283</v>
      </c>
      <c r="C186" s="14" t="str">
        <f t="shared" ref="C186:C217" si="7">IFERROR(B186-B185,"")</f>
        <v/>
      </c>
    </row>
    <row r="187" spans="1:3" x14ac:dyDescent="0.35">
      <c r="A187" s="70">
        <v>44896</v>
      </c>
      <c r="B187" s="11" t="s">
        <v>283</v>
      </c>
      <c r="C187" s="14" t="str">
        <f t="shared" si="7"/>
        <v/>
      </c>
    </row>
    <row r="188" spans="1:3" x14ac:dyDescent="0.35">
      <c r="A188" s="70">
        <v>44927</v>
      </c>
      <c r="B188" s="11" t="s">
        <v>283</v>
      </c>
      <c r="C188" s="14" t="str">
        <f t="shared" si="7"/>
        <v/>
      </c>
    </row>
    <row r="189" spans="1:3" x14ac:dyDescent="0.35">
      <c r="A189" s="70">
        <v>44958</v>
      </c>
      <c r="B189" s="11" t="s">
        <v>283</v>
      </c>
      <c r="C189" s="14" t="str">
        <f t="shared" si="7"/>
        <v/>
      </c>
    </row>
    <row r="190" spans="1:3" x14ac:dyDescent="0.35">
      <c r="A190" s="70">
        <v>44986</v>
      </c>
      <c r="B190" s="11" t="s">
        <v>283</v>
      </c>
      <c r="C190" s="14" t="str">
        <f t="shared" si="7"/>
        <v/>
      </c>
    </row>
    <row r="191" spans="1:3" x14ac:dyDescent="0.35">
      <c r="A191" s="70">
        <v>45017</v>
      </c>
      <c r="B191" s="11" t="s">
        <v>283</v>
      </c>
      <c r="C191" s="14" t="str">
        <f t="shared" si="7"/>
        <v/>
      </c>
    </row>
    <row r="192" spans="1:3" x14ac:dyDescent="0.35">
      <c r="A192" s="70">
        <v>45047</v>
      </c>
      <c r="B192" s="11" t="s">
        <v>283</v>
      </c>
      <c r="C192" s="14" t="str">
        <f t="shared" si="7"/>
        <v/>
      </c>
    </row>
    <row r="193" spans="1:3" x14ac:dyDescent="0.35">
      <c r="A193" s="70">
        <v>45078</v>
      </c>
      <c r="B193" s="11" t="s">
        <v>283</v>
      </c>
      <c r="C193" s="14" t="str">
        <f t="shared" si="7"/>
        <v/>
      </c>
    </row>
    <row r="194" spans="1:3" x14ac:dyDescent="0.35">
      <c r="A194" s="70">
        <v>45108</v>
      </c>
      <c r="B194" s="11" t="s">
        <v>283</v>
      </c>
      <c r="C194" s="14" t="str">
        <f t="shared" si="7"/>
        <v/>
      </c>
    </row>
    <row r="195" spans="1:3" x14ac:dyDescent="0.35">
      <c r="A195" s="70">
        <v>45139</v>
      </c>
      <c r="B195" s="11" t="s">
        <v>283</v>
      </c>
      <c r="C195" s="14" t="str">
        <f t="shared" si="7"/>
        <v/>
      </c>
    </row>
    <row r="196" spans="1:3" x14ac:dyDescent="0.35">
      <c r="A196" s="70">
        <v>45170</v>
      </c>
      <c r="B196" s="11" t="s">
        <v>283</v>
      </c>
      <c r="C196" s="14" t="str">
        <f t="shared" si="7"/>
        <v/>
      </c>
    </row>
    <row r="197" spans="1:3" x14ac:dyDescent="0.35">
      <c r="A197" s="70">
        <v>45200</v>
      </c>
      <c r="B197" s="11" t="s">
        <v>283</v>
      </c>
      <c r="C197" s="14" t="str">
        <f t="shared" si="7"/>
        <v/>
      </c>
    </row>
    <row r="198" spans="1:3" x14ac:dyDescent="0.35">
      <c r="A198" s="70">
        <v>45231</v>
      </c>
      <c r="B198" s="11" t="s">
        <v>283</v>
      </c>
      <c r="C198" s="14" t="str">
        <f t="shared" si="7"/>
        <v/>
      </c>
    </row>
    <row r="199" spans="1:3" x14ac:dyDescent="0.35">
      <c r="A199" s="70">
        <v>45261</v>
      </c>
      <c r="B199" s="11" t="s">
        <v>283</v>
      </c>
      <c r="C199" s="14" t="str">
        <f t="shared" si="7"/>
        <v/>
      </c>
    </row>
    <row r="200" spans="1:3" x14ac:dyDescent="0.35">
      <c r="A200" s="70">
        <v>45292</v>
      </c>
      <c r="B200" s="11" t="s">
        <v>283</v>
      </c>
      <c r="C200" s="14" t="str">
        <f t="shared" si="7"/>
        <v/>
      </c>
    </row>
    <row r="201" spans="1:3" x14ac:dyDescent="0.35">
      <c r="A201" s="70">
        <v>45323</v>
      </c>
      <c r="B201" s="11" t="s">
        <v>283</v>
      </c>
      <c r="C201" s="14" t="str">
        <f t="shared" si="7"/>
        <v/>
      </c>
    </row>
    <row r="202" spans="1:3" x14ac:dyDescent="0.35">
      <c r="A202" s="70">
        <v>45352</v>
      </c>
      <c r="B202" s="11" t="s">
        <v>283</v>
      </c>
      <c r="C202" s="14" t="str">
        <f t="shared" si="7"/>
        <v/>
      </c>
    </row>
    <row r="203" spans="1:3" x14ac:dyDescent="0.35">
      <c r="A203" s="70">
        <v>45383</v>
      </c>
      <c r="B203" s="11" t="s">
        <v>283</v>
      </c>
      <c r="C203" s="14" t="str">
        <f t="shared" si="7"/>
        <v/>
      </c>
    </row>
    <row r="204" spans="1:3" x14ac:dyDescent="0.35">
      <c r="A204" s="70">
        <v>45413</v>
      </c>
      <c r="B204" s="11" t="s">
        <v>283</v>
      </c>
      <c r="C204" s="14" t="str">
        <f t="shared" si="7"/>
        <v/>
      </c>
    </row>
    <row r="205" spans="1:3" x14ac:dyDescent="0.35">
      <c r="A205" s="70">
        <v>45444</v>
      </c>
      <c r="B205" s="11" t="s">
        <v>283</v>
      </c>
      <c r="C205" s="14" t="str">
        <f t="shared" si="7"/>
        <v/>
      </c>
    </row>
    <row r="206" spans="1:3" x14ac:dyDescent="0.35">
      <c r="A206" s="70">
        <v>45474</v>
      </c>
      <c r="B206" s="11" t="s">
        <v>283</v>
      </c>
      <c r="C206" s="14" t="str">
        <f t="shared" si="7"/>
        <v/>
      </c>
    </row>
    <row r="207" spans="1:3" x14ac:dyDescent="0.35">
      <c r="A207" s="70">
        <v>45505</v>
      </c>
      <c r="B207" s="11" t="s">
        <v>283</v>
      </c>
      <c r="C207" s="14" t="str">
        <f t="shared" si="7"/>
        <v/>
      </c>
    </row>
    <row r="208" spans="1:3" x14ac:dyDescent="0.35">
      <c r="A208" s="70">
        <v>45536</v>
      </c>
      <c r="B208" s="11" t="s">
        <v>283</v>
      </c>
      <c r="C208" s="14" t="str">
        <f t="shared" si="7"/>
        <v/>
      </c>
    </row>
    <row r="209" spans="1:3" x14ac:dyDescent="0.35">
      <c r="A209" s="70">
        <v>45566</v>
      </c>
      <c r="B209" s="11" t="s">
        <v>283</v>
      </c>
      <c r="C209" s="14" t="str">
        <f t="shared" si="7"/>
        <v/>
      </c>
    </row>
    <row r="210" spans="1:3" x14ac:dyDescent="0.35">
      <c r="A210" s="70">
        <v>45597</v>
      </c>
      <c r="B210" s="11" t="s">
        <v>283</v>
      </c>
      <c r="C210" s="14" t="str">
        <f t="shared" si="7"/>
        <v/>
      </c>
    </row>
    <row r="211" spans="1:3" x14ac:dyDescent="0.35">
      <c r="A211" s="70">
        <v>45627</v>
      </c>
      <c r="B211" s="11" t="s">
        <v>283</v>
      </c>
      <c r="C211" s="14" t="str">
        <f t="shared" si="7"/>
        <v/>
      </c>
    </row>
    <row r="212" spans="1:3" x14ac:dyDescent="0.35">
      <c r="A212" s="70">
        <v>45658</v>
      </c>
      <c r="B212" s="11" t="s">
        <v>283</v>
      </c>
      <c r="C212" s="14" t="str">
        <f t="shared" si="7"/>
        <v/>
      </c>
    </row>
    <row r="213" spans="1:3" x14ac:dyDescent="0.35">
      <c r="A213" s="70">
        <v>45689</v>
      </c>
      <c r="B213" s="11" t="s">
        <v>283</v>
      </c>
      <c r="C213" s="14" t="str">
        <f t="shared" si="7"/>
        <v/>
      </c>
    </row>
    <row r="214" spans="1:3" x14ac:dyDescent="0.35">
      <c r="A214" s="70">
        <v>45717</v>
      </c>
      <c r="B214" s="11" t="s">
        <v>283</v>
      </c>
      <c r="C214" s="14" t="str">
        <f t="shared" si="7"/>
        <v/>
      </c>
    </row>
    <row r="215" spans="1:3" x14ac:dyDescent="0.35">
      <c r="A215" s="70">
        <v>45748</v>
      </c>
      <c r="B215" s="11" t="s">
        <v>283</v>
      </c>
      <c r="C215" s="14" t="str">
        <f t="shared" si="7"/>
        <v/>
      </c>
    </row>
    <row r="216" spans="1:3" x14ac:dyDescent="0.35">
      <c r="A216" s="70">
        <v>45778</v>
      </c>
      <c r="B216" s="11" t="s">
        <v>283</v>
      </c>
      <c r="C216" s="14" t="str">
        <f t="shared" si="7"/>
        <v/>
      </c>
    </row>
    <row r="217" spans="1:3" x14ac:dyDescent="0.35">
      <c r="A217" s="70">
        <v>45809</v>
      </c>
      <c r="B217" s="11" t="s">
        <v>283</v>
      </c>
      <c r="C217" s="14" t="str">
        <f t="shared" si="7"/>
        <v/>
      </c>
    </row>
    <row r="218" spans="1:3" x14ac:dyDescent="0.35">
      <c r="A218" s="70">
        <v>45839</v>
      </c>
      <c r="B218" s="11" t="s">
        <v>283</v>
      </c>
      <c r="C218" s="14" t="str">
        <f t="shared" ref="C218:C228" si="8">IFERROR(B218-B217,"")</f>
        <v/>
      </c>
    </row>
    <row r="219" spans="1:3" x14ac:dyDescent="0.35">
      <c r="A219" s="70">
        <v>45870</v>
      </c>
      <c r="B219" s="11" t="s">
        <v>283</v>
      </c>
      <c r="C219" s="14" t="str">
        <f t="shared" si="8"/>
        <v/>
      </c>
    </row>
    <row r="220" spans="1:3" x14ac:dyDescent="0.35">
      <c r="A220" s="70">
        <v>45901</v>
      </c>
      <c r="B220" s="11" t="s">
        <v>283</v>
      </c>
      <c r="C220" s="14" t="str">
        <f t="shared" si="8"/>
        <v/>
      </c>
    </row>
    <row r="221" spans="1:3" x14ac:dyDescent="0.35">
      <c r="A221" s="70">
        <v>45931</v>
      </c>
      <c r="B221" s="11" t="s">
        <v>283</v>
      </c>
      <c r="C221" s="14" t="str">
        <f t="shared" si="8"/>
        <v/>
      </c>
    </row>
    <row r="222" spans="1:3" x14ac:dyDescent="0.35">
      <c r="A222" s="70">
        <v>45962</v>
      </c>
      <c r="B222" s="11" t="s">
        <v>283</v>
      </c>
      <c r="C222" s="14" t="str">
        <f t="shared" si="8"/>
        <v/>
      </c>
    </row>
    <row r="223" spans="1:3" x14ac:dyDescent="0.35">
      <c r="A223" s="70">
        <v>45992</v>
      </c>
      <c r="B223" s="11" t="s">
        <v>283</v>
      </c>
      <c r="C223" s="14" t="str">
        <f t="shared" si="8"/>
        <v/>
      </c>
    </row>
    <row r="224" spans="1:3" x14ac:dyDescent="0.35">
      <c r="A224" s="70">
        <v>46023</v>
      </c>
      <c r="B224" s="11" t="s">
        <v>283</v>
      </c>
      <c r="C224" s="14" t="str">
        <f t="shared" si="8"/>
        <v/>
      </c>
    </row>
    <row r="225" spans="1:3" x14ac:dyDescent="0.35">
      <c r="A225" s="70">
        <v>46054</v>
      </c>
      <c r="B225" s="11" t="s">
        <v>283</v>
      </c>
      <c r="C225" s="14" t="str">
        <f t="shared" si="8"/>
        <v/>
      </c>
    </row>
    <row r="226" spans="1:3" x14ac:dyDescent="0.35">
      <c r="A226" s="70">
        <v>46082</v>
      </c>
      <c r="B226" s="11" t="s">
        <v>283</v>
      </c>
      <c r="C226" s="14" t="str">
        <f t="shared" si="8"/>
        <v/>
      </c>
    </row>
    <row r="227" spans="1:3" x14ac:dyDescent="0.35">
      <c r="A227" s="70">
        <v>46113</v>
      </c>
      <c r="B227" s="11">
        <v>47.6</v>
      </c>
      <c r="C227" s="14" t="str">
        <f t="shared" si="8"/>
        <v/>
      </c>
    </row>
    <row r="228" spans="1:3" x14ac:dyDescent="0.35">
      <c r="A228" s="70">
        <v>46143</v>
      </c>
      <c r="B228" s="11">
        <v>47.7</v>
      </c>
      <c r="C228" s="14">
        <f t="shared" si="8"/>
        <v>0.10000000000000142</v>
      </c>
    </row>
  </sheetData>
  <conditionalFormatting sqref="B2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8"/>
  <sheetViews>
    <sheetView zoomScale="70" zoomScaleNormal="70" workbookViewId="0">
      <pane xSplit="1" ySplit="1" topLeftCell="B68" activePane="bottomRight" state="frozen"/>
      <selection activeCell="D88" sqref="D88"/>
      <selection pane="topRight" activeCell="D88" sqref="D88"/>
      <selection pane="bottomLeft" activeCell="D88" sqref="D88"/>
      <selection pane="bottomRight" sqref="A1:D90"/>
    </sheetView>
  </sheetViews>
  <sheetFormatPr defaultRowHeight="14.5" x14ac:dyDescent="0.35"/>
  <cols>
    <col min="1" max="1" width="9.7265625" style="7" customWidth="1"/>
    <col min="2" max="2" width="27.26953125" style="8" customWidth="1"/>
    <col min="3" max="3" width="12.26953125" style="7" customWidth="1"/>
    <col min="4" max="4" width="23.36328125" customWidth="1"/>
  </cols>
  <sheetData>
    <row r="1" spans="1:4" x14ac:dyDescent="0.35">
      <c r="A1" s="69" t="s">
        <v>0</v>
      </c>
      <c r="B1" s="8" t="s">
        <v>5</v>
      </c>
      <c r="C1" s="7" t="s">
        <v>1</v>
      </c>
      <c r="D1" s="1" t="s">
        <v>18</v>
      </c>
    </row>
    <row r="2" spans="1:4" x14ac:dyDescent="0.35">
      <c r="A2" s="70">
        <v>39264</v>
      </c>
      <c r="B2" s="11">
        <v>58.9</v>
      </c>
    </row>
    <row r="3" spans="1:4" x14ac:dyDescent="0.35">
      <c r="A3" s="70">
        <v>39295</v>
      </c>
      <c r="B3" s="11">
        <v>59.8</v>
      </c>
      <c r="C3" s="14">
        <f t="shared" ref="C3:C41" si="0">B3-B2</f>
        <v>0.89999999999999858</v>
      </c>
    </row>
    <row r="4" spans="1:4" x14ac:dyDescent="0.35">
      <c r="A4" s="70">
        <v>39326</v>
      </c>
      <c r="B4" s="11">
        <v>53.1</v>
      </c>
      <c r="C4" s="14">
        <f t="shared" si="0"/>
        <v>-6.6999999999999957</v>
      </c>
      <c r="D4" s="1">
        <v>8.0000000000000002E-3</v>
      </c>
    </row>
    <row r="5" spans="1:4" x14ac:dyDescent="0.35">
      <c r="A5" s="70">
        <v>39356</v>
      </c>
      <c r="B5" s="11">
        <v>55.1</v>
      </c>
      <c r="C5" s="14">
        <f t="shared" si="0"/>
        <v>2</v>
      </c>
      <c r="D5" s="1"/>
    </row>
    <row r="6" spans="1:4" x14ac:dyDescent="0.35">
      <c r="A6" s="70">
        <v>39387</v>
      </c>
      <c r="B6" s="11">
        <v>53.1</v>
      </c>
      <c r="C6" s="14">
        <f t="shared" si="0"/>
        <v>-2</v>
      </c>
      <c r="D6" s="1"/>
    </row>
    <row r="7" spans="1:4" x14ac:dyDescent="0.35">
      <c r="A7" s="70">
        <v>39417</v>
      </c>
      <c r="B7" s="11">
        <v>51.5</v>
      </c>
      <c r="C7" s="14">
        <f t="shared" si="0"/>
        <v>-1.6000000000000014</v>
      </c>
      <c r="D7" s="1">
        <v>1E-3</v>
      </c>
    </row>
    <row r="8" spans="1:4" x14ac:dyDescent="0.35">
      <c r="A8" s="70">
        <v>39448</v>
      </c>
      <c r="B8" s="11">
        <v>49.2</v>
      </c>
      <c r="C8" s="14">
        <f t="shared" si="0"/>
        <v>-2.2999999999999972</v>
      </c>
    </row>
    <row r="9" spans="1:4" x14ac:dyDescent="0.35">
      <c r="A9" s="70">
        <v>39479</v>
      </c>
      <c r="B9" s="11">
        <v>52.2</v>
      </c>
      <c r="C9" s="14">
        <f t="shared" si="0"/>
        <v>3</v>
      </c>
    </row>
    <row r="10" spans="1:4" x14ac:dyDescent="0.35">
      <c r="A10" s="70">
        <v>39508</v>
      </c>
      <c r="B10" s="11">
        <v>51.8</v>
      </c>
      <c r="C10" s="14">
        <f t="shared" si="0"/>
        <v>-0.40000000000000568</v>
      </c>
      <c r="D10" s="1">
        <v>1.6E-2</v>
      </c>
    </row>
    <row r="11" spans="1:4" x14ac:dyDescent="0.35">
      <c r="A11" s="70">
        <v>39539</v>
      </c>
      <c r="B11" s="11">
        <v>54.9</v>
      </c>
      <c r="C11" s="14">
        <f t="shared" si="0"/>
        <v>3.1000000000000014</v>
      </c>
    </row>
    <row r="12" spans="1:4" x14ac:dyDescent="0.35">
      <c r="A12" s="70">
        <v>39569</v>
      </c>
      <c r="B12" s="11">
        <v>53.8</v>
      </c>
      <c r="C12" s="14">
        <f t="shared" si="0"/>
        <v>-1.1000000000000014</v>
      </c>
    </row>
    <row r="13" spans="1:4" x14ac:dyDescent="0.35">
      <c r="A13" s="70">
        <v>39600</v>
      </c>
      <c r="B13" s="11">
        <v>52.1</v>
      </c>
      <c r="C13" s="14">
        <f t="shared" si="0"/>
        <v>-1.6999999999999957</v>
      </c>
      <c r="D13" s="1">
        <v>-6.0000000000000001E-3</v>
      </c>
    </row>
    <row r="14" spans="1:4" x14ac:dyDescent="0.35">
      <c r="A14" s="70">
        <v>39630</v>
      </c>
      <c r="B14" s="11">
        <v>53.1</v>
      </c>
      <c r="C14" s="14">
        <f t="shared" si="0"/>
        <v>1</v>
      </c>
    </row>
    <row r="15" spans="1:4" x14ac:dyDescent="0.35">
      <c r="A15" s="70">
        <v>39661</v>
      </c>
      <c r="B15" s="11">
        <v>51.4</v>
      </c>
      <c r="C15" s="14">
        <f t="shared" si="0"/>
        <v>-1.7000000000000028</v>
      </c>
    </row>
    <row r="16" spans="1:4" x14ac:dyDescent="0.35">
      <c r="A16" s="70">
        <v>39692</v>
      </c>
      <c r="B16" s="11">
        <v>50.2</v>
      </c>
      <c r="C16" s="14">
        <f t="shared" si="0"/>
        <v>-1.1999999999999957</v>
      </c>
      <c r="D16" s="1">
        <v>-3.0000000000000001E-3</v>
      </c>
    </row>
    <row r="17" spans="1:4" x14ac:dyDescent="0.35">
      <c r="A17" s="70">
        <v>39722</v>
      </c>
      <c r="B17" s="11">
        <v>48.3</v>
      </c>
      <c r="C17" s="14">
        <f t="shared" si="0"/>
        <v>-1.9000000000000057</v>
      </c>
    </row>
    <row r="18" spans="1:4" x14ac:dyDescent="0.35">
      <c r="A18" s="70">
        <v>39753</v>
      </c>
      <c r="B18" s="11">
        <v>45.1</v>
      </c>
      <c r="C18" s="14">
        <f t="shared" si="0"/>
        <v>-3.1999999999999957</v>
      </c>
    </row>
    <row r="19" spans="1:4" x14ac:dyDescent="0.35">
      <c r="A19" s="70">
        <v>39783</v>
      </c>
      <c r="B19" s="11">
        <v>43.1</v>
      </c>
      <c r="C19" s="14">
        <f t="shared" si="0"/>
        <v>-2</v>
      </c>
      <c r="D19" s="1">
        <v>-2.4E-2</v>
      </c>
    </row>
    <row r="20" spans="1:4" x14ac:dyDescent="0.35">
      <c r="A20" s="70">
        <v>39814</v>
      </c>
      <c r="B20" s="11">
        <v>45.2</v>
      </c>
      <c r="C20" s="14">
        <f t="shared" si="0"/>
        <v>2.1000000000000014</v>
      </c>
    </row>
    <row r="21" spans="1:4" x14ac:dyDescent="0.35">
      <c r="A21" s="70">
        <v>39845</v>
      </c>
      <c r="B21" s="11">
        <v>41.3</v>
      </c>
      <c r="C21" s="14">
        <f t="shared" si="0"/>
        <v>-3.9000000000000057</v>
      </c>
    </row>
    <row r="22" spans="1:4" x14ac:dyDescent="0.35">
      <c r="A22" s="70">
        <v>39873</v>
      </c>
      <c r="B22" s="11">
        <v>42.3</v>
      </c>
      <c r="C22" s="14">
        <f t="shared" si="0"/>
        <v>1</v>
      </c>
      <c r="D22" s="1">
        <v>-3.6999999999999998E-2</v>
      </c>
    </row>
    <row r="23" spans="1:4" x14ac:dyDescent="0.35">
      <c r="A23" s="70">
        <v>39904</v>
      </c>
      <c r="B23" s="11">
        <v>43.8</v>
      </c>
      <c r="C23" s="14">
        <f t="shared" si="0"/>
        <v>1.5</v>
      </c>
    </row>
    <row r="24" spans="1:4" x14ac:dyDescent="0.35">
      <c r="A24" s="70">
        <v>39934</v>
      </c>
      <c r="B24" s="11">
        <v>45.2</v>
      </c>
      <c r="C24" s="14">
        <f t="shared" si="0"/>
        <v>1.4000000000000057</v>
      </c>
    </row>
    <row r="25" spans="1:4" x14ac:dyDescent="0.35">
      <c r="A25" s="70">
        <v>39965</v>
      </c>
      <c r="B25" s="11">
        <v>45.2</v>
      </c>
      <c r="C25" s="14">
        <f t="shared" si="0"/>
        <v>0</v>
      </c>
      <c r="D25" s="1">
        <v>5.0000000000000001E-3</v>
      </c>
    </row>
    <row r="26" spans="1:4" x14ac:dyDescent="0.35">
      <c r="A26" s="70">
        <v>39995</v>
      </c>
      <c r="B26" s="11">
        <v>48.1</v>
      </c>
      <c r="C26" s="14">
        <f t="shared" si="0"/>
        <v>2.8999999999999986</v>
      </c>
    </row>
    <row r="27" spans="1:4" x14ac:dyDescent="0.35">
      <c r="A27" s="70">
        <v>40026</v>
      </c>
      <c r="B27" s="11">
        <v>53.8</v>
      </c>
      <c r="C27" s="14">
        <f t="shared" si="0"/>
        <v>5.6999999999999957</v>
      </c>
    </row>
    <row r="28" spans="1:4" x14ac:dyDescent="0.35">
      <c r="A28" s="70">
        <v>40057</v>
      </c>
      <c r="B28" s="11">
        <v>52.2</v>
      </c>
      <c r="C28" s="14">
        <f t="shared" si="0"/>
        <v>-1.5999999999999943</v>
      </c>
      <c r="D28" s="1">
        <v>8.0000000000000002E-3</v>
      </c>
    </row>
    <row r="29" spans="1:4" x14ac:dyDescent="0.35">
      <c r="A29" s="70">
        <v>40087</v>
      </c>
      <c r="B29" s="11">
        <v>50.7</v>
      </c>
      <c r="C29" s="14">
        <f t="shared" si="0"/>
        <v>-1.5</v>
      </c>
    </row>
    <row r="30" spans="1:4" x14ac:dyDescent="0.35">
      <c r="A30" s="70">
        <v>40118</v>
      </c>
      <c r="B30" s="11">
        <v>51.4</v>
      </c>
      <c r="C30" s="14">
        <f t="shared" si="0"/>
        <v>0.69999999999999574</v>
      </c>
    </row>
    <row r="31" spans="1:4" x14ac:dyDescent="0.35">
      <c r="A31" s="70">
        <v>40148</v>
      </c>
      <c r="B31" s="11">
        <v>52.1</v>
      </c>
      <c r="C31" s="14">
        <f t="shared" si="0"/>
        <v>0.70000000000000284</v>
      </c>
      <c r="D31" s="1">
        <v>5.0000000000000001E-3</v>
      </c>
    </row>
    <row r="32" spans="1:4" x14ac:dyDescent="0.35">
      <c r="A32" s="70">
        <v>40179</v>
      </c>
      <c r="B32" s="11">
        <v>52.2</v>
      </c>
      <c r="C32" s="14">
        <f t="shared" si="0"/>
        <v>0.10000000000000142</v>
      </c>
    </row>
    <row r="33" spans="1:4" x14ac:dyDescent="0.35">
      <c r="A33" s="70">
        <v>40210</v>
      </c>
      <c r="B33" s="11">
        <v>51.9</v>
      </c>
      <c r="C33" s="14">
        <f t="shared" si="0"/>
        <v>-0.30000000000000426</v>
      </c>
    </row>
    <row r="34" spans="1:4" x14ac:dyDescent="0.35">
      <c r="A34" s="70">
        <v>40238</v>
      </c>
      <c r="B34" s="11">
        <v>54.9</v>
      </c>
      <c r="C34" s="14">
        <f t="shared" si="0"/>
        <v>3</v>
      </c>
      <c r="D34" s="1">
        <v>5.0000000000000001E-3</v>
      </c>
    </row>
    <row r="35" spans="1:4" x14ac:dyDescent="0.35">
      <c r="A35" s="70">
        <v>40269</v>
      </c>
      <c r="B35" s="11">
        <v>53.7</v>
      </c>
      <c r="C35" s="14">
        <f t="shared" si="0"/>
        <v>-1.1999999999999957</v>
      </c>
    </row>
    <row r="36" spans="1:4" x14ac:dyDescent="0.35">
      <c r="A36" s="70">
        <v>40299</v>
      </c>
      <c r="B36" s="11">
        <v>54.8</v>
      </c>
      <c r="C36" s="14">
        <f t="shared" si="0"/>
        <v>1.0999999999999943</v>
      </c>
    </row>
    <row r="37" spans="1:4" x14ac:dyDescent="0.35">
      <c r="A37" s="70">
        <v>40330</v>
      </c>
      <c r="B37" s="11">
        <v>54.8</v>
      </c>
      <c r="C37" s="14">
        <f t="shared" si="0"/>
        <v>0</v>
      </c>
      <c r="D37" s="1">
        <v>2.1000000000000001E-2</v>
      </c>
    </row>
    <row r="38" spans="1:4" x14ac:dyDescent="0.35">
      <c r="A38" s="70">
        <v>40360</v>
      </c>
      <c r="B38" s="11">
        <v>56.5</v>
      </c>
      <c r="C38" s="14">
        <f t="shared" si="0"/>
        <v>1.7000000000000028</v>
      </c>
    </row>
    <row r="39" spans="1:4" x14ac:dyDescent="0.35">
      <c r="A39" s="70">
        <v>40391</v>
      </c>
      <c r="B39" s="11">
        <v>57.2</v>
      </c>
      <c r="C39" s="14">
        <f t="shared" si="0"/>
        <v>0.70000000000000284</v>
      </c>
    </row>
    <row r="40" spans="1:4" x14ac:dyDescent="0.35">
      <c r="A40" s="70">
        <v>40422</v>
      </c>
      <c r="B40" s="11">
        <v>54.9</v>
      </c>
      <c r="C40" s="14">
        <f t="shared" si="0"/>
        <v>-2.3000000000000043</v>
      </c>
      <c r="D40" s="1">
        <v>8.0000000000000002E-3</v>
      </c>
    </row>
    <row r="41" spans="1:4" x14ac:dyDescent="0.35">
      <c r="A41" s="70">
        <v>40452</v>
      </c>
      <c r="B41" s="11">
        <v>56</v>
      </c>
      <c r="C41" s="14">
        <f t="shared" si="0"/>
        <v>1.1000000000000014</v>
      </c>
    </row>
    <row r="42" spans="1:4" x14ac:dyDescent="0.35">
      <c r="A42" s="70">
        <v>40483</v>
      </c>
      <c r="B42" s="11">
        <v>59.2</v>
      </c>
      <c r="C42" s="14">
        <f>B42-B41</f>
        <v>3.2000000000000028</v>
      </c>
    </row>
    <row r="43" spans="1:4" x14ac:dyDescent="0.35">
      <c r="A43" s="70">
        <v>40513</v>
      </c>
      <c r="B43" s="11">
        <v>59.5</v>
      </c>
      <c r="C43" s="14">
        <f t="shared" ref="C43:C83" si="1">B43-B42</f>
        <v>0.29999999999999716</v>
      </c>
      <c r="D43" s="1">
        <v>4.0000000000000001E-3</v>
      </c>
    </row>
    <row r="44" spans="1:4" x14ac:dyDescent="0.35">
      <c r="A44" s="70">
        <v>40544</v>
      </c>
      <c r="B44" s="11">
        <v>60.3</v>
      </c>
      <c r="C44" s="14">
        <f t="shared" si="1"/>
        <v>0.79999999999999716</v>
      </c>
    </row>
    <row r="45" spans="1:4" x14ac:dyDescent="0.35">
      <c r="A45" s="70">
        <v>40575</v>
      </c>
      <c r="B45" s="11">
        <v>58.6</v>
      </c>
      <c r="C45" s="14">
        <f t="shared" si="1"/>
        <v>-1.6999999999999957</v>
      </c>
    </row>
    <row r="46" spans="1:4" x14ac:dyDescent="0.35">
      <c r="A46" s="70">
        <v>40603</v>
      </c>
      <c r="B46" s="11">
        <v>60.1</v>
      </c>
      <c r="C46" s="14">
        <f t="shared" si="1"/>
        <v>1.5</v>
      </c>
      <c r="D46" s="1">
        <v>1.4999999999999999E-2</v>
      </c>
    </row>
    <row r="47" spans="1:4" x14ac:dyDescent="0.35">
      <c r="A47" s="70">
        <v>40634</v>
      </c>
      <c r="B47" s="11">
        <v>56.8</v>
      </c>
      <c r="C47" s="14">
        <f t="shared" si="1"/>
        <v>-3.3000000000000043</v>
      </c>
    </row>
    <row r="48" spans="1:4" x14ac:dyDescent="0.35">
      <c r="A48" s="70">
        <v>40664</v>
      </c>
      <c r="B48" s="11">
        <v>56.1</v>
      </c>
      <c r="C48" s="14">
        <f t="shared" si="1"/>
        <v>-0.69999999999999574</v>
      </c>
    </row>
    <row r="49" spans="1:4" x14ac:dyDescent="0.35">
      <c r="A49" s="70">
        <v>40695</v>
      </c>
      <c r="B49" s="11">
        <v>56.7</v>
      </c>
      <c r="C49" s="14">
        <f t="shared" si="1"/>
        <v>0.60000000000000142</v>
      </c>
      <c r="D49" s="1">
        <v>1E-3</v>
      </c>
    </row>
    <row r="50" spans="1:4" x14ac:dyDescent="0.35">
      <c r="A50" s="70">
        <v>40725</v>
      </c>
      <c r="B50" s="11">
        <v>52.9</v>
      </c>
      <c r="C50" s="14">
        <f t="shared" si="1"/>
        <v>-3.8000000000000043</v>
      </c>
    </row>
    <row r="51" spans="1:4" x14ac:dyDescent="0.35">
      <c r="A51" s="70">
        <v>40756</v>
      </c>
      <c r="B51" s="11">
        <v>51.1</v>
      </c>
      <c r="C51" s="14">
        <f t="shared" si="1"/>
        <v>-1.7999999999999972</v>
      </c>
    </row>
    <row r="52" spans="1:4" x14ac:dyDescent="0.35">
      <c r="A52" s="70">
        <v>40787</v>
      </c>
      <c r="B52" s="11">
        <v>49.7</v>
      </c>
      <c r="C52" s="14">
        <f t="shared" si="1"/>
        <v>-1.3999999999999986</v>
      </c>
      <c r="D52" s="1">
        <v>4.0000000000000001E-3</v>
      </c>
    </row>
    <row r="53" spans="1:4" x14ac:dyDescent="0.35">
      <c r="A53" s="70">
        <v>40817</v>
      </c>
      <c r="B53" s="11">
        <v>50.6</v>
      </c>
      <c r="C53" s="14">
        <f t="shared" si="1"/>
        <v>0.89999999999999858</v>
      </c>
    </row>
    <row r="54" spans="1:4" x14ac:dyDescent="0.35">
      <c r="A54" s="70">
        <v>40848</v>
      </c>
      <c r="B54" s="11">
        <v>50.3</v>
      </c>
      <c r="C54" s="14">
        <f t="shared" si="1"/>
        <v>-0.30000000000000426</v>
      </c>
    </row>
    <row r="55" spans="1:4" x14ac:dyDescent="0.35">
      <c r="A55" s="70">
        <v>40878</v>
      </c>
      <c r="B55" s="11">
        <v>52.4</v>
      </c>
      <c r="C55" s="14">
        <f t="shared" si="1"/>
        <v>2.1000000000000014</v>
      </c>
      <c r="D55" s="1">
        <v>1E-3</v>
      </c>
    </row>
    <row r="56" spans="1:4" x14ac:dyDescent="0.35">
      <c r="A56" s="70">
        <v>40909</v>
      </c>
      <c r="B56" s="11">
        <v>53.7</v>
      </c>
      <c r="C56" s="14">
        <f t="shared" si="1"/>
        <v>1.3000000000000043</v>
      </c>
    </row>
    <row r="57" spans="1:4" x14ac:dyDescent="0.35">
      <c r="A57" s="70">
        <v>40940</v>
      </c>
      <c r="B57" s="11">
        <v>52.8</v>
      </c>
      <c r="C57" s="14">
        <f t="shared" si="1"/>
        <v>-0.90000000000000568</v>
      </c>
    </row>
    <row r="58" spans="1:4" x14ac:dyDescent="0.35">
      <c r="A58" s="70">
        <v>40969</v>
      </c>
      <c r="B58" s="11">
        <v>52.1</v>
      </c>
      <c r="C58" s="14">
        <f t="shared" si="1"/>
        <v>-0.69999999999999574</v>
      </c>
      <c r="D58" s="1">
        <v>7.0000000000000001E-3</v>
      </c>
    </row>
    <row r="59" spans="1:4" x14ac:dyDescent="0.35">
      <c r="A59" s="70">
        <v>41000</v>
      </c>
      <c r="B59" s="11">
        <v>52.2</v>
      </c>
      <c r="C59" s="14">
        <f t="shared" si="1"/>
        <v>0.10000000000000142</v>
      </c>
    </row>
    <row r="60" spans="1:4" x14ac:dyDescent="0.35">
      <c r="A60" s="70">
        <v>41030</v>
      </c>
      <c r="B60" s="11">
        <v>51.8</v>
      </c>
      <c r="C60" s="14">
        <f t="shared" si="1"/>
        <v>-0.40000000000000568</v>
      </c>
    </row>
    <row r="61" spans="1:4" x14ac:dyDescent="0.35">
      <c r="A61" s="70">
        <v>41061</v>
      </c>
      <c r="B61" s="11">
        <v>49.9</v>
      </c>
      <c r="C61" s="14">
        <f t="shared" si="1"/>
        <v>-1.8999999999999986</v>
      </c>
      <c r="D61" s="1">
        <v>-1E-3</v>
      </c>
    </row>
    <row r="62" spans="1:4" x14ac:dyDescent="0.35">
      <c r="A62" s="70">
        <v>41091</v>
      </c>
      <c r="B62" s="11">
        <v>50.3</v>
      </c>
      <c r="C62" s="14">
        <f t="shared" si="1"/>
        <v>0.39999999999999858</v>
      </c>
    </row>
    <row r="63" spans="1:4" x14ac:dyDescent="0.35">
      <c r="A63" s="70">
        <v>41122</v>
      </c>
      <c r="B63" s="11">
        <v>48.3</v>
      </c>
      <c r="C63" s="14">
        <f t="shared" si="1"/>
        <v>-2</v>
      </c>
    </row>
    <row r="64" spans="1:4" x14ac:dyDescent="0.35">
      <c r="A64" s="70">
        <v>41153</v>
      </c>
      <c r="B64" s="11">
        <v>49.7</v>
      </c>
      <c r="C64" s="14">
        <f t="shared" si="1"/>
        <v>1.4000000000000057</v>
      </c>
      <c r="D64" s="1">
        <v>2E-3</v>
      </c>
    </row>
    <row r="65" spans="1:4" x14ac:dyDescent="0.35">
      <c r="A65" s="70">
        <v>41183</v>
      </c>
      <c r="B65" s="11">
        <v>48.4</v>
      </c>
      <c r="C65" s="14">
        <f t="shared" si="1"/>
        <v>-1.3000000000000043</v>
      </c>
    </row>
    <row r="66" spans="1:4" x14ac:dyDescent="0.35">
      <c r="A66" s="70">
        <v>41214</v>
      </c>
      <c r="B66" s="11">
        <v>49.7</v>
      </c>
      <c r="C66" s="14">
        <f t="shared" si="1"/>
        <v>1.3000000000000043</v>
      </c>
    </row>
    <row r="67" spans="1:4" x14ac:dyDescent="0.35">
      <c r="A67" s="70">
        <v>41244</v>
      </c>
      <c r="B67" s="11">
        <v>55.7</v>
      </c>
      <c r="C67" s="14">
        <f t="shared" si="1"/>
        <v>6</v>
      </c>
      <c r="D67" s="1">
        <v>-5.0000000000000001E-3</v>
      </c>
    </row>
    <row r="68" spans="1:4" x14ac:dyDescent="0.35">
      <c r="A68" s="70">
        <v>41275</v>
      </c>
      <c r="B68" s="11">
        <v>54.7</v>
      </c>
      <c r="C68" s="14">
        <f t="shared" si="1"/>
        <v>-1</v>
      </c>
    </row>
    <row r="69" spans="1:4" x14ac:dyDescent="0.35">
      <c r="A69" s="70">
        <v>41306</v>
      </c>
      <c r="B69" s="11">
        <v>50.9</v>
      </c>
      <c r="C69" s="14">
        <f t="shared" si="1"/>
        <v>-3.8000000000000043</v>
      </c>
    </row>
    <row r="70" spans="1:4" x14ac:dyDescent="0.35">
      <c r="A70" s="70">
        <v>41334</v>
      </c>
      <c r="B70" s="11">
        <v>49.6</v>
      </c>
      <c r="C70" s="14">
        <f t="shared" si="1"/>
        <v>-1.2999999999999972</v>
      </c>
      <c r="D70" s="1">
        <v>1E-3</v>
      </c>
    </row>
    <row r="71" spans="1:4" x14ac:dyDescent="0.35">
      <c r="A71" s="70">
        <v>41365</v>
      </c>
      <c r="B71" s="11">
        <v>49.7</v>
      </c>
      <c r="C71" s="14">
        <f t="shared" si="1"/>
        <v>0.10000000000000142</v>
      </c>
    </row>
    <row r="72" spans="1:4" x14ac:dyDescent="0.35">
      <c r="A72" s="70">
        <v>41395</v>
      </c>
      <c r="B72" s="11">
        <v>50.4</v>
      </c>
      <c r="C72" s="14">
        <f t="shared" si="1"/>
        <v>0.69999999999999574</v>
      </c>
    </row>
    <row r="73" spans="1:4" x14ac:dyDescent="0.35">
      <c r="A73" s="70">
        <v>41426</v>
      </c>
      <c r="B73" s="11">
        <v>51.3</v>
      </c>
      <c r="C73" s="14">
        <f t="shared" si="1"/>
        <v>0.89999999999999858</v>
      </c>
      <c r="D73" s="1">
        <v>7.0000000000000001E-3</v>
      </c>
    </row>
    <row r="74" spans="1:4" x14ac:dyDescent="0.35">
      <c r="A74" s="70">
        <v>41456</v>
      </c>
      <c r="B74" s="11">
        <v>52.8</v>
      </c>
      <c r="C74" s="14">
        <f t="shared" si="1"/>
        <v>1.5</v>
      </c>
    </row>
    <row r="75" spans="1:4" x14ac:dyDescent="0.35">
      <c r="A75" s="70">
        <v>41487</v>
      </c>
      <c r="B75" s="11">
        <v>53.7</v>
      </c>
      <c r="C75" s="14">
        <f t="shared" si="1"/>
        <v>0.90000000000000568</v>
      </c>
    </row>
    <row r="76" spans="1:4" x14ac:dyDescent="0.35">
      <c r="A76" s="70">
        <v>41518</v>
      </c>
      <c r="B76" s="11">
        <v>52.9</v>
      </c>
      <c r="C76" s="14">
        <f t="shared" si="1"/>
        <v>-0.80000000000000426</v>
      </c>
      <c r="D76" s="1">
        <v>3.0000000000000001E-3</v>
      </c>
    </row>
    <row r="77" spans="1:4" x14ac:dyDescent="0.35">
      <c r="A77" s="70">
        <v>41548</v>
      </c>
      <c r="B77" s="11">
        <v>55.7</v>
      </c>
      <c r="C77" s="14">
        <f t="shared" si="1"/>
        <v>2.8000000000000043</v>
      </c>
    </row>
    <row r="78" spans="1:4" x14ac:dyDescent="0.35">
      <c r="A78" s="70">
        <v>41579</v>
      </c>
      <c r="B78" s="11">
        <v>53.5</v>
      </c>
      <c r="C78" s="14">
        <f t="shared" si="1"/>
        <v>-2.2000000000000028</v>
      </c>
    </row>
    <row r="79" spans="1:4" x14ac:dyDescent="0.35">
      <c r="A79" s="70">
        <v>41609</v>
      </c>
      <c r="B79" s="11">
        <v>53.1</v>
      </c>
      <c r="C79" s="14">
        <f t="shared" si="1"/>
        <v>-0.39999999999999858</v>
      </c>
      <c r="D79" s="1">
        <v>4.0000000000000001E-3</v>
      </c>
    </row>
    <row r="80" spans="1:4" x14ac:dyDescent="0.35">
      <c r="A80" s="70">
        <v>41640</v>
      </c>
      <c r="B80" s="11">
        <v>55.9</v>
      </c>
      <c r="C80" s="14">
        <f t="shared" si="1"/>
        <v>2.7999999999999972</v>
      </c>
    </row>
    <row r="81" spans="1:9" x14ac:dyDescent="0.35">
      <c r="A81" s="70">
        <v>41671</v>
      </c>
      <c r="B81" s="11">
        <v>53</v>
      </c>
      <c r="C81" s="14">
        <f t="shared" si="1"/>
        <v>-2.8999999999999986</v>
      </c>
    </row>
    <row r="82" spans="1:9" x14ac:dyDescent="0.35">
      <c r="A82" s="70">
        <v>41699</v>
      </c>
      <c r="B82" s="11">
        <v>54.7</v>
      </c>
      <c r="C82" s="14">
        <f t="shared" si="1"/>
        <v>1.7000000000000028</v>
      </c>
      <c r="D82" s="1">
        <v>8.0000000000000002E-3</v>
      </c>
    </row>
    <row r="83" spans="1:9" x14ac:dyDescent="0.35">
      <c r="A83" s="70">
        <v>41730</v>
      </c>
      <c r="B83" s="11">
        <v>56.4</v>
      </c>
      <c r="C83" s="14">
        <f t="shared" si="1"/>
        <v>1.6999999999999957</v>
      </c>
    </row>
    <row r="84" spans="1:9" x14ac:dyDescent="0.35">
      <c r="A84" s="70">
        <v>41760</v>
      </c>
      <c r="B84" s="11">
        <v>56</v>
      </c>
      <c r="C84" s="14">
        <f t="shared" ref="C84:C87" si="2">B84-B83</f>
        <v>-0.39999999999999858</v>
      </c>
    </row>
    <row r="85" spans="1:9" x14ac:dyDescent="0.35">
      <c r="A85" s="70">
        <v>41791</v>
      </c>
      <c r="B85" s="11">
        <v>54.6</v>
      </c>
      <c r="C85" s="14">
        <f t="shared" si="2"/>
        <v>-1.3999999999999986</v>
      </c>
      <c r="D85" s="36">
        <v>-2E-3</v>
      </c>
      <c r="H85" s="41" t="s">
        <v>66</v>
      </c>
      <c r="I85" t="s">
        <v>35</v>
      </c>
    </row>
    <row r="86" spans="1:9" x14ac:dyDescent="0.35">
      <c r="A86" s="70">
        <v>41821</v>
      </c>
      <c r="B86" s="11">
        <v>56.7</v>
      </c>
      <c r="C86" s="14">
        <f t="shared" si="2"/>
        <v>2.1000000000000014</v>
      </c>
    </row>
    <row r="87" spans="1:9" x14ac:dyDescent="0.35">
      <c r="A87" s="70">
        <v>41852</v>
      </c>
      <c r="B87" s="11">
        <v>54.9</v>
      </c>
      <c r="C87" s="14">
        <f t="shared" si="2"/>
        <v>-1.8000000000000043</v>
      </c>
    </row>
    <row r="88" spans="1:9" x14ac:dyDescent="0.35">
      <c r="A88" s="70">
        <v>41883</v>
      </c>
      <c r="B88" s="11">
        <v>55.7</v>
      </c>
      <c r="C88" s="14">
        <f>IFERROR(B88-B87,"")</f>
        <v>0.80000000000000426</v>
      </c>
      <c r="D88" s="1">
        <f>IF(VLOOKUP(I85,Data!$A$30:$H$150,7,FALSE)=A87,VLOOKUP(I85,Data!$A$30:$H$150,2,FALSE)/100,#N/A)</f>
        <v>1E-3</v>
      </c>
    </row>
    <row r="89" spans="1:9" x14ac:dyDescent="0.35">
      <c r="A89" s="70">
        <v>41913</v>
      </c>
      <c r="B89" s="11">
        <v>54.4</v>
      </c>
      <c r="C89" s="14">
        <v>-1.3000000000000043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3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3"/>
        <v/>
      </c>
    </row>
    <row r="92" spans="1:9" x14ac:dyDescent="0.35">
      <c r="A92" s="70">
        <v>42005</v>
      </c>
      <c r="B92" s="11" t="s">
        <v>283</v>
      </c>
      <c r="C92" s="7" t="str">
        <f t="shared" si="3"/>
        <v/>
      </c>
    </row>
    <row r="93" spans="1:9" x14ac:dyDescent="0.35">
      <c r="A93" s="70">
        <v>42036</v>
      </c>
      <c r="B93" s="11" t="s">
        <v>283</v>
      </c>
      <c r="C93" s="7" t="str">
        <f t="shared" si="3"/>
        <v/>
      </c>
    </row>
    <row r="94" spans="1:9" x14ac:dyDescent="0.35">
      <c r="A94" s="70">
        <v>42064</v>
      </c>
      <c r="B94" s="11" t="s">
        <v>283</v>
      </c>
      <c r="C94" s="7" t="str">
        <f t="shared" si="3"/>
        <v/>
      </c>
    </row>
    <row r="95" spans="1:9" x14ac:dyDescent="0.35">
      <c r="A95" s="70">
        <v>42095</v>
      </c>
      <c r="B95" s="11" t="s">
        <v>283</v>
      </c>
      <c r="C95" s="7" t="str">
        <f t="shared" si="3"/>
        <v/>
      </c>
    </row>
    <row r="96" spans="1:9" x14ac:dyDescent="0.35">
      <c r="A96" s="70">
        <v>42125</v>
      </c>
      <c r="B96" s="11" t="s">
        <v>283</v>
      </c>
      <c r="C96" s="7" t="str">
        <f t="shared" si="3"/>
        <v/>
      </c>
    </row>
    <row r="97" spans="1:3" x14ac:dyDescent="0.35">
      <c r="A97" s="70">
        <v>42156</v>
      </c>
      <c r="B97" s="11" t="s">
        <v>283</v>
      </c>
      <c r="C97" s="7" t="str">
        <f t="shared" si="3"/>
        <v/>
      </c>
    </row>
    <row r="98" spans="1:3" x14ac:dyDescent="0.35">
      <c r="A98" s="70">
        <v>42186</v>
      </c>
      <c r="B98" s="11" t="s">
        <v>283</v>
      </c>
      <c r="C98" s="7" t="str">
        <f t="shared" si="3"/>
        <v/>
      </c>
    </row>
    <row r="99" spans="1:3" x14ac:dyDescent="0.35">
      <c r="A99" s="70">
        <v>42217</v>
      </c>
      <c r="B99" s="11" t="s">
        <v>283</v>
      </c>
      <c r="C99" s="7" t="str">
        <f t="shared" si="3"/>
        <v/>
      </c>
    </row>
    <row r="100" spans="1:3" x14ac:dyDescent="0.35">
      <c r="A100" s="70">
        <v>42248</v>
      </c>
      <c r="B100" s="11" t="s">
        <v>283</v>
      </c>
      <c r="C100" s="7" t="str">
        <f t="shared" si="3"/>
        <v/>
      </c>
    </row>
    <row r="101" spans="1:3" x14ac:dyDescent="0.35">
      <c r="A101" s="70">
        <v>42278</v>
      </c>
      <c r="B101" s="11" t="s">
        <v>283</v>
      </c>
      <c r="C101" s="7" t="str">
        <f t="shared" si="3"/>
        <v/>
      </c>
    </row>
    <row r="102" spans="1:3" x14ac:dyDescent="0.35">
      <c r="A102" s="70">
        <v>42309</v>
      </c>
      <c r="B102" s="11" t="s">
        <v>283</v>
      </c>
      <c r="C102" s="7" t="str">
        <f t="shared" si="3"/>
        <v/>
      </c>
    </row>
    <row r="103" spans="1:3" x14ac:dyDescent="0.35">
      <c r="A103" s="70">
        <v>42339</v>
      </c>
      <c r="B103" s="11" t="s">
        <v>283</v>
      </c>
      <c r="C103" s="7" t="str">
        <f t="shared" si="3"/>
        <v/>
      </c>
    </row>
    <row r="104" spans="1:3" x14ac:dyDescent="0.35">
      <c r="A104" s="70">
        <v>42370</v>
      </c>
      <c r="B104" s="11" t="s">
        <v>283</v>
      </c>
      <c r="C104" s="7" t="str">
        <f t="shared" si="3"/>
        <v/>
      </c>
    </row>
    <row r="105" spans="1:3" x14ac:dyDescent="0.35">
      <c r="A105" s="70">
        <v>42401</v>
      </c>
      <c r="B105" s="11" t="s">
        <v>283</v>
      </c>
      <c r="C105" s="7" t="str">
        <f t="shared" si="3"/>
        <v/>
      </c>
    </row>
    <row r="106" spans="1:3" x14ac:dyDescent="0.35">
      <c r="A106" s="70">
        <v>42430</v>
      </c>
      <c r="B106" s="11" t="s">
        <v>283</v>
      </c>
      <c r="C106" s="7" t="str">
        <f t="shared" si="3"/>
        <v/>
      </c>
    </row>
    <row r="107" spans="1:3" x14ac:dyDescent="0.35">
      <c r="A107" s="70">
        <v>42461</v>
      </c>
      <c r="B107" s="11" t="s">
        <v>283</v>
      </c>
      <c r="C107" s="7" t="str">
        <f t="shared" si="3"/>
        <v/>
      </c>
    </row>
    <row r="108" spans="1:3" x14ac:dyDescent="0.35">
      <c r="A108" s="70">
        <v>42491</v>
      </c>
      <c r="B108" s="11" t="s">
        <v>283</v>
      </c>
      <c r="C108" s="7" t="str">
        <f t="shared" si="3"/>
        <v/>
      </c>
    </row>
    <row r="109" spans="1:3" x14ac:dyDescent="0.35">
      <c r="A109" s="70">
        <v>42522</v>
      </c>
      <c r="B109" s="11" t="s">
        <v>283</v>
      </c>
      <c r="C109" s="7" t="str">
        <f t="shared" si="3"/>
        <v/>
      </c>
    </row>
    <row r="110" spans="1:3" x14ac:dyDescent="0.35">
      <c r="A110" s="70">
        <v>42552</v>
      </c>
      <c r="B110" s="11" t="s">
        <v>283</v>
      </c>
      <c r="C110" s="7" t="str">
        <f t="shared" si="3"/>
        <v/>
      </c>
    </row>
    <row r="111" spans="1:3" x14ac:dyDescent="0.35">
      <c r="A111" s="70">
        <v>42583</v>
      </c>
      <c r="B111" s="11" t="s">
        <v>283</v>
      </c>
      <c r="C111" s="7" t="str">
        <f t="shared" si="3"/>
        <v/>
      </c>
    </row>
    <row r="112" spans="1:3" x14ac:dyDescent="0.35">
      <c r="A112" s="70">
        <v>42614</v>
      </c>
      <c r="B112" s="11" t="s">
        <v>283</v>
      </c>
      <c r="C112" s="7" t="str">
        <f t="shared" si="3"/>
        <v/>
      </c>
    </row>
    <row r="113" spans="1:3" x14ac:dyDescent="0.35">
      <c r="A113" s="70">
        <v>42644</v>
      </c>
      <c r="B113" s="11" t="s">
        <v>283</v>
      </c>
      <c r="C113" s="7" t="str">
        <f t="shared" si="3"/>
        <v/>
      </c>
    </row>
    <row r="114" spans="1:3" x14ac:dyDescent="0.35">
      <c r="A114" s="70">
        <v>42675</v>
      </c>
      <c r="B114" s="11" t="s">
        <v>283</v>
      </c>
      <c r="C114" s="7" t="str">
        <f t="shared" si="3"/>
        <v/>
      </c>
    </row>
    <row r="115" spans="1:3" x14ac:dyDescent="0.35">
      <c r="A115" s="70">
        <v>42705</v>
      </c>
      <c r="B115" s="11" t="s">
        <v>283</v>
      </c>
      <c r="C115" s="7" t="str">
        <f t="shared" si="3"/>
        <v/>
      </c>
    </row>
    <row r="116" spans="1:3" x14ac:dyDescent="0.35">
      <c r="A116" s="70">
        <v>42736</v>
      </c>
      <c r="B116" s="11" t="s">
        <v>283</v>
      </c>
      <c r="C116" s="7" t="str">
        <f t="shared" si="3"/>
        <v/>
      </c>
    </row>
    <row r="117" spans="1:3" x14ac:dyDescent="0.35">
      <c r="A117" s="70">
        <v>42767</v>
      </c>
      <c r="B117" s="11" t="s">
        <v>283</v>
      </c>
      <c r="C117" s="7" t="str">
        <f t="shared" si="3"/>
        <v/>
      </c>
    </row>
    <row r="118" spans="1:3" x14ac:dyDescent="0.35">
      <c r="A118" s="70">
        <v>42795</v>
      </c>
      <c r="B118" s="11" t="s">
        <v>283</v>
      </c>
      <c r="C118" s="7" t="str">
        <f t="shared" si="3"/>
        <v/>
      </c>
    </row>
    <row r="119" spans="1:3" x14ac:dyDescent="0.35">
      <c r="A119" s="70">
        <v>42826</v>
      </c>
      <c r="B119" s="11" t="s">
        <v>283</v>
      </c>
      <c r="C119" s="7" t="str">
        <f t="shared" si="3"/>
        <v/>
      </c>
    </row>
    <row r="120" spans="1:3" x14ac:dyDescent="0.35">
      <c r="A120" s="70">
        <v>42856</v>
      </c>
      <c r="B120" s="11" t="s">
        <v>283</v>
      </c>
      <c r="C120" s="7" t="str">
        <f t="shared" si="3"/>
        <v/>
      </c>
    </row>
    <row r="121" spans="1:3" x14ac:dyDescent="0.35">
      <c r="A121" s="70">
        <v>42887</v>
      </c>
      <c r="B121" s="11" t="s">
        <v>283</v>
      </c>
      <c r="C121" s="7" t="str">
        <f t="shared" si="3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4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4"/>
        <v/>
      </c>
    </row>
    <row r="124" spans="1:3" x14ac:dyDescent="0.35">
      <c r="A124" s="70">
        <v>42979</v>
      </c>
      <c r="B124" s="11" t="s">
        <v>283</v>
      </c>
      <c r="C124" s="7" t="str">
        <f t="shared" si="4"/>
        <v/>
      </c>
    </row>
    <row r="125" spans="1:3" x14ac:dyDescent="0.35">
      <c r="A125" s="70">
        <v>43009</v>
      </c>
      <c r="B125" s="11" t="s">
        <v>283</v>
      </c>
      <c r="C125" s="7" t="str">
        <f t="shared" si="4"/>
        <v/>
      </c>
    </row>
    <row r="126" spans="1:3" x14ac:dyDescent="0.35">
      <c r="A126" s="70">
        <v>43040</v>
      </c>
      <c r="B126" s="11" t="s">
        <v>283</v>
      </c>
      <c r="C126" s="7" t="str">
        <f t="shared" si="4"/>
        <v/>
      </c>
    </row>
    <row r="127" spans="1:3" x14ac:dyDescent="0.35">
      <c r="A127" s="70">
        <v>43070</v>
      </c>
      <c r="B127" s="11" t="s">
        <v>283</v>
      </c>
      <c r="C127" s="7" t="str">
        <f t="shared" si="4"/>
        <v/>
      </c>
    </row>
    <row r="128" spans="1:3" x14ac:dyDescent="0.35">
      <c r="A128" s="70">
        <v>43101</v>
      </c>
      <c r="B128" s="11" t="s">
        <v>283</v>
      </c>
      <c r="C128" s="7" t="str">
        <f t="shared" si="4"/>
        <v/>
      </c>
    </row>
    <row r="129" spans="1:3" x14ac:dyDescent="0.35">
      <c r="A129" s="70">
        <v>43132</v>
      </c>
      <c r="B129" s="11" t="s">
        <v>283</v>
      </c>
      <c r="C129" s="7" t="str">
        <f t="shared" si="4"/>
        <v/>
      </c>
    </row>
    <row r="130" spans="1:3" x14ac:dyDescent="0.35">
      <c r="A130" s="70">
        <v>43160</v>
      </c>
      <c r="B130" s="11" t="s">
        <v>283</v>
      </c>
      <c r="C130" s="7" t="str">
        <f t="shared" si="4"/>
        <v/>
      </c>
    </row>
    <row r="131" spans="1:3" x14ac:dyDescent="0.35">
      <c r="A131" s="70">
        <v>43191</v>
      </c>
      <c r="B131" s="11" t="s">
        <v>283</v>
      </c>
      <c r="C131" s="7" t="str">
        <f t="shared" si="4"/>
        <v/>
      </c>
    </row>
    <row r="132" spans="1:3" x14ac:dyDescent="0.35">
      <c r="A132" s="70">
        <v>43221</v>
      </c>
      <c r="B132" s="11" t="s">
        <v>283</v>
      </c>
      <c r="C132" s="7" t="str">
        <f t="shared" si="4"/>
        <v/>
      </c>
    </row>
    <row r="133" spans="1:3" x14ac:dyDescent="0.35">
      <c r="A133" s="70">
        <v>43252</v>
      </c>
      <c r="B133" s="11" t="s">
        <v>283</v>
      </c>
      <c r="C133" s="7" t="str">
        <f t="shared" si="4"/>
        <v/>
      </c>
    </row>
    <row r="134" spans="1:3" x14ac:dyDescent="0.35">
      <c r="A134" s="70">
        <v>43282</v>
      </c>
      <c r="B134" s="11" t="s">
        <v>283</v>
      </c>
      <c r="C134" s="7" t="str">
        <f t="shared" si="4"/>
        <v/>
      </c>
    </row>
    <row r="135" spans="1:3" x14ac:dyDescent="0.35">
      <c r="A135" s="70">
        <v>43313</v>
      </c>
      <c r="B135" s="11" t="s">
        <v>283</v>
      </c>
      <c r="C135" s="7" t="str">
        <f t="shared" si="4"/>
        <v/>
      </c>
    </row>
    <row r="136" spans="1:3" x14ac:dyDescent="0.35">
      <c r="A136" s="70">
        <v>43344</v>
      </c>
      <c r="B136" s="11" t="s">
        <v>283</v>
      </c>
      <c r="C136" s="7" t="str">
        <f t="shared" si="4"/>
        <v/>
      </c>
    </row>
    <row r="137" spans="1:3" x14ac:dyDescent="0.35">
      <c r="A137" s="70">
        <v>43374</v>
      </c>
      <c r="B137" s="11" t="s">
        <v>283</v>
      </c>
      <c r="C137" s="7" t="str">
        <f t="shared" si="4"/>
        <v/>
      </c>
    </row>
    <row r="138" spans="1:3" x14ac:dyDescent="0.35">
      <c r="A138" s="70">
        <v>43405</v>
      </c>
      <c r="B138" s="11" t="s">
        <v>283</v>
      </c>
      <c r="C138" s="7" t="str">
        <f t="shared" si="4"/>
        <v/>
      </c>
    </row>
    <row r="139" spans="1:3" x14ac:dyDescent="0.35">
      <c r="A139" s="70">
        <v>43435</v>
      </c>
      <c r="B139" s="11" t="s">
        <v>283</v>
      </c>
      <c r="C139" s="7" t="str">
        <f t="shared" si="4"/>
        <v/>
      </c>
    </row>
    <row r="140" spans="1:3" x14ac:dyDescent="0.35">
      <c r="A140" s="70">
        <v>43466</v>
      </c>
      <c r="B140" s="11" t="s">
        <v>283</v>
      </c>
      <c r="C140" s="7" t="str">
        <f t="shared" si="4"/>
        <v/>
      </c>
    </row>
    <row r="141" spans="1:3" x14ac:dyDescent="0.35">
      <c r="A141" s="70">
        <v>43497</v>
      </c>
      <c r="B141" s="11" t="s">
        <v>283</v>
      </c>
      <c r="C141" s="7" t="str">
        <f t="shared" si="4"/>
        <v/>
      </c>
    </row>
    <row r="142" spans="1:3" x14ac:dyDescent="0.35">
      <c r="A142" s="70">
        <v>43525</v>
      </c>
      <c r="B142" s="11" t="s">
        <v>283</v>
      </c>
      <c r="C142" s="7" t="str">
        <f t="shared" si="4"/>
        <v/>
      </c>
    </row>
    <row r="143" spans="1:3" x14ac:dyDescent="0.35">
      <c r="A143" s="70">
        <v>43556</v>
      </c>
      <c r="B143" s="11" t="s">
        <v>283</v>
      </c>
      <c r="C143" s="7" t="str">
        <f t="shared" si="4"/>
        <v/>
      </c>
    </row>
    <row r="144" spans="1:3" x14ac:dyDescent="0.35">
      <c r="A144" s="70">
        <v>43586</v>
      </c>
      <c r="B144" s="11" t="s">
        <v>283</v>
      </c>
      <c r="C144" s="7" t="str">
        <f t="shared" si="4"/>
        <v/>
      </c>
    </row>
    <row r="145" spans="1:3" x14ac:dyDescent="0.35">
      <c r="A145" s="70">
        <v>43617</v>
      </c>
      <c r="B145" s="11" t="s">
        <v>283</v>
      </c>
      <c r="C145" s="7" t="str">
        <f t="shared" si="4"/>
        <v/>
      </c>
    </row>
    <row r="146" spans="1:3" x14ac:dyDescent="0.35">
      <c r="A146" s="70">
        <v>43647</v>
      </c>
      <c r="B146" s="11" t="s">
        <v>283</v>
      </c>
      <c r="C146" s="7" t="str">
        <f t="shared" si="4"/>
        <v/>
      </c>
    </row>
    <row r="147" spans="1:3" x14ac:dyDescent="0.35">
      <c r="A147" s="70">
        <v>43678</v>
      </c>
      <c r="B147" s="11" t="s">
        <v>283</v>
      </c>
      <c r="C147" s="7" t="str">
        <f t="shared" si="4"/>
        <v/>
      </c>
    </row>
    <row r="148" spans="1:3" x14ac:dyDescent="0.35">
      <c r="A148" s="70">
        <v>43709</v>
      </c>
      <c r="B148" s="11" t="s">
        <v>283</v>
      </c>
      <c r="C148" s="7" t="str">
        <f t="shared" si="4"/>
        <v/>
      </c>
    </row>
    <row r="149" spans="1:3" x14ac:dyDescent="0.35">
      <c r="A149" s="70">
        <v>43739</v>
      </c>
      <c r="B149" s="11" t="s">
        <v>283</v>
      </c>
      <c r="C149" s="7" t="str">
        <f t="shared" si="4"/>
        <v/>
      </c>
    </row>
    <row r="150" spans="1:3" x14ac:dyDescent="0.35">
      <c r="A150" s="70">
        <v>43770</v>
      </c>
      <c r="B150" s="11" t="s">
        <v>283</v>
      </c>
      <c r="C150" s="7" t="str">
        <f t="shared" si="4"/>
        <v/>
      </c>
    </row>
    <row r="151" spans="1:3" x14ac:dyDescent="0.35">
      <c r="A151" s="70">
        <v>43800</v>
      </c>
      <c r="B151" s="11" t="s">
        <v>283</v>
      </c>
      <c r="C151" s="7" t="str">
        <f t="shared" si="4"/>
        <v/>
      </c>
    </row>
    <row r="152" spans="1:3" x14ac:dyDescent="0.35">
      <c r="A152" s="70">
        <v>43831</v>
      </c>
      <c r="B152" s="11" t="s">
        <v>283</v>
      </c>
      <c r="C152" s="7" t="str">
        <f t="shared" si="4"/>
        <v/>
      </c>
    </row>
    <row r="153" spans="1:3" x14ac:dyDescent="0.35">
      <c r="A153" s="70">
        <v>43862</v>
      </c>
      <c r="B153" s="11" t="s">
        <v>283</v>
      </c>
      <c r="C153" s="7" t="str">
        <f t="shared" si="4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5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5"/>
        <v/>
      </c>
    </row>
    <row r="156" spans="1:3" x14ac:dyDescent="0.35">
      <c r="A156" s="70">
        <v>43952</v>
      </c>
      <c r="B156" s="11" t="s">
        <v>283</v>
      </c>
      <c r="C156" s="7" t="str">
        <f t="shared" si="5"/>
        <v/>
      </c>
    </row>
    <row r="157" spans="1:3" x14ac:dyDescent="0.35">
      <c r="A157" s="70">
        <v>43983</v>
      </c>
      <c r="B157" s="11" t="s">
        <v>283</v>
      </c>
      <c r="C157" s="7" t="str">
        <f t="shared" si="5"/>
        <v/>
      </c>
    </row>
    <row r="158" spans="1:3" x14ac:dyDescent="0.35">
      <c r="A158" s="70">
        <v>44013</v>
      </c>
      <c r="B158" s="11" t="s">
        <v>283</v>
      </c>
      <c r="C158" s="7" t="str">
        <f t="shared" si="5"/>
        <v/>
      </c>
    </row>
    <row r="159" spans="1:3" x14ac:dyDescent="0.35">
      <c r="A159" s="70">
        <v>44044</v>
      </c>
      <c r="B159" s="11" t="s">
        <v>283</v>
      </c>
      <c r="C159" s="7" t="str">
        <f t="shared" si="5"/>
        <v/>
      </c>
    </row>
    <row r="160" spans="1:3" x14ac:dyDescent="0.35">
      <c r="A160" s="70">
        <v>44075</v>
      </c>
      <c r="B160" s="11" t="s">
        <v>283</v>
      </c>
      <c r="C160" s="7" t="str">
        <f t="shared" si="5"/>
        <v/>
      </c>
    </row>
    <row r="161" spans="1:3" x14ac:dyDescent="0.35">
      <c r="A161" s="70">
        <v>44105</v>
      </c>
      <c r="B161" s="11" t="s">
        <v>283</v>
      </c>
      <c r="C161" s="7" t="str">
        <f t="shared" si="5"/>
        <v/>
      </c>
    </row>
    <row r="162" spans="1:3" x14ac:dyDescent="0.35">
      <c r="A162" s="70">
        <v>44136</v>
      </c>
      <c r="B162" s="11" t="s">
        <v>283</v>
      </c>
      <c r="C162" s="7" t="str">
        <f t="shared" si="5"/>
        <v/>
      </c>
    </row>
    <row r="163" spans="1:3" x14ac:dyDescent="0.35">
      <c r="A163" s="70">
        <v>44166</v>
      </c>
      <c r="B163" s="11" t="s">
        <v>283</v>
      </c>
      <c r="C163" s="7" t="str">
        <f t="shared" si="5"/>
        <v/>
      </c>
    </row>
    <row r="164" spans="1:3" x14ac:dyDescent="0.35">
      <c r="A164" s="70">
        <v>44197</v>
      </c>
      <c r="B164" s="11" t="s">
        <v>283</v>
      </c>
      <c r="C164" s="7" t="str">
        <f t="shared" si="5"/>
        <v/>
      </c>
    </row>
    <row r="165" spans="1:3" x14ac:dyDescent="0.35">
      <c r="A165" s="70">
        <v>44228</v>
      </c>
      <c r="B165" s="11" t="s">
        <v>283</v>
      </c>
      <c r="C165" s="7" t="str">
        <f t="shared" si="5"/>
        <v/>
      </c>
    </row>
    <row r="166" spans="1:3" x14ac:dyDescent="0.35">
      <c r="A166" s="70">
        <v>44256</v>
      </c>
      <c r="B166" s="11" t="s">
        <v>283</v>
      </c>
      <c r="C166" s="7" t="str">
        <f t="shared" si="5"/>
        <v/>
      </c>
    </row>
    <row r="167" spans="1:3" x14ac:dyDescent="0.35">
      <c r="A167" s="70">
        <v>44287</v>
      </c>
      <c r="B167" s="11" t="s">
        <v>283</v>
      </c>
      <c r="C167" s="7" t="str">
        <f t="shared" si="5"/>
        <v/>
      </c>
    </row>
    <row r="168" spans="1:3" x14ac:dyDescent="0.35">
      <c r="A168" s="70">
        <v>44317</v>
      </c>
      <c r="B168" s="11" t="s">
        <v>283</v>
      </c>
      <c r="C168" s="7" t="str">
        <f t="shared" si="5"/>
        <v/>
      </c>
    </row>
    <row r="169" spans="1:3" x14ac:dyDescent="0.35">
      <c r="A169" s="70">
        <v>44348</v>
      </c>
      <c r="B169" s="11" t="s">
        <v>283</v>
      </c>
      <c r="C169" s="7" t="str">
        <f t="shared" si="5"/>
        <v/>
      </c>
    </row>
    <row r="170" spans="1:3" x14ac:dyDescent="0.35">
      <c r="A170" s="70">
        <v>44378</v>
      </c>
      <c r="B170" s="11" t="s">
        <v>283</v>
      </c>
      <c r="C170" s="7" t="str">
        <f t="shared" si="5"/>
        <v/>
      </c>
    </row>
    <row r="171" spans="1:3" x14ac:dyDescent="0.35">
      <c r="A171" s="70">
        <v>44409</v>
      </c>
      <c r="B171" s="11" t="s">
        <v>283</v>
      </c>
      <c r="C171" s="7" t="str">
        <f t="shared" si="5"/>
        <v/>
      </c>
    </row>
    <row r="172" spans="1:3" x14ac:dyDescent="0.35">
      <c r="A172" s="70">
        <v>44440</v>
      </c>
      <c r="B172" s="11" t="s">
        <v>283</v>
      </c>
      <c r="C172" s="7" t="str">
        <f t="shared" si="5"/>
        <v/>
      </c>
    </row>
    <row r="173" spans="1:3" x14ac:dyDescent="0.35">
      <c r="A173" s="70">
        <v>44470</v>
      </c>
      <c r="B173" s="11" t="s">
        <v>283</v>
      </c>
      <c r="C173" s="7" t="str">
        <f t="shared" si="5"/>
        <v/>
      </c>
    </row>
    <row r="174" spans="1:3" x14ac:dyDescent="0.35">
      <c r="A174" s="70">
        <v>44501</v>
      </c>
      <c r="B174" s="11" t="s">
        <v>283</v>
      </c>
      <c r="C174" s="7" t="str">
        <f t="shared" si="5"/>
        <v/>
      </c>
    </row>
    <row r="175" spans="1:3" x14ac:dyDescent="0.35">
      <c r="A175" s="70">
        <v>44531</v>
      </c>
      <c r="B175" s="11" t="s">
        <v>283</v>
      </c>
      <c r="C175" s="7" t="str">
        <f t="shared" si="5"/>
        <v/>
      </c>
    </row>
    <row r="176" spans="1:3" x14ac:dyDescent="0.35">
      <c r="A176" s="70">
        <v>44562</v>
      </c>
      <c r="B176" s="11" t="s">
        <v>283</v>
      </c>
      <c r="C176" s="7" t="str">
        <f t="shared" si="5"/>
        <v/>
      </c>
    </row>
    <row r="177" spans="1:3" x14ac:dyDescent="0.35">
      <c r="A177" s="70">
        <v>44593</v>
      </c>
      <c r="B177" s="11" t="s">
        <v>283</v>
      </c>
      <c r="C177" s="7" t="str">
        <f t="shared" si="5"/>
        <v/>
      </c>
    </row>
    <row r="178" spans="1:3" x14ac:dyDescent="0.35">
      <c r="A178" s="70">
        <v>44621</v>
      </c>
      <c r="B178" s="11" t="s">
        <v>283</v>
      </c>
      <c r="C178" s="7" t="str">
        <f t="shared" si="5"/>
        <v/>
      </c>
    </row>
    <row r="179" spans="1:3" x14ac:dyDescent="0.35">
      <c r="A179" s="70">
        <v>44652</v>
      </c>
      <c r="B179" s="11" t="s">
        <v>283</v>
      </c>
      <c r="C179" s="7" t="str">
        <f t="shared" si="5"/>
        <v/>
      </c>
    </row>
    <row r="180" spans="1:3" x14ac:dyDescent="0.35">
      <c r="A180" s="70">
        <v>44682</v>
      </c>
      <c r="B180" s="11" t="s">
        <v>283</v>
      </c>
      <c r="C180" s="7" t="str">
        <f t="shared" si="5"/>
        <v/>
      </c>
    </row>
    <row r="181" spans="1:3" x14ac:dyDescent="0.35">
      <c r="A181" s="70">
        <v>44713</v>
      </c>
      <c r="B181" s="11" t="s">
        <v>283</v>
      </c>
      <c r="C181" s="7" t="str">
        <f t="shared" si="5"/>
        <v/>
      </c>
    </row>
    <row r="182" spans="1:3" x14ac:dyDescent="0.35">
      <c r="A182" s="70">
        <v>44743</v>
      </c>
      <c r="B182" s="11" t="s">
        <v>283</v>
      </c>
      <c r="C182" s="7" t="str">
        <f t="shared" si="5"/>
        <v/>
      </c>
    </row>
    <row r="183" spans="1:3" x14ac:dyDescent="0.35">
      <c r="A183" s="70">
        <v>44774</v>
      </c>
      <c r="B183" s="11" t="s">
        <v>283</v>
      </c>
      <c r="C183" s="7" t="str">
        <f t="shared" si="5"/>
        <v/>
      </c>
    </row>
    <row r="184" spans="1:3" x14ac:dyDescent="0.35">
      <c r="A184" s="70">
        <v>44805</v>
      </c>
      <c r="B184" s="11" t="s">
        <v>283</v>
      </c>
      <c r="C184" s="7" t="str">
        <f t="shared" si="5"/>
        <v/>
      </c>
    </row>
    <row r="185" spans="1:3" x14ac:dyDescent="0.35">
      <c r="A185" s="70">
        <v>44835</v>
      </c>
      <c r="B185" s="11" t="s">
        <v>283</v>
      </c>
      <c r="C185" s="7" t="str">
        <f t="shared" si="5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6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6"/>
        <v/>
      </c>
    </row>
    <row r="188" spans="1:3" x14ac:dyDescent="0.35">
      <c r="A188" s="70">
        <v>44927</v>
      </c>
      <c r="B188" s="11" t="s">
        <v>283</v>
      </c>
      <c r="C188" s="7" t="str">
        <f t="shared" si="6"/>
        <v/>
      </c>
    </row>
    <row r="189" spans="1:3" x14ac:dyDescent="0.35">
      <c r="A189" s="70">
        <v>44958</v>
      </c>
      <c r="B189" s="11" t="s">
        <v>283</v>
      </c>
      <c r="C189" s="7" t="str">
        <f t="shared" si="6"/>
        <v/>
      </c>
    </row>
    <row r="190" spans="1:3" x14ac:dyDescent="0.35">
      <c r="A190" s="70">
        <v>44986</v>
      </c>
      <c r="B190" s="11" t="s">
        <v>283</v>
      </c>
      <c r="C190" s="7" t="str">
        <f t="shared" si="6"/>
        <v/>
      </c>
    </row>
    <row r="191" spans="1:3" x14ac:dyDescent="0.35">
      <c r="A191" s="70">
        <v>45017</v>
      </c>
      <c r="B191" s="11" t="s">
        <v>283</v>
      </c>
      <c r="C191" s="7" t="str">
        <f t="shared" si="6"/>
        <v/>
      </c>
    </row>
    <row r="192" spans="1:3" x14ac:dyDescent="0.35">
      <c r="A192" s="70">
        <v>45047</v>
      </c>
      <c r="B192" s="11" t="s">
        <v>283</v>
      </c>
      <c r="C192" s="7" t="str">
        <f t="shared" si="6"/>
        <v/>
      </c>
    </row>
    <row r="193" spans="1:3" x14ac:dyDescent="0.35">
      <c r="A193" s="70">
        <v>45078</v>
      </c>
      <c r="B193" s="11" t="s">
        <v>283</v>
      </c>
      <c r="C193" s="7" t="str">
        <f t="shared" si="6"/>
        <v/>
      </c>
    </row>
    <row r="194" spans="1:3" x14ac:dyDescent="0.35">
      <c r="A194" s="70">
        <v>45108</v>
      </c>
      <c r="B194" s="11" t="s">
        <v>283</v>
      </c>
      <c r="C194" s="7" t="str">
        <f t="shared" si="6"/>
        <v/>
      </c>
    </row>
    <row r="195" spans="1:3" x14ac:dyDescent="0.35">
      <c r="A195" s="70">
        <v>45139</v>
      </c>
      <c r="B195" s="11" t="s">
        <v>283</v>
      </c>
      <c r="C195" s="7" t="str">
        <f t="shared" si="6"/>
        <v/>
      </c>
    </row>
    <row r="196" spans="1:3" x14ac:dyDescent="0.35">
      <c r="A196" s="70">
        <v>45170</v>
      </c>
      <c r="B196" s="11" t="s">
        <v>283</v>
      </c>
      <c r="C196" s="7" t="str">
        <f t="shared" si="6"/>
        <v/>
      </c>
    </row>
    <row r="197" spans="1:3" x14ac:dyDescent="0.35">
      <c r="A197" s="70">
        <v>45200</v>
      </c>
      <c r="B197" s="11" t="s">
        <v>283</v>
      </c>
      <c r="C197" s="7" t="str">
        <f t="shared" si="6"/>
        <v/>
      </c>
    </row>
    <row r="198" spans="1:3" x14ac:dyDescent="0.35">
      <c r="A198" s="70">
        <v>45231</v>
      </c>
      <c r="B198" s="11" t="s">
        <v>283</v>
      </c>
      <c r="C198" s="7" t="str">
        <f t="shared" si="6"/>
        <v/>
      </c>
    </row>
    <row r="199" spans="1:3" x14ac:dyDescent="0.35">
      <c r="A199" s="70">
        <v>45261</v>
      </c>
      <c r="B199" s="11" t="s">
        <v>283</v>
      </c>
      <c r="C199" s="7" t="str">
        <f t="shared" si="6"/>
        <v/>
      </c>
    </row>
    <row r="200" spans="1:3" x14ac:dyDescent="0.35">
      <c r="A200" s="70">
        <v>45292</v>
      </c>
      <c r="B200" s="11" t="s">
        <v>283</v>
      </c>
      <c r="C200" s="7" t="str">
        <f t="shared" si="6"/>
        <v/>
      </c>
    </row>
    <row r="201" spans="1:3" x14ac:dyDescent="0.35">
      <c r="A201" s="70">
        <v>45323</v>
      </c>
      <c r="B201" s="11" t="s">
        <v>283</v>
      </c>
      <c r="C201" s="7" t="str">
        <f t="shared" si="6"/>
        <v/>
      </c>
    </row>
    <row r="202" spans="1:3" x14ac:dyDescent="0.35">
      <c r="A202" s="70">
        <v>45352</v>
      </c>
      <c r="B202" s="11" t="s">
        <v>283</v>
      </c>
      <c r="C202" s="7" t="str">
        <f t="shared" si="6"/>
        <v/>
      </c>
    </row>
    <row r="203" spans="1:3" x14ac:dyDescent="0.35">
      <c r="A203" s="70">
        <v>45383</v>
      </c>
      <c r="B203" s="11" t="s">
        <v>283</v>
      </c>
      <c r="C203" s="7" t="str">
        <f t="shared" si="6"/>
        <v/>
      </c>
    </row>
    <row r="204" spans="1:3" x14ac:dyDescent="0.35">
      <c r="A204" s="70">
        <v>45413</v>
      </c>
      <c r="B204" s="11" t="s">
        <v>283</v>
      </c>
      <c r="C204" s="7" t="str">
        <f t="shared" si="6"/>
        <v/>
      </c>
    </row>
    <row r="205" spans="1:3" x14ac:dyDescent="0.35">
      <c r="A205" s="70">
        <v>45444</v>
      </c>
      <c r="B205" s="11" t="s">
        <v>283</v>
      </c>
      <c r="C205" s="7" t="str">
        <f t="shared" si="6"/>
        <v/>
      </c>
    </row>
    <row r="206" spans="1:3" x14ac:dyDescent="0.35">
      <c r="A206" s="70">
        <v>45474</v>
      </c>
      <c r="B206" s="11" t="s">
        <v>283</v>
      </c>
      <c r="C206" s="7" t="str">
        <f t="shared" si="6"/>
        <v/>
      </c>
    </row>
    <row r="207" spans="1:3" x14ac:dyDescent="0.35">
      <c r="A207" s="70">
        <v>45505</v>
      </c>
      <c r="B207" s="11" t="s">
        <v>283</v>
      </c>
      <c r="C207" s="7" t="str">
        <f t="shared" si="6"/>
        <v/>
      </c>
    </row>
    <row r="208" spans="1:3" x14ac:dyDescent="0.35">
      <c r="A208" s="70">
        <v>45536</v>
      </c>
      <c r="B208" s="11" t="s">
        <v>283</v>
      </c>
      <c r="C208" s="7" t="str">
        <f t="shared" si="6"/>
        <v/>
      </c>
    </row>
    <row r="209" spans="1:3" x14ac:dyDescent="0.35">
      <c r="A209" s="70">
        <v>45566</v>
      </c>
      <c r="B209" s="11" t="s">
        <v>283</v>
      </c>
      <c r="C209" s="7" t="str">
        <f t="shared" si="6"/>
        <v/>
      </c>
    </row>
    <row r="210" spans="1:3" x14ac:dyDescent="0.35">
      <c r="A210" s="70">
        <v>45597</v>
      </c>
      <c r="B210" s="11" t="s">
        <v>283</v>
      </c>
      <c r="C210" s="7" t="str">
        <f t="shared" si="6"/>
        <v/>
      </c>
    </row>
    <row r="211" spans="1:3" x14ac:dyDescent="0.35">
      <c r="A211" s="70">
        <v>45627</v>
      </c>
      <c r="B211" s="11" t="s">
        <v>283</v>
      </c>
      <c r="C211" s="7" t="str">
        <f t="shared" si="6"/>
        <v/>
      </c>
    </row>
    <row r="212" spans="1:3" x14ac:dyDescent="0.35">
      <c r="A212" s="70">
        <v>45658</v>
      </c>
      <c r="B212" s="11" t="s">
        <v>283</v>
      </c>
      <c r="C212" s="7" t="str">
        <f t="shared" si="6"/>
        <v/>
      </c>
    </row>
    <row r="213" spans="1:3" x14ac:dyDescent="0.35">
      <c r="A213" s="70">
        <v>45689</v>
      </c>
      <c r="B213" s="11" t="s">
        <v>283</v>
      </c>
      <c r="C213" s="7" t="str">
        <f t="shared" si="6"/>
        <v/>
      </c>
    </row>
    <row r="214" spans="1:3" x14ac:dyDescent="0.35">
      <c r="A214" s="70">
        <v>45717</v>
      </c>
      <c r="B214" s="11" t="s">
        <v>283</v>
      </c>
      <c r="C214" s="7" t="str">
        <f t="shared" si="6"/>
        <v/>
      </c>
    </row>
    <row r="215" spans="1:3" x14ac:dyDescent="0.35">
      <c r="A215" s="70">
        <v>45748</v>
      </c>
      <c r="B215" s="11" t="s">
        <v>283</v>
      </c>
      <c r="C215" s="7" t="str">
        <f t="shared" si="6"/>
        <v/>
      </c>
    </row>
    <row r="216" spans="1:3" x14ac:dyDescent="0.35">
      <c r="A216" s="70">
        <v>45778</v>
      </c>
      <c r="B216" s="11" t="s">
        <v>283</v>
      </c>
      <c r="C216" s="7" t="str">
        <f t="shared" si="6"/>
        <v/>
      </c>
    </row>
    <row r="217" spans="1:3" x14ac:dyDescent="0.35">
      <c r="A217" s="70">
        <v>45809</v>
      </c>
      <c r="B217" s="11" t="s">
        <v>283</v>
      </c>
      <c r="C217" s="7" t="str">
        <f t="shared" si="6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7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7"/>
        <v/>
      </c>
    </row>
    <row r="220" spans="1:3" x14ac:dyDescent="0.35">
      <c r="A220" s="70">
        <v>45901</v>
      </c>
      <c r="B220" s="11" t="s">
        <v>283</v>
      </c>
      <c r="C220" s="7" t="str">
        <f t="shared" si="7"/>
        <v/>
      </c>
    </row>
    <row r="221" spans="1:3" x14ac:dyDescent="0.35">
      <c r="A221" s="70">
        <v>45931</v>
      </c>
      <c r="B221" s="11" t="s">
        <v>283</v>
      </c>
      <c r="C221" s="7" t="str">
        <f t="shared" si="7"/>
        <v/>
      </c>
    </row>
    <row r="222" spans="1:3" x14ac:dyDescent="0.35">
      <c r="A222" s="70">
        <v>45962</v>
      </c>
      <c r="B222" s="11" t="s">
        <v>283</v>
      </c>
      <c r="C222" s="7" t="str">
        <f t="shared" si="7"/>
        <v/>
      </c>
    </row>
    <row r="223" spans="1:3" x14ac:dyDescent="0.35">
      <c r="A223" s="70">
        <v>45992</v>
      </c>
      <c r="B223" s="11" t="s">
        <v>283</v>
      </c>
      <c r="C223" s="7" t="str">
        <f t="shared" si="7"/>
        <v/>
      </c>
    </row>
    <row r="224" spans="1:3" x14ac:dyDescent="0.35">
      <c r="A224" s="70">
        <v>46023</v>
      </c>
      <c r="B224" s="11" t="s">
        <v>283</v>
      </c>
      <c r="C224" s="7" t="str">
        <f t="shared" si="7"/>
        <v/>
      </c>
    </row>
    <row r="225" spans="1:3" x14ac:dyDescent="0.35">
      <c r="A225" s="70">
        <v>46054</v>
      </c>
      <c r="B225" s="11" t="s">
        <v>283</v>
      </c>
      <c r="C225" s="7" t="str">
        <f t="shared" si="7"/>
        <v/>
      </c>
    </row>
    <row r="226" spans="1:3" x14ac:dyDescent="0.35">
      <c r="A226" s="70">
        <v>46082</v>
      </c>
      <c r="B226" s="11" t="s">
        <v>283</v>
      </c>
      <c r="C226" s="7" t="str">
        <f t="shared" si="7"/>
        <v/>
      </c>
    </row>
    <row r="227" spans="1:3" x14ac:dyDescent="0.35">
      <c r="A227" s="70">
        <v>46113</v>
      </c>
      <c r="B227" s="11" t="s">
        <v>283</v>
      </c>
      <c r="C227" s="7" t="str">
        <f t="shared" si="7"/>
        <v/>
      </c>
    </row>
    <row r="228" spans="1:3" x14ac:dyDescent="0.35">
      <c r="A228" s="70">
        <v>46143</v>
      </c>
      <c r="B228" s="11" t="s">
        <v>283</v>
      </c>
      <c r="C228" s="7" t="str">
        <f t="shared" si="7"/>
        <v/>
      </c>
    </row>
  </sheetData>
  <conditionalFormatting sqref="B2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4:I228"/>
  <sheetViews>
    <sheetView topLeftCell="A14" zoomScale="70" zoomScaleNormal="70" workbookViewId="0">
      <pane ySplit="1" topLeftCell="A81" activePane="bottomLeft" state="frozen"/>
      <selection activeCell="D88" sqref="D88"/>
      <selection pane="bottomLeft" activeCell="A14" sqref="A14:D90"/>
    </sheetView>
  </sheetViews>
  <sheetFormatPr defaultRowHeight="14.5" x14ac:dyDescent="0.35"/>
  <cols>
    <col min="1" max="1" width="9.7265625" style="7" customWidth="1"/>
    <col min="2" max="2" width="25.26953125" style="8" customWidth="1"/>
    <col min="3" max="3" width="12.26953125" style="7" customWidth="1"/>
    <col min="4" max="4" width="21.36328125" customWidth="1"/>
  </cols>
  <sheetData>
    <row r="14" spans="1:4" x14ac:dyDescent="0.35">
      <c r="A14" s="69" t="s">
        <v>0</v>
      </c>
      <c r="B14" s="8" t="s">
        <v>6</v>
      </c>
      <c r="C14" s="7" t="s">
        <v>1</v>
      </c>
      <c r="D14" s="1" t="s">
        <v>19</v>
      </c>
    </row>
    <row r="15" spans="1:4" x14ac:dyDescent="0.35">
      <c r="A15" s="70">
        <v>39661</v>
      </c>
      <c r="B15" s="11">
        <v>48</v>
      </c>
      <c r="D15" s="1"/>
    </row>
    <row r="16" spans="1:4" x14ac:dyDescent="0.35">
      <c r="A16" s="70">
        <v>39692</v>
      </c>
      <c r="B16" s="11">
        <v>50.1</v>
      </c>
      <c r="C16" s="14">
        <f t="shared" ref="C16:C41" si="0">B16-B15</f>
        <v>2.1000000000000014</v>
      </c>
      <c r="D16" s="1">
        <v>-4.0000000000000001E-3</v>
      </c>
    </row>
    <row r="17" spans="1:4" x14ac:dyDescent="0.35">
      <c r="A17" s="70">
        <v>39722</v>
      </c>
      <c r="B17" s="11">
        <v>47.5</v>
      </c>
      <c r="C17" s="14">
        <f t="shared" si="0"/>
        <v>-2.6000000000000014</v>
      </c>
      <c r="D17" s="1"/>
    </row>
    <row r="18" spans="1:4" x14ac:dyDescent="0.35">
      <c r="A18" s="70">
        <v>39753</v>
      </c>
      <c r="B18" s="11">
        <v>46.2</v>
      </c>
      <c r="C18" s="14">
        <f t="shared" si="0"/>
        <v>-1.2999999999999972</v>
      </c>
      <c r="D18" s="1"/>
    </row>
    <row r="19" spans="1:4" x14ac:dyDescent="0.35">
      <c r="A19" s="70">
        <v>39783</v>
      </c>
      <c r="B19" s="11">
        <v>44.2</v>
      </c>
      <c r="C19" s="14">
        <f t="shared" si="0"/>
        <v>-2</v>
      </c>
      <c r="D19" s="1">
        <v>-1.6E-2</v>
      </c>
    </row>
    <row r="20" spans="1:4" x14ac:dyDescent="0.35">
      <c r="A20" s="70">
        <v>39814</v>
      </c>
      <c r="B20" s="11">
        <v>42.6</v>
      </c>
      <c r="C20" s="14">
        <f t="shared" si="0"/>
        <v>-1.6000000000000014</v>
      </c>
      <c r="D20" s="1"/>
    </row>
    <row r="21" spans="1:4" x14ac:dyDescent="0.35">
      <c r="A21" s="70">
        <v>39845</v>
      </c>
      <c r="B21" s="11">
        <v>40.200000000000003</v>
      </c>
      <c r="C21" s="14">
        <f t="shared" si="0"/>
        <v>-2.3999999999999986</v>
      </c>
      <c r="D21" s="1"/>
    </row>
    <row r="22" spans="1:4" x14ac:dyDescent="0.35">
      <c r="A22" s="70">
        <v>39873</v>
      </c>
      <c r="B22" s="11">
        <v>43.6</v>
      </c>
      <c r="C22" s="14">
        <f t="shared" si="0"/>
        <v>3.3999999999999986</v>
      </c>
      <c r="D22" s="1">
        <v>-1.7000000000000001E-2</v>
      </c>
    </row>
    <row r="23" spans="1:4" x14ac:dyDescent="0.35">
      <c r="A23" s="70">
        <v>39904</v>
      </c>
      <c r="B23" s="11">
        <v>46.5</v>
      </c>
      <c r="C23" s="14">
        <f t="shared" si="0"/>
        <v>2.8999999999999986</v>
      </c>
      <c r="D23" s="1"/>
    </row>
    <row r="24" spans="1:4" x14ac:dyDescent="0.35">
      <c r="A24" s="70">
        <v>39934</v>
      </c>
      <c r="B24" s="11">
        <v>48.3</v>
      </c>
      <c r="C24" s="14">
        <f t="shared" si="0"/>
        <v>1.7999999999999972</v>
      </c>
      <c r="D24" s="1"/>
    </row>
    <row r="25" spans="1:4" x14ac:dyDescent="0.35">
      <c r="A25" s="70">
        <v>39965</v>
      </c>
      <c r="B25" s="11">
        <v>47.2</v>
      </c>
      <c r="C25" s="14">
        <f t="shared" si="0"/>
        <v>-1.0999999999999943</v>
      </c>
      <c r="D25" s="1">
        <v>0</v>
      </c>
    </row>
    <row r="26" spans="1:4" x14ac:dyDescent="0.35">
      <c r="A26" s="70">
        <v>39995</v>
      </c>
      <c r="B26" s="11">
        <v>45.5</v>
      </c>
      <c r="C26" s="14">
        <f t="shared" si="0"/>
        <v>-1.7000000000000028</v>
      </c>
      <c r="D26" s="1"/>
    </row>
    <row r="27" spans="1:4" x14ac:dyDescent="0.35">
      <c r="A27" s="70">
        <v>40026</v>
      </c>
      <c r="B27" s="11">
        <v>49.3</v>
      </c>
      <c r="C27" s="14">
        <f t="shared" si="0"/>
        <v>3.7999999999999972</v>
      </c>
      <c r="D27" s="1"/>
    </row>
    <row r="28" spans="1:4" x14ac:dyDescent="0.35">
      <c r="A28" s="70">
        <v>40057</v>
      </c>
      <c r="B28" s="11">
        <v>53.2</v>
      </c>
      <c r="C28" s="14">
        <f t="shared" si="0"/>
        <v>3.9000000000000057</v>
      </c>
      <c r="D28" s="1">
        <v>1E-3</v>
      </c>
    </row>
    <row r="29" spans="1:4" x14ac:dyDescent="0.35">
      <c r="A29" s="70">
        <v>40087</v>
      </c>
      <c r="B29" s="11">
        <v>57.7</v>
      </c>
      <c r="C29" s="14">
        <f t="shared" si="0"/>
        <v>4.5</v>
      </c>
      <c r="D29" s="1"/>
    </row>
    <row r="30" spans="1:4" x14ac:dyDescent="0.35">
      <c r="A30" s="70">
        <v>40118</v>
      </c>
      <c r="B30" s="11">
        <v>60.9</v>
      </c>
      <c r="C30" s="14">
        <f t="shared" si="0"/>
        <v>3.1999999999999957</v>
      </c>
      <c r="D30" s="1"/>
    </row>
    <row r="31" spans="1:4" x14ac:dyDescent="0.35">
      <c r="A31" s="70">
        <v>40148</v>
      </c>
      <c r="B31" s="11">
        <v>58.2</v>
      </c>
      <c r="C31" s="14">
        <f t="shared" si="0"/>
        <v>-2.6999999999999957</v>
      </c>
      <c r="D31" s="1">
        <v>7.0000000000000001E-3</v>
      </c>
    </row>
    <row r="32" spans="1:4" x14ac:dyDescent="0.35">
      <c r="A32" s="70">
        <v>40179</v>
      </c>
      <c r="B32" s="11">
        <v>56.3</v>
      </c>
      <c r="C32" s="14">
        <f t="shared" si="0"/>
        <v>-1.9000000000000057</v>
      </c>
      <c r="D32" s="1"/>
    </row>
    <row r="33" spans="1:4" x14ac:dyDescent="0.35">
      <c r="A33" s="70">
        <v>40210</v>
      </c>
      <c r="B33" s="11">
        <v>54.6</v>
      </c>
      <c r="C33" s="14">
        <f t="shared" si="0"/>
        <v>-1.6999999999999957</v>
      </c>
      <c r="D33" s="1"/>
    </row>
    <row r="34" spans="1:4" x14ac:dyDescent="0.35">
      <c r="A34" s="70">
        <v>40238</v>
      </c>
      <c r="B34" s="11">
        <v>53.8</v>
      </c>
      <c r="C34" s="14">
        <f t="shared" si="0"/>
        <v>-0.80000000000000426</v>
      </c>
      <c r="D34" s="1">
        <v>3.0000000000000001E-3</v>
      </c>
    </row>
    <row r="35" spans="1:4" x14ac:dyDescent="0.35">
      <c r="A35" s="70">
        <v>40269</v>
      </c>
      <c r="B35" s="11">
        <v>59.2</v>
      </c>
      <c r="C35" s="14">
        <f t="shared" si="0"/>
        <v>5.4000000000000057</v>
      </c>
      <c r="D35" s="1"/>
    </row>
    <row r="36" spans="1:4" x14ac:dyDescent="0.35">
      <c r="A36" s="70">
        <v>40299</v>
      </c>
      <c r="B36" s="11">
        <v>61.4</v>
      </c>
      <c r="C36" s="14">
        <f t="shared" si="0"/>
        <v>2.1999999999999957</v>
      </c>
      <c r="D36" s="1"/>
    </row>
    <row r="37" spans="1:4" x14ac:dyDescent="0.35">
      <c r="A37" s="70">
        <v>40330</v>
      </c>
      <c r="B37" s="11">
        <v>60.8</v>
      </c>
      <c r="C37" s="14">
        <f t="shared" si="0"/>
        <v>-0.60000000000000142</v>
      </c>
      <c r="D37" s="1">
        <v>6.0000000000000001E-3</v>
      </c>
    </row>
    <row r="38" spans="1:4" x14ac:dyDescent="0.35">
      <c r="A38" s="70">
        <v>40360</v>
      </c>
      <c r="B38" s="11">
        <v>61.1</v>
      </c>
      <c r="C38" s="14">
        <f t="shared" si="0"/>
        <v>0.30000000000000426</v>
      </c>
      <c r="D38" s="1"/>
    </row>
    <row r="39" spans="1:4" x14ac:dyDescent="0.35">
      <c r="A39" s="70">
        <v>40391</v>
      </c>
      <c r="B39" s="11">
        <v>60.4</v>
      </c>
      <c r="C39" s="14">
        <f t="shared" si="0"/>
        <v>-0.70000000000000284</v>
      </c>
      <c r="D39" s="1"/>
    </row>
    <row r="40" spans="1:4" x14ac:dyDescent="0.35">
      <c r="A40" s="70">
        <v>40422</v>
      </c>
      <c r="B40" s="11">
        <v>58.2</v>
      </c>
      <c r="C40" s="14">
        <f t="shared" si="0"/>
        <v>-2.1999999999999957</v>
      </c>
      <c r="D40" s="1">
        <v>5.0000000000000001E-3</v>
      </c>
    </row>
    <row r="41" spans="1:4" x14ac:dyDescent="0.35">
      <c r="A41" s="70">
        <v>40452</v>
      </c>
      <c r="B41" s="11">
        <v>54.8</v>
      </c>
      <c r="C41" s="14">
        <f t="shared" si="0"/>
        <v>-3.4000000000000057</v>
      </c>
      <c r="D41" s="1"/>
    </row>
    <row r="42" spans="1:4" x14ac:dyDescent="0.35">
      <c r="A42" s="70">
        <v>40483</v>
      </c>
      <c r="B42" s="11">
        <v>55</v>
      </c>
      <c r="C42" s="14">
        <f>B42-B41</f>
        <v>0.20000000000000284</v>
      </c>
      <c r="D42" s="1"/>
    </row>
    <row r="43" spans="1:4" x14ac:dyDescent="0.35">
      <c r="A43" s="70">
        <v>40513</v>
      </c>
      <c r="B43" s="11">
        <v>57.1</v>
      </c>
      <c r="C43" s="14">
        <f t="shared" ref="C43:C83" si="1">B43-B42</f>
        <v>2.1000000000000014</v>
      </c>
      <c r="D43" s="1">
        <v>5.0000000000000001E-3</v>
      </c>
    </row>
    <row r="44" spans="1:4" x14ac:dyDescent="0.35">
      <c r="A44" s="70">
        <v>40544</v>
      </c>
      <c r="B44" s="11">
        <v>58.3</v>
      </c>
      <c r="C44" s="14">
        <f t="shared" si="1"/>
        <v>1.1999999999999957</v>
      </c>
      <c r="D44" s="1"/>
    </row>
    <row r="45" spans="1:4" x14ac:dyDescent="0.35">
      <c r="A45" s="70">
        <v>40575</v>
      </c>
      <c r="B45" s="11">
        <v>59.7</v>
      </c>
      <c r="C45" s="14">
        <f t="shared" si="1"/>
        <v>1.4000000000000057</v>
      </c>
      <c r="D45" s="1"/>
    </row>
    <row r="46" spans="1:4" x14ac:dyDescent="0.35">
      <c r="A46" s="70">
        <v>40603</v>
      </c>
      <c r="B46" s="11">
        <v>60.4</v>
      </c>
      <c r="C46" s="14">
        <f t="shared" si="1"/>
        <v>0.69999999999999574</v>
      </c>
      <c r="D46" s="1">
        <v>1.0999999999999999E-2</v>
      </c>
    </row>
    <row r="47" spans="1:4" x14ac:dyDescent="0.35">
      <c r="A47" s="70">
        <v>40634</v>
      </c>
      <c r="B47" s="11">
        <v>62.9</v>
      </c>
      <c r="C47" s="14">
        <f t="shared" si="1"/>
        <v>2.5</v>
      </c>
      <c r="D47" s="1"/>
    </row>
    <row r="48" spans="1:4" x14ac:dyDescent="0.35">
      <c r="A48" s="70">
        <v>40664</v>
      </c>
      <c r="B48" s="11">
        <v>62.5</v>
      </c>
      <c r="C48" s="14">
        <f t="shared" si="1"/>
        <v>-0.39999999999999858</v>
      </c>
      <c r="D48" s="1"/>
    </row>
    <row r="49" spans="1:4" x14ac:dyDescent="0.35">
      <c r="A49" s="70">
        <v>40695</v>
      </c>
      <c r="B49" s="11">
        <v>56.1</v>
      </c>
      <c r="C49" s="14">
        <f t="shared" si="1"/>
        <v>-6.3999999999999986</v>
      </c>
      <c r="D49" s="1">
        <v>-1E-3</v>
      </c>
    </row>
    <row r="50" spans="1:4" x14ac:dyDescent="0.35">
      <c r="A50" s="70">
        <v>40725</v>
      </c>
      <c r="B50" s="11">
        <v>54.2</v>
      </c>
      <c r="C50" s="14">
        <f t="shared" si="1"/>
        <v>-1.8999999999999986</v>
      </c>
      <c r="D50" s="1"/>
    </row>
    <row r="51" spans="1:4" x14ac:dyDescent="0.35">
      <c r="A51" s="70">
        <v>40756</v>
      </c>
      <c r="B51" s="11">
        <v>52.3</v>
      </c>
      <c r="C51" s="14">
        <f t="shared" si="1"/>
        <v>-1.9000000000000057</v>
      </c>
      <c r="D51" s="1"/>
    </row>
    <row r="52" spans="1:4" x14ac:dyDescent="0.35">
      <c r="A52" s="70">
        <v>40787</v>
      </c>
      <c r="B52" s="11">
        <v>51.5</v>
      </c>
      <c r="C52" s="14">
        <f t="shared" si="1"/>
        <v>-0.79999999999999716</v>
      </c>
      <c r="D52" s="1">
        <v>3.0000000000000001E-3</v>
      </c>
    </row>
    <row r="53" spans="1:4" x14ac:dyDescent="0.35">
      <c r="A53" s="70">
        <v>40817</v>
      </c>
      <c r="B53" s="11">
        <v>44.6</v>
      </c>
      <c r="C53" s="14">
        <f t="shared" si="1"/>
        <v>-6.8999999999999986</v>
      </c>
      <c r="D53" s="1"/>
    </row>
    <row r="54" spans="1:4" x14ac:dyDescent="0.35">
      <c r="A54" s="70">
        <v>40848</v>
      </c>
      <c r="B54" s="11">
        <v>49.6</v>
      </c>
      <c r="C54" s="14">
        <f t="shared" si="1"/>
        <v>5</v>
      </c>
      <c r="D54" s="1"/>
    </row>
    <row r="55" spans="1:4" x14ac:dyDescent="0.35">
      <c r="A55" s="70">
        <v>40878</v>
      </c>
      <c r="B55" s="11">
        <v>50.3</v>
      </c>
      <c r="C55" s="14">
        <f t="shared" si="1"/>
        <v>0.69999999999999574</v>
      </c>
      <c r="D55" s="1">
        <v>1E-3</v>
      </c>
    </row>
    <row r="56" spans="1:4" x14ac:dyDescent="0.35">
      <c r="A56" s="70">
        <v>40909</v>
      </c>
      <c r="B56" s="11">
        <v>52.3</v>
      </c>
      <c r="C56" s="14">
        <f t="shared" si="1"/>
        <v>2</v>
      </c>
      <c r="D56" s="1"/>
    </row>
    <row r="57" spans="1:4" x14ac:dyDescent="0.35">
      <c r="A57" s="70">
        <v>40940</v>
      </c>
      <c r="B57" s="11">
        <v>50</v>
      </c>
      <c r="C57" s="14">
        <f t="shared" si="1"/>
        <v>-2.2999999999999972</v>
      </c>
      <c r="D57" s="1"/>
    </row>
    <row r="58" spans="1:4" x14ac:dyDescent="0.35">
      <c r="A58" s="70">
        <v>40969</v>
      </c>
      <c r="B58" s="11">
        <v>50.1</v>
      </c>
      <c r="C58" s="14">
        <f t="shared" si="1"/>
        <v>0.10000000000000142</v>
      </c>
      <c r="D58" s="1">
        <v>1E-3</v>
      </c>
    </row>
    <row r="59" spans="1:4" x14ac:dyDescent="0.35">
      <c r="A59" s="70">
        <v>41000</v>
      </c>
      <c r="B59" s="11">
        <v>45.2</v>
      </c>
      <c r="C59" s="14">
        <f t="shared" si="1"/>
        <v>-4.8999999999999986</v>
      </c>
      <c r="D59" s="1"/>
    </row>
    <row r="60" spans="1:4" x14ac:dyDescent="0.35">
      <c r="A60" s="70">
        <v>41030</v>
      </c>
      <c r="B60" s="11">
        <v>45.1</v>
      </c>
      <c r="C60" s="14">
        <f t="shared" si="1"/>
        <v>-0.10000000000000142</v>
      </c>
      <c r="D60" s="1"/>
    </row>
    <row r="61" spans="1:4" x14ac:dyDescent="0.35">
      <c r="A61" s="70">
        <v>41061</v>
      </c>
      <c r="B61" s="11">
        <v>47.9</v>
      </c>
      <c r="C61" s="14">
        <f t="shared" si="1"/>
        <v>2.7999999999999972</v>
      </c>
      <c r="D61" s="1">
        <v>-3.0000000000000001E-3</v>
      </c>
    </row>
    <row r="62" spans="1:4" x14ac:dyDescent="0.35">
      <c r="A62" s="70">
        <v>41091</v>
      </c>
      <c r="B62" s="11">
        <v>50</v>
      </c>
      <c r="C62" s="14">
        <f t="shared" si="1"/>
        <v>2.1000000000000014</v>
      </c>
      <c r="D62" s="1"/>
    </row>
    <row r="63" spans="1:4" x14ac:dyDescent="0.35">
      <c r="A63" s="70">
        <v>41122</v>
      </c>
      <c r="B63" s="11">
        <v>49.2</v>
      </c>
      <c r="C63" s="14">
        <f t="shared" si="1"/>
        <v>-0.79999999999999716</v>
      </c>
      <c r="D63" s="1"/>
    </row>
    <row r="64" spans="1:4" x14ac:dyDescent="0.35">
      <c r="A64" s="70">
        <v>41153</v>
      </c>
      <c r="B64" s="11">
        <v>45</v>
      </c>
      <c r="C64" s="14">
        <f t="shared" si="1"/>
        <v>-4.2000000000000028</v>
      </c>
      <c r="D64" s="1">
        <v>2E-3</v>
      </c>
    </row>
    <row r="65" spans="1:4" x14ac:dyDescent="0.35">
      <c r="A65" s="70">
        <v>41183</v>
      </c>
      <c r="B65" s="11">
        <v>44.6</v>
      </c>
      <c r="C65" s="14">
        <f t="shared" si="1"/>
        <v>-0.39999999999999858</v>
      </c>
      <c r="D65" s="1"/>
    </row>
    <row r="66" spans="1:4" x14ac:dyDescent="0.35">
      <c r="A66" s="70">
        <v>41214</v>
      </c>
      <c r="B66" s="11">
        <v>45.8</v>
      </c>
      <c r="C66" s="14">
        <f t="shared" si="1"/>
        <v>1.1999999999999957</v>
      </c>
      <c r="D66" s="1"/>
    </row>
    <row r="67" spans="1:4" x14ac:dyDescent="0.35">
      <c r="A67" s="70">
        <v>41244</v>
      </c>
      <c r="B67" s="11">
        <v>44.1</v>
      </c>
      <c r="C67" s="14">
        <f t="shared" si="1"/>
        <v>-1.6999999999999957</v>
      </c>
      <c r="D67" s="1">
        <v>-2E-3</v>
      </c>
    </row>
    <row r="68" spans="1:4" x14ac:dyDescent="0.35">
      <c r="A68" s="70">
        <v>41275</v>
      </c>
      <c r="B68" s="11">
        <v>43.6</v>
      </c>
      <c r="C68" s="14">
        <f t="shared" si="1"/>
        <v>-0.5</v>
      </c>
      <c r="D68" s="1"/>
    </row>
    <row r="69" spans="1:4" x14ac:dyDescent="0.35">
      <c r="A69" s="70">
        <v>41306</v>
      </c>
      <c r="B69" s="11">
        <v>43.7</v>
      </c>
      <c r="C69" s="14">
        <f t="shared" si="1"/>
        <v>0.10000000000000142</v>
      </c>
      <c r="D69" s="1"/>
    </row>
    <row r="70" spans="1:4" x14ac:dyDescent="0.35">
      <c r="A70" s="70">
        <v>41334</v>
      </c>
      <c r="B70" s="11">
        <v>41.3</v>
      </c>
      <c r="C70" s="14">
        <f t="shared" si="1"/>
        <v>-2.4000000000000057</v>
      </c>
      <c r="D70" s="1">
        <v>0</v>
      </c>
    </row>
    <row r="71" spans="1:4" x14ac:dyDescent="0.35">
      <c r="A71" s="70">
        <v>41365</v>
      </c>
      <c r="B71" s="11">
        <v>44.3</v>
      </c>
      <c r="C71" s="14">
        <f t="shared" si="1"/>
        <v>3</v>
      </c>
      <c r="D71" s="1"/>
    </row>
    <row r="72" spans="1:4" x14ac:dyDescent="0.35">
      <c r="A72" s="70">
        <v>41395</v>
      </c>
      <c r="B72" s="11">
        <v>44.3</v>
      </c>
      <c r="C72" s="14">
        <f t="shared" si="1"/>
        <v>0</v>
      </c>
      <c r="D72" s="1"/>
    </row>
    <row r="73" spans="1:4" x14ac:dyDescent="0.35">
      <c r="A73" s="70">
        <v>41426</v>
      </c>
      <c r="B73" s="11">
        <v>47.2</v>
      </c>
      <c r="C73" s="14">
        <f t="shared" si="1"/>
        <v>2.9000000000000057</v>
      </c>
      <c r="D73" s="1">
        <v>6.0000000000000001E-3</v>
      </c>
    </row>
    <row r="74" spans="1:4" x14ac:dyDescent="0.35">
      <c r="A74" s="70">
        <v>41456</v>
      </c>
      <c r="B74" s="11">
        <v>48.6</v>
      </c>
      <c r="C74" s="14">
        <f t="shared" si="1"/>
        <v>1.3999999999999986</v>
      </c>
      <c r="D74" s="1"/>
    </row>
    <row r="75" spans="1:4" x14ac:dyDescent="0.35">
      <c r="A75" s="70">
        <v>41487</v>
      </c>
      <c r="B75" s="11">
        <v>48.9</v>
      </c>
      <c r="C75" s="14">
        <f t="shared" si="1"/>
        <v>0.29999999999999716</v>
      </c>
      <c r="D75" s="1"/>
    </row>
    <row r="76" spans="1:4" x14ac:dyDescent="0.35">
      <c r="A76" s="70">
        <v>41518</v>
      </c>
      <c r="B76" s="11">
        <v>51</v>
      </c>
      <c r="C76" s="14">
        <f t="shared" si="1"/>
        <v>2.1000000000000014</v>
      </c>
      <c r="D76" s="1">
        <v>-1E-3</v>
      </c>
    </row>
    <row r="77" spans="1:4" x14ac:dyDescent="0.35">
      <c r="A77" s="70">
        <v>41548</v>
      </c>
      <c r="B77" s="11">
        <v>50.9</v>
      </c>
      <c r="C77" s="14">
        <f t="shared" si="1"/>
        <v>-0.10000000000000142</v>
      </c>
      <c r="D77" s="1"/>
    </row>
    <row r="78" spans="1:4" x14ac:dyDescent="0.35">
      <c r="A78" s="70">
        <v>41579</v>
      </c>
      <c r="B78" s="11">
        <v>48</v>
      </c>
      <c r="C78" s="14">
        <f t="shared" si="1"/>
        <v>-2.8999999999999986</v>
      </c>
      <c r="D78" s="1"/>
    </row>
    <row r="79" spans="1:4" x14ac:dyDescent="0.35">
      <c r="A79" s="70">
        <v>41609</v>
      </c>
      <c r="B79" s="11">
        <v>48.1</v>
      </c>
      <c r="C79" s="14">
        <f t="shared" si="1"/>
        <v>0.10000000000000142</v>
      </c>
      <c r="D79" s="1">
        <v>2E-3</v>
      </c>
    </row>
    <row r="80" spans="1:4" x14ac:dyDescent="0.35">
      <c r="A80" s="70">
        <v>41640</v>
      </c>
      <c r="B80" s="11">
        <v>48.9</v>
      </c>
      <c r="C80" s="14">
        <f t="shared" si="1"/>
        <v>0.79999999999999716</v>
      </c>
      <c r="D80" s="1"/>
    </row>
    <row r="81" spans="1:9" x14ac:dyDescent="0.35">
      <c r="A81" s="70">
        <v>41671</v>
      </c>
      <c r="B81" s="11">
        <v>47.2</v>
      </c>
      <c r="C81" s="14">
        <f t="shared" si="1"/>
        <v>-1.6999999999999957</v>
      </c>
      <c r="D81" s="1"/>
    </row>
    <row r="82" spans="1:9" x14ac:dyDescent="0.35">
      <c r="A82" s="70">
        <v>41699</v>
      </c>
      <c r="B82" s="11">
        <v>51.5</v>
      </c>
      <c r="C82" s="14">
        <f t="shared" si="1"/>
        <v>4.2999999999999972</v>
      </c>
      <c r="D82" s="1">
        <v>0</v>
      </c>
    </row>
    <row r="83" spans="1:9" x14ac:dyDescent="0.35">
      <c r="A83" s="70">
        <v>41730</v>
      </c>
      <c r="B83" s="11">
        <v>50.4</v>
      </c>
      <c r="C83" s="14">
        <f t="shared" si="1"/>
        <v>-1.1000000000000014</v>
      </c>
      <c r="D83" s="1"/>
    </row>
    <row r="84" spans="1:9" x14ac:dyDescent="0.35">
      <c r="A84" s="70">
        <v>41760</v>
      </c>
      <c r="B84" s="11">
        <v>49.1</v>
      </c>
      <c r="C84" s="14">
        <f t="shared" ref="C84:C87" si="2">B84-B83</f>
        <v>-1.2999999999999972</v>
      </c>
      <c r="D84" s="1"/>
    </row>
    <row r="85" spans="1:9" x14ac:dyDescent="0.35">
      <c r="A85" s="70">
        <v>41791</v>
      </c>
      <c r="B85" s="11">
        <v>48.2</v>
      </c>
      <c r="C85" s="14">
        <f t="shared" si="2"/>
        <v>-0.89999999999999858</v>
      </c>
      <c r="D85" s="36">
        <v>0</v>
      </c>
      <c r="H85" s="41" t="s">
        <v>67</v>
      </c>
      <c r="I85" t="s">
        <v>36</v>
      </c>
    </row>
    <row r="86" spans="1:9" x14ac:dyDescent="0.35">
      <c r="A86" s="70">
        <v>41821</v>
      </c>
      <c r="B86" s="11">
        <v>50.4</v>
      </c>
      <c r="C86" s="14">
        <f t="shared" si="2"/>
        <v>2.1999999999999957</v>
      </c>
    </row>
    <row r="87" spans="1:9" x14ac:dyDescent="0.35">
      <c r="A87" s="70">
        <v>41852</v>
      </c>
      <c r="B87" s="11">
        <v>50.3</v>
      </c>
      <c r="C87" s="14">
        <f t="shared" si="2"/>
        <v>-0.10000000000000142</v>
      </c>
    </row>
    <row r="88" spans="1:9" x14ac:dyDescent="0.35">
      <c r="A88" s="70">
        <v>41883</v>
      </c>
      <c r="B88" s="11">
        <v>48.4</v>
      </c>
      <c r="C88" s="14">
        <f>IFERROR(B88-B87,"")</f>
        <v>-1.8999999999999986</v>
      </c>
      <c r="D88" s="1">
        <f>IF(VLOOKUP(I85,Data!$A$30:$H$150,7,FALSE)=A87,VLOOKUP(I85,Data!$A$30:$H$150,2,FALSE)/100,#N/A)</f>
        <v>3.0000000000000001E-3</v>
      </c>
    </row>
    <row r="89" spans="1:9" x14ac:dyDescent="0.35">
      <c r="A89" s="70">
        <v>41913</v>
      </c>
      <c r="B89" s="11">
        <v>48.3</v>
      </c>
      <c r="C89" s="14">
        <v>-0.10000000000000142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3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3"/>
        <v/>
      </c>
    </row>
    <row r="92" spans="1:9" x14ac:dyDescent="0.35">
      <c r="A92" s="70">
        <v>42005</v>
      </c>
      <c r="B92" s="11" t="s">
        <v>283</v>
      </c>
      <c r="C92" s="7" t="str">
        <f t="shared" si="3"/>
        <v/>
      </c>
    </row>
    <row r="93" spans="1:9" x14ac:dyDescent="0.35">
      <c r="A93" s="70">
        <v>42036</v>
      </c>
      <c r="B93" s="11" t="s">
        <v>283</v>
      </c>
      <c r="C93" s="7" t="str">
        <f t="shared" si="3"/>
        <v/>
      </c>
    </row>
    <row r="94" spans="1:9" x14ac:dyDescent="0.35">
      <c r="A94" s="70">
        <v>42064</v>
      </c>
      <c r="B94" s="11" t="s">
        <v>283</v>
      </c>
      <c r="C94" s="7" t="str">
        <f t="shared" si="3"/>
        <v/>
      </c>
    </row>
    <row r="95" spans="1:9" x14ac:dyDescent="0.35">
      <c r="A95" s="70">
        <v>42095</v>
      </c>
      <c r="B95" s="11" t="s">
        <v>283</v>
      </c>
      <c r="C95" s="7" t="str">
        <f t="shared" si="3"/>
        <v/>
      </c>
    </row>
    <row r="96" spans="1:9" x14ac:dyDescent="0.35">
      <c r="A96" s="70">
        <v>42125</v>
      </c>
      <c r="B96" s="11" t="s">
        <v>283</v>
      </c>
      <c r="C96" s="7" t="str">
        <f t="shared" si="3"/>
        <v/>
      </c>
    </row>
    <row r="97" spans="1:3" x14ac:dyDescent="0.35">
      <c r="A97" s="70">
        <v>42156</v>
      </c>
      <c r="B97" s="11" t="s">
        <v>283</v>
      </c>
      <c r="C97" s="7" t="str">
        <f t="shared" si="3"/>
        <v/>
      </c>
    </row>
    <row r="98" spans="1:3" x14ac:dyDescent="0.35">
      <c r="A98" s="70">
        <v>42186</v>
      </c>
      <c r="B98" s="11" t="s">
        <v>283</v>
      </c>
      <c r="C98" s="7" t="str">
        <f t="shared" si="3"/>
        <v/>
      </c>
    </row>
    <row r="99" spans="1:3" x14ac:dyDescent="0.35">
      <c r="A99" s="70">
        <v>42217</v>
      </c>
      <c r="B99" s="11" t="s">
        <v>283</v>
      </c>
      <c r="C99" s="7" t="str">
        <f t="shared" si="3"/>
        <v/>
      </c>
    </row>
    <row r="100" spans="1:3" x14ac:dyDescent="0.35">
      <c r="A100" s="70">
        <v>42248</v>
      </c>
      <c r="B100" s="11" t="s">
        <v>283</v>
      </c>
      <c r="C100" s="7" t="str">
        <f t="shared" si="3"/>
        <v/>
      </c>
    </row>
    <row r="101" spans="1:3" x14ac:dyDescent="0.35">
      <c r="A101" s="70">
        <v>42278</v>
      </c>
      <c r="B101" s="11" t="s">
        <v>283</v>
      </c>
      <c r="C101" s="7" t="str">
        <f t="shared" si="3"/>
        <v/>
      </c>
    </row>
    <row r="102" spans="1:3" x14ac:dyDescent="0.35">
      <c r="A102" s="70">
        <v>42309</v>
      </c>
      <c r="B102" s="11" t="s">
        <v>283</v>
      </c>
      <c r="C102" s="7" t="str">
        <f t="shared" si="3"/>
        <v/>
      </c>
    </row>
    <row r="103" spans="1:3" x14ac:dyDescent="0.35">
      <c r="A103" s="70">
        <v>42339</v>
      </c>
      <c r="B103" s="11" t="s">
        <v>283</v>
      </c>
      <c r="C103" s="7" t="str">
        <f t="shared" si="3"/>
        <v/>
      </c>
    </row>
    <row r="104" spans="1:3" x14ac:dyDescent="0.35">
      <c r="A104" s="70">
        <v>42370</v>
      </c>
      <c r="B104" s="11" t="s">
        <v>283</v>
      </c>
      <c r="C104" s="7" t="str">
        <f t="shared" si="3"/>
        <v/>
      </c>
    </row>
    <row r="105" spans="1:3" x14ac:dyDescent="0.35">
      <c r="A105" s="70">
        <v>42401</v>
      </c>
      <c r="B105" s="11" t="s">
        <v>283</v>
      </c>
      <c r="C105" s="7" t="str">
        <f t="shared" si="3"/>
        <v/>
      </c>
    </row>
    <row r="106" spans="1:3" x14ac:dyDescent="0.35">
      <c r="A106" s="70">
        <v>42430</v>
      </c>
      <c r="B106" s="11" t="s">
        <v>283</v>
      </c>
      <c r="C106" s="7" t="str">
        <f t="shared" si="3"/>
        <v/>
      </c>
    </row>
    <row r="107" spans="1:3" x14ac:dyDescent="0.35">
      <c r="A107" s="70">
        <v>42461</v>
      </c>
      <c r="B107" s="11" t="s">
        <v>283</v>
      </c>
      <c r="C107" s="7" t="str">
        <f t="shared" si="3"/>
        <v/>
      </c>
    </row>
    <row r="108" spans="1:3" x14ac:dyDescent="0.35">
      <c r="A108" s="70">
        <v>42491</v>
      </c>
      <c r="B108" s="11" t="s">
        <v>283</v>
      </c>
      <c r="C108" s="7" t="str">
        <f t="shared" si="3"/>
        <v/>
      </c>
    </row>
    <row r="109" spans="1:3" x14ac:dyDescent="0.35">
      <c r="A109" s="70">
        <v>42522</v>
      </c>
      <c r="B109" s="11" t="s">
        <v>283</v>
      </c>
      <c r="C109" s="7" t="str">
        <f t="shared" si="3"/>
        <v/>
      </c>
    </row>
    <row r="110" spans="1:3" x14ac:dyDescent="0.35">
      <c r="A110" s="70">
        <v>42552</v>
      </c>
      <c r="B110" s="11" t="s">
        <v>283</v>
      </c>
      <c r="C110" s="7" t="str">
        <f t="shared" si="3"/>
        <v/>
      </c>
    </row>
    <row r="111" spans="1:3" x14ac:dyDescent="0.35">
      <c r="A111" s="70">
        <v>42583</v>
      </c>
      <c r="B111" s="11" t="s">
        <v>283</v>
      </c>
      <c r="C111" s="7" t="str">
        <f t="shared" si="3"/>
        <v/>
      </c>
    </row>
    <row r="112" spans="1:3" x14ac:dyDescent="0.35">
      <c r="A112" s="70">
        <v>42614</v>
      </c>
      <c r="B112" s="11" t="s">
        <v>283</v>
      </c>
      <c r="C112" s="7" t="str">
        <f t="shared" si="3"/>
        <v/>
      </c>
    </row>
    <row r="113" spans="1:3" x14ac:dyDescent="0.35">
      <c r="A113" s="70">
        <v>42644</v>
      </c>
      <c r="B113" s="11" t="s">
        <v>283</v>
      </c>
      <c r="C113" s="7" t="str">
        <f t="shared" si="3"/>
        <v/>
      </c>
    </row>
    <row r="114" spans="1:3" x14ac:dyDescent="0.35">
      <c r="A114" s="70">
        <v>42675</v>
      </c>
      <c r="B114" s="11" t="s">
        <v>283</v>
      </c>
      <c r="C114" s="7" t="str">
        <f t="shared" si="3"/>
        <v/>
      </c>
    </row>
    <row r="115" spans="1:3" x14ac:dyDescent="0.35">
      <c r="A115" s="70">
        <v>42705</v>
      </c>
      <c r="B115" s="11" t="s">
        <v>283</v>
      </c>
      <c r="C115" s="7" t="str">
        <f t="shared" si="3"/>
        <v/>
      </c>
    </row>
    <row r="116" spans="1:3" x14ac:dyDescent="0.35">
      <c r="A116" s="70">
        <v>42736</v>
      </c>
      <c r="B116" s="11" t="s">
        <v>283</v>
      </c>
      <c r="C116" s="7" t="str">
        <f t="shared" si="3"/>
        <v/>
      </c>
    </row>
    <row r="117" spans="1:3" x14ac:dyDescent="0.35">
      <c r="A117" s="70">
        <v>42767</v>
      </c>
      <c r="B117" s="11" t="s">
        <v>283</v>
      </c>
      <c r="C117" s="7" t="str">
        <f t="shared" si="3"/>
        <v/>
      </c>
    </row>
    <row r="118" spans="1:3" x14ac:dyDescent="0.35">
      <c r="A118" s="70">
        <v>42795</v>
      </c>
      <c r="B118" s="11" t="s">
        <v>283</v>
      </c>
      <c r="C118" s="7" t="str">
        <f t="shared" si="3"/>
        <v/>
      </c>
    </row>
    <row r="119" spans="1:3" x14ac:dyDescent="0.35">
      <c r="A119" s="70">
        <v>42826</v>
      </c>
      <c r="B119" s="11" t="s">
        <v>283</v>
      </c>
      <c r="C119" s="7" t="str">
        <f t="shared" si="3"/>
        <v/>
      </c>
    </row>
    <row r="120" spans="1:3" x14ac:dyDescent="0.35">
      <c r="A120" s="70">
        <v>42856</v>
      </c>
      <c r="B120" s="11" t="s">
        <v>283</v>
      </c>
      <c r="C120" s="7" t="str">
        <f t="shared" si="3"/>
        <v/>
      </c>
    </row>
    <row r="121" spans="1:3" x14ac:dyDescent="0.35">
      <c r="A121" s="70">
        <v>42887</v>
      </c>
      <c r="B121" s="11" t="s">
        <v>283</v>
      </c>
      <c r="C121" s="7" t="str">
        <f t="shared" si="3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4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4"/>
        <v/>
      </c>
    </row>
    <row r="124" spans="1:3" x14ac:dyDescent="0.35">
      <c r="A124" s="70">
        <v>42979</v>
      </c>
      <c r="B124" s="11" t="s">
        <v>283</v>
      </c>
      <c r="C124" s="7" t="str">
        <f t="shared" si="4"/>
        <v/>
      </c>
    </row>
    <row r="125" spans="1:3" x14ac:dyDescent="0.35">
      <c r="A125" s="70">
        <v>43009</v>
      </c>
      <c r="B125" s="11" t="s">
        <v>283</v>
      </c>
      <c r="C125" s="7" t="str">
        <f t="shared" si="4"/>
        <v/>
      </c>
    </row>
    <row r="126" spans="1:3" x14ac:dyDescent="0.35">
      <c r="A126" s="70">
        <v>43040</v>
      </c>
      <c r="B126" s="11" t="s">
        <v>283</v>
      </c>
      <c r="C126" s="7" t="str">
        <f t="shared" si="4"/>
        <v/>
      </c>
    </row>
    <row r="127" spans="1:3" x14ac:dyDescent="0.35">
      <c r="A127" s="70">
        <v>43070</v>
      </c>
      <c r="B127" s="11" t="s">
        <v>283</v>
      </c>
      <c r="C127" s="7" t="str">
        <f t="shared" si="4"/>
        <v/>
      </c>
    </row>
    <row r="128" spans="1:3" x14ac:dyDescent="0.35">
      <c r="A128" s="70">
        <v>43101</v>
      </c>
      <c r="B128" s="11" t="s">
        <v>283</v>
      </c>
      <c r="C128" s="7" t="str">
        <f t="shared" si="4"/>
        <v/>
      </c>
    </row>
    <row r="129" spans="1:3" x14ac:dyDescent="0.35">
      <c r="A129" s="70">
        <v>43132</v>
      </c>
      <c r="B129" s="11" t="s">
        <v>283</v>
      </c>
      <c r="C129" s="7" t="str">
        <f t="shared" si="4"/>
        <v/>
      </c>
    </row>
    <row r="130" spans="1:3" x14ac:dyDescent="0.35">
      <c r="A130" s="70">
        <v>43160</v>
      </c>
      <c r="B130" s="11" t="s">
        <v>283</v>
      </c>
      <c r="C130" s="7" t="str">
        <f t="shared" si="4"/>
        <v/>
      </c>
    </row>
    <row r="131" spans="1:3" x14ac:dyDescent="0.35">
      <c r="A131" s="70">
        <v>43191</v>
      </c>
      <c r="B131" s="11" t="s">
        <v>283</v>
      </c>
      <c r="C131" s="7" t="str">
        <f t="shared" si="4"/>
        <v/>
      </c>
    </row>
    <row r="132" spans="1:3" x14ac:dyDescent="0.35">
      <c r="A132" s="70">
        <v>43221</v>
      </c>
      <c r="B132" s="11" t="s">
        <v>283</v>
      </c>
      <c r="C132" s="7" t="str">
        <f t="shared" si="4"/>
        <v/>
      </c>
    </row>
    <row r="133" spans="1:3" x14ac:dyDescent="0.35">
      <c r="A133" s="70">
        <v>43252</v>
      </c>
      <c r="B133" s="11" t="s">
        <v>283</v>
      </c>
      <c r="C133" s="7" t="str">
        <f t="shared" si="4"/>
        <v/>
      </c>
    </row>
    <row r="134" spans="1:3" x14ac:dyDescent="0.35">
      <c r="A134" s="70">
        <v>43282</v>
      </c>
      <c r="B134" s="11" t="s">
        <v>283</v>
      </c>
      <c r="C134" s="7" t="str">
        <f t="shared" si="4"/>
        <v/>
      </c>
    </row>
    <row r="135" spans="1:3" x14ac:dyDescent="0.35">
      <c r="A135" s="70">
        <v>43313</v>
      </c>
      <c r="B135" s="11" t="s">
        <v>283</v>
      </c>
      <c r="C135" s="7" t="str">
        <f t="shared" si="4"/>
        <v/>
      </c>
    </row>
    <row r="136" spans="1:3" x14ac:dyDescent="0.35">
      <c r="A136" s="70">
        <v>43344</v>
      </c>
      <c r="B136" s="11" t="s">
        <v>283</v>
      </c>
      <c r="C136" s="7" t="str">
        <f t="shared" si="4"/>
        <v/>
      </c>
    </row>
    <row r="137" spans="1:3" x14ac:dyDescent="0.35">
      <c r="A137" s="70">
        <v>43374</v>
      </c>
      <c r="B137" s="11" t="s">
        <v>283</v>
      </c>
      <c r="C137" s="7" t="str">
        <f t="shared" si="4"/>
        <v/>
      </c>
    </row>
    <row r="138" spans="1:3" x14ac:dyDescent="0.35">
      <c r="A138" s="70">
        <v>43405</v>
      </c>
      <c r="B138" s="11" t="s">
        <v>283</v>
      </c>
      <c r="C138" s="7" t="str">
        <f t="shared" si="4"/>
        <v/>
      </c>
    </row>
    <row r="139" spans="1:3" x14ac:dyDescent="0.35">
      <c r="A139" s="70">
        <v>43435</v>
      </c>
      <c r="B139" s="11" t="s">
        <v>283</v>
      </c>
      <c r="C139" s="7" t="str">
        <f t="shared" si="4"/>
        <v/>
      </c>
    </row>
    <row r="140" spans="1:3" x14ac:dyDescent="0.35">
      <c r="A140" s="70">
        <v>43466</v>
      </c>
      <c r="B140" s="11" t="s">
        <v>283</v>
      </c>
      <c r="C140" s="7" t="str">
        <f t="shared" si="4"/>
        <v/>
      </c>
    </row>
    <row r="141" spans="1:3" x14ac:dyDescent="0.35">
      <c r="A141" s="70">
        <v>43497</v>
      </c>
      <c r="B141" s="11" t="s">
        <v>283</v>
      </c>
      <c r="C141" s="7" t="str">
        <f t="shared" si="4"/>
        <v/>
      </c>
    </row>
    <row r="142" spans="1:3" x14ac:dyDescent="0.35">
      <c r="A142" s="70">
        <v>43525</v>
      </c>
      <c r="B142" s="11" t="s">
        <v>283</v>
      </c>
      <c r="C142" s="7" t="str">
        <f t="shared" si="4"/>
        <v/>
      </c>
    </row>
    <row r="143" spans="1:3" x14ac:dyDescent="0.35">
      <c r="A143" s="70">
        <v>43556</v>
      </c>
      <c r="B143" s="11" t="s">
        <v>283</v>
      </c>
      <c r="C143" s="7" t="str">
        <f t="shared" si="4"/>
        <v/>
      </c>
    </row>
    <row r="144" spans="1:3" x14ac:dyDescent="0.35">
      <c r="A144" s="70">
        <v>43586</v>
      </c>
      <c r="B144" s="11" t="s">
        <v>283</v>
      </c>
      <c r="C144" s="7" t="str">
        <f t="shared" si="4"/>
        <v/>
      </c>
    </row>
    <row r="145" spans="1:3" x14ac:dyDescent="0.35">
      <c r="A145" s="70">
        <v>43617</v>
      </c>
      <c r="B145" s="11" t="s">
        <v>283</v>
      </c>
      <c r="C145" s="7" t="str">
        <f t="shared" si="4"/>
        <v/>
      </c>
    </row>
    <row r="146" spans="1:3" x14ac:dyDescent="0.35">
      <c r="A146" s="70">
        <v>43647</v>
      </c>
      <c r="B146" s="11" t="s">
        <v>283</v>
      </c>
      <c r="C146" s="7" t="str">
        <f t="shared" si="4"/>
        <v/>
      </c>
    </row>
    <row r="147" spans="1:3" x14ac:dyDescent="0.35">
      <c r="A147" s="70">
        <v>43678</v>
      </c>
      <c r="B147" s="11" t="s">
        <v>283</v>
      </c>
      <c r="C147" s="7" t="str">
        <f t="shared" si="4"/>
        <v/>
      </c>
    </row>
    <row r="148" spans="1:3" x14ac:dyDescent="0.35">
      <c r="A148" s="70">
        <v>43709</v>
      </c>
      <c r="B148" s="11" t="s">
        <v>283</v>
      </c>
      <c r="C148" s="7" t="str">
        <f t="shared" si="4"/>
        <v/>
      </c>
    </row>
    <row r="149" spans="1:3" x14ac:dyDescent="0.35">
      <c r="A149" s="70">
        <v>43739</v>
      </c>
      <c r="B149" s="11" t="s">
        <v>283</v>
      </c>
      <c r="C149" s="7" t="str">
        <f t="shared" si="4"/>
        <v/>
      </c>
    </row>
    <row r="150" spans="1:3" x14ac:dyDescent="0.35">
      <c r="A150" s="70">
        <v>43770</v>
      </c>
      <c r="B150" s="11" t="s">
        <v>283</v>
      </c>
      <c r="C150" s="7" t="str">
        <f t="shared" si="4"/>
        <v/>
      </c>
    </row>
    <row r="151" spans="1:3" x14ac:dyDescent="0.35">
      <c r="A151" s="70">
        <v>43800</v>
      </c>
      <c r="B151" s="11" t="s">
        <v>283</v>
      </c>
      <c r="C151" s="7" t="str">
        <f t="shared" si="4"/>
        <v/>
      </c>
    </row>
    <row r="152" spans="1:3" x14ac:dyDescent="0.35">
      <c r="A152" s="70">
        <v>43831</v>
      </c>
      <c r="B152" s="11" t="s">
        <v>283</v>
      </c>
      <c r="C152" s="7" t="str">
        <f t="shared" si="4"/>
        <v/>
      </c>
    </row>
    <row r="153" spans="1:3" x14ac:dyDescent="0.35">
      <c r="A153" s="70">
        <v>43862</v>
      </c>
      <c r="B153" s="11" t="s">
        <v>283</v>
      </c>
      <c r="C153" s="7" t="str">
        <f t="shared" si="4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5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5"/>
        <v/>
      </c>
    </row>
    <row r="156" spans="1:3" x14ac:dyDescent="0.35">
      <c r="A156" s="70">
        <v>43952</v>
      </c>
      <c r="B156" s="11" t="s">
        <v>283</v>
      </c>
      <c r="C156" s="7" t="str">
        <f t="shared" si="5"/>
        <v/>
      </c>
    </row>
    <row r="157" spans="1:3" x14ac:dyDescent="0.35">
      <c r="A157" s="70">
        <v>43983</v>
      </c>
      <c r="B157" s="11" t="s">
        <v>283</v>
      </c>
      <c r="C157" s="7" t="str">
        <f t="shared" si="5"/>
        <v/>
      </c>
    </row>
    <row r="158" spans="1:3" x14ac:dyDescent="0.35">
      <c r="A158" s="70">
        <v>44013</v>
      </c>
      <c r="B158" s="11" t="s">
        <v>283</v>
      </c>
      <c r="C158" s="7" t="str">
        <f t="shared" si="5"/>
        <v/>
      </c>
    </row>
    <row r="159" spans="1:3" x14ac:dyDescent="0.35">
      <c r="A159" s="70">
        <v>44044</v>
      </c>
      <c r="B159" s="11" t="s">
        <v>283</v>
      </c>
      <c r="C159" s="7" t="str">
        <f t="shared" si="5"/>
        <v/>
      </c>
    </row>
    <row r="160" spans="1:3" x14ac:dyDescent="0.35">
      <c r="A160" s="70">
        <v>44075</v>
      </c>
      <c r="B160" s="11" t="s">
        <v>283</v>
      </c>
      <c r="C160" s="7" t="str">
        <f t="shared" si="5"/>
        <v/>
      </c>
    </row>
    <row r="161" spans="1:3" x14ac:dyDescent="0.35">
      <c r="A161" s="70">
        <v>44105</v>
      </c>
      <c r="B161" s="11" t="s">
        <v>283</v>
      </c>
      <c r="C161" s="7" t="str">
        <f t="shared" si="5"/>
        <v/>
      </c>
    </row>
    <row r="162" spans="1:3" x14ac:dyDescent="0.35">
      <c r="A162" s="70">
        <v>44136</v>
      </c>
      <c r="B162" s="11" t="s">
        <v>283</v>
      </c>
      <c r="C162" s="7" t="str">
        <f t="shared" si="5"/>
        <v/>
      </c>
    </row>
    <row r="163" spans="1:3" x14ac:dyDescent="0.35">
      <c r="A163" s="70">
        <v>44166</v>
      </c>
      <c r="B163" s="11" t="s">
        <v>283</v>
      </c>
      <c r="C163" s="7" t="str">
        <f t="shared" si="5"/>
        <v/>
      </c>
    </row>
    <row r="164" spans="1:3" x14ac:dyDescent="0.35">
      <c r="A164" s="70">
        <v>44197</v>
      </c>
      <c r="B164" s="11" t="s">
        <v>283</v>
      </c>
      <c r="C164" s="7" t="str">
        <f t="shared" si="5"/>
        <v/>
      </c>
    </row>
    <row r="165" spans="1:3" x14ac:dyDescent="0.35">
      <c r="A165" s="70">
        <v>44228</v>
      </c>
      <c r="B165" s="11" t="s">
        <v>283</v>
      </c>
      <c r="C165" s="7" t="str">
        <f t="shared" si="5"/>
        <v/>
      </c>
    </row>
    <row r="166" spans="1:3" x14ac:dyDescent="0.35">
      <c r="A166" s="70">
        <v>44256</v>
      </c>
      <c r="B166" s="11" t="s">
        <v>283</v>
      </c>
      <c r="C166" s="7" t="str">
        <f t="shared" si="5"/>
        <v/>
      </c>
    </row>
    <row r="167" spans="1:3" x14ac:dyDescent="0.35">
      <c r="A167" s="70">
        <v>44287</v>
      </c>
      <c r="B167" s="11" t="s">
        <v>283</v>
      </c>
      <c r="C167" s="7" t="str">
        <f t="shared" si="5"/>
        <v/>
      </c>
    </row>
    <row r="168" spans="1:3" x14ac:dyDescent="0.35">
      <c r="A168" s="70">
        <v>44317</v>
      </c>
      <c r="B168" s="11" t="s">
        <v>283</v>
      </c>
      <c r="C168" s="7" t="str">
        <f t="shared" si="5"/>
        <v/>
      </c>
    </row>
    <row r="169" spans="1:3" x14ac:dyDescent="0.35">
      <c r="A169" s="70">
        <v>44348</v>
      </c>
      <c r="B169" s="11" t="s">
        <v>283</v>
      </c>
      <c r="C169" s="7" t="str">
        <f t="shared" si="5"/>
        <v/>
      </c>
    </row>
    <row r="170" spans="1:3" x14ac:dyDescent="0.35">
      <c r="A170" s="70">
        <v>44378</v>
      </c>
      <c r="B170" s="11" t="s">
        <v>283</v>
      </c>
      <c r="C170" s="7" t="str">
        <f t="shared" si="5"/>
        <v/>
      </c>
    </row>
    <row r="171" spans="1:3" x14ac:dyDescent="0.35">
      <c r="A171" s="70">
        <v>44409</v>
      </c>
      <c r="B171" s="11" t="s">
        <v>283</v>
      </c>
      <c r="C171" s="7" t="str">
        <f t="shared" si="5"/>
        <v/>
      </c>
    </row>
    <row r="172" spans="1:3" x14ac:dyDescent="0.35">
      <c r="A172" s="70">
        <v>44440</v>
      </c>
      <c r="B172" s="11" t="s">
        <v>283</v>
      </c>
      <c r="C172" s="7" t="str">
        <f t="shared" si="5"/>
        <v/>
      </c>
    </row>
    <row r="173" spans="1:3" x14ac:dyDescent="0.35">
      <c r="A173" s="70">
        <v>44470</v>
      </c>
      <c r="B173" s="11" t="s">
        <v>283</v>
      </c>
      <c r="C173" s="7" t="str">
        <f t="shared" si="5"/>
        <v/>
      </c>
    </row>
    <row r="174" spans="1:3" x14ac:dyDescent="0.35">
      <c r="A174" s="70">
        <v>44501</v>
      </c>
      <c r="B174" s="11" t="s">
        <v>283</v>
      </c>
      <c r="C174" s="7" t="str">
        <f t="shared" si="5"/>
        <v/>
      </c>
    </row>
    <row r="175" spans="1:3" x14ac:dyDescent="0.35">
      <c r="A175" s="70">
        <v>44531</v>
      </c>
      <c r="B175" s="11" t="s">
        <v>283</v>
      </c>
      <c r="C175" s="7" t="str">
        <f t="shared" si="5"/>
        <v/>
      </c>
    </row>
    <row r="176" spans="1:3" x14ac:dyDescent="0.35">
      <c r="A176" s="70">
        <v>44562</v>
      </c>
      <c r="B176" s="11" t="s">
        <v>283</v>
      </c>
      <c r="C176" s="7" t="str">
        <f t="shared" si="5"/>
        <v/>
      </c>
    </row>
    <row r="177" spans="1:3" x14ac:dyDescent="0.35">
      <c r="A177" s="70">
        <v>44593</v>
      </c>
      <c r="B177" s="11" t="s">
        <v>283</v>
      </c>
      <c r="C177" s="7" t="str">
        <f t="shared" si="5"/>
        <v/>
      </c>
    </row>
    <row r="178" spans="1:3" x14ac:dyDescent="0.35">
      <c r="A178" s="70">
        <v>44621</v>
      </c>
      <c r="B178" s="11" t="s">
        <v>283</v>
      </c>
      <c r="C178" s="7" t="str">
        <f t="shared" si="5"/>
        <v/>
      </c>
    </row>
    <row r="179" spans="1:3" x14ac:dyDescent="0.35">
      <c r="A179" s="70">
        <v>44652</v>
      </c>
      <c r="B179" s="11" t="s">
        <v>283</v>
      </c>
      <c r="C179" s="7" t="str">
        <f t="shared" si="5"/>
        <v/>
      </c>
    </row>
    <row r="180" spans="1:3" x14ac:dyDescent="0.35">
      <c r="A180" s="70">
        <v>44682</v>
      </c>
      <c r="B180" s="11" t="s">
        <v>283</v>
      </c>
      <c r="C180" s="7" t="str">
        <f t="shared" si="5"/>
        <v/>
      </c>
    </row>
    <row r="181" spans="1:3" x14ac:dyDescent="0.35">
      <c r="A181" s="70">
        <v>44713</v>
      </c>
      <c r="B181" s="11" t="s">
        <v>283</v>
      </c>
      <c r="C181" s="7" t="str">
        <f t="shared" si="5"/>
        <v/>
      </c>
    </row>
    <row r="182" spans="1:3" x14ac:dyDescent="0.35">
      <c r="A182" s="70">
        <v>44743</v>
      </c>
      <c r="B182" s="11" t="s">
        <v>283</v>
      </c>
      <c r="C182" s="7" t="str">
        <f t="shared" si="5"/>
        <v/>
      </c>
    </row>
    <row r="183" spans="1:3" x14ac:dyDescent="0.35">
      <c r="A183" s="70">
        <v>44774</v>
      </c>
      <c r="B183" s="11" t="s">
        <v>283</v>
      </c>
      <c r="C183" s="7" t="str">
        <f t="shared" si="5"/>
        <v/>
      </c>
    </row>
    <row r="184" spans="1:3" x14ac:dyDescent="0.35">
      <c r="A184" s="70">
        <v>44805</v>
      </c>
      <c r="B184" s="11" t="s">
        <v>283</v>
      </c>
      <c r="C184" s="7" t="str">
        <f t="shared" si="5"/>
        <v/>
      </c>
    </row>
    <row r="185" spans="1:3" x14ac:dyDescent="0.35">
      <c r="A185" s="70">
        <v>44835</v>
      </c>
      <c r="B185" s="11" t="s">
        <v>283</v>
      </c>
      <c r="C185" s="7" t="str">
        <f t="shared" si="5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6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6"/>
        <v/>
      </c>
    </row>
    <row r="188" spans="1:3" x14ac:dyDescent="0.35">
      <c r="A188" s="70">
        <v>44927</v>
      </c>
      <c r="B188" s="11" t="s">
        <v>283</v>
      </c>
      <c r="C188" s="7" t="str">
        <f t="shared" si="6"/>
        <v/>
      </c>
    </row>
    <row r="189" spans="1:3" x14ac:dyDescent="0.35">
      <c r="A189" s="70">
        <v>44958</v>
      </c>
      <c r="B189" s="11" t="s">
        <v>283</v>
      </c>
      <c r="C189" s="7" t="str">
        <f t="shared" si="6"/>
        <v/>
      </c>
    </row>
    <row r="190" spans="1:3" x14ac:dyDescent="0.35">
      <c r="A190" s="70">
        <v>44986</v>
      </c>
      <c r="B190" s="11" t="s">
        <v>283</v>
      </c>
      <c r="C190" s="7" t="str">
        <f t="shared" si="6"/>
        <v/>
      </c>
    </row>
    <row r="191" spans="1:3" x14ac:dyDescent="0.35">
      <c r="A191" s="70">
        <v>45017</v>
      </c>
      <c r="B191" s="11" t="s">
        <v>283</v>
      </c>
      <c r="C191" s="7" t="str">
        <f t="shared" si="6"/>
        <v/>
      </c>
    </row>
    <row r="192" spans="1:3" x14ac:dyDescent="0.35">
      <c r="A192" s="70">
        <v>45047</v>
      </c>
      <c r="B192" s="11" t="s">
        <v>283</v>
      </c>
      <c r="C192" s="7" t="str">
        <f t="shared" si="6"/>
        <v/>
      </c>
    </row>
    <row r="193" spans="1:3" x14ac:dyDescent="0.35">
      <c r="A193" s="70">
        <v>45078</v>
      </c>
      <c r="B193" s="11" t="s">
        <v>283</v>
      </c>
      <c r="C193" s="7" t="str">
        <f t="shared" si="6"/>
        <v/>
      </c>
    </row>
    <row r="194" spans="1:3" x14ac:dyDescent="0.35">
      <c r="A194" s="70">
        <v>45108</v>
      </c>
      <c r="B194" s="11" t="s">
        <v>283</v>
      </c>
      <c r="C194" s="7" t="str">
        <f t="shared" si="6"/>
        <v/>
      </c>
    </row>
    <row r="195" spans="1:3" x14ac:dyDescent="0.35">
      <c r="A195" s="70">
        <v>45139</v>
      </c>
      <c r="B195" s="11" t="s">
        <v>283</v>
      </c>
      <c r="C195" s="7" t="str">
        <f t="shared" si="6"/>
        <v/>
      </c>
    </row>
    <row r="196" spans="1:3" x14ac:dyDescent="0.35">
      <c r="A196" s="70">
        <v>45170</v>
      </c>
      <c r="B196" s="11" t="s">
        <v>283</v>
      </c>
      <c r="C196" s="7" t="str">
        <f t="shared" si="6"/>
        <v/>
      </c>
    </row>
    <row r="197" spans="1:3" x14ac:dyDescent="0.35">
      <c r="A197" s="70">
        <v>45200</v>
      </c>
      <c r="B197" s="11" t="s">
        <v>283</v>
      </c>
      <c r="C197" s="7" t="str">
        <f t="shared" si="6"/>
        <v/>
      </c>
    </row>
    <row r="198" spans="1:3" x14ac:dyDescent="0.35">
      <c r="A198" s="70">
        <v>45231</v>
      </c>
      <c r="B198" s="11" t="s">
        <v>283</v>
      </c>
      <c r="C198" s="7" t="str">
        <f t="shared" si="6"/>
        <v/>
      </c>
    </row>
    <row r="199" spans="1:3" x14ac:dyDescent="0.35">
      <c r="A199" s="70">
        <v>45261</v>
      </c>
      <c r="B199" s="11" t="s">
        <v>283</v>
      </c>
      <c r="C199" s="7" t="str">
        <f t="shared" si="6"/>
        <v/>
      </c>
    </row>
    <row r="200" spans="1:3" x14ac:dyDescent="0.35">
      <c r="A200" s="70">
        <v>45292</v>
      </c>
      <c r="B200" s="11" t="s">
        <v>283</v>
      </c>
      <c r="C200" s="7" t="str">
        <f t="shared" si="6"/>
        <v/>
      </c>
    </row>
    <row r="201" spans="1:3" x14ac:dyDescent="0.35">
      <c r="A201" s="70">
        <v>45323</v>
      </c>
      <c r="B201" s="11" t="s">
        <v>283</v>
      </c>
      <c r="C201" s="7" t="str">
        <f t="shared" si="6"/>
        <v/>
      </c>
    </row>
    <row r="202" spans="1:3" x14ac:dyDescent="0.35">
      <c r="A202" s="70">
        <v>45352</v>
      </c>
      <c r="B202" s="11" t="s">
        <v>283</v>
      </c>
      <c r="C202" s="7" t="str">
        <f t="shared" si="6"/>
        <v/>
      </c>
    </row>
    <row r="203" spans="1:3" x14ac:dyDescent="0.35">
      <c r="A203" s="70">
        <v>45383</v>
      </c>
      <c r="B203" s="11" t="s">
        <v>283</v>
      </c>
      <c r="C203" s="7" t="str">
        <f t="shared" si="6"/>
        <v/>
      </c>
    </row>
    <row r="204" spans="1:3" x14ac:dyDescent="0.35">
      <c r="A204" s="70">
        <v>45413</v>
      </c>
      <c r="B204" s="11" t="s">
        <v>283</v>
      </c>
      <c r="C204" s="7" t="str">
        <f t="shared" si="6"/>
        <v/>
      </c>
    </row>
    <row r="205" spans="1:3" x14ac:dyDescent="0.35">
      <c r="A205" s="70">
        <v>45444</v>
      </c>
      <c r="B205" s="11" t="s">
        <v>283</v>
      </c>
      <c r="C205" s="7" t="str">
        <f t="shared" si="6"/>
        <v/>
      </c>
    </row>
    <row r="206" spans="1:3" x14ac:dyDescent="0.35">
      <c r="A206" s="70">
        <v>45474</v>
      </c>
      <c r="B206" s="11" t="s">
        <v>283</v>
      </c>
      <c r="C206" s="7" t="str">
        <f t="shared" si="6"/>
        <v/>
      </c>
    </row>
    <row r="207" spans="1:3" x14ac:dyDescent="0.35">
      <c r="A207" s="70">
        <v>45505</v>
      </c>
      <c r="B207" s="11" t="s">
        <v>283</v>
      </c>
      <c r="C207" s="7" t="str">
        <f t="shared" si="6"/>
        <v/>
      </c>
    </row>
    <row r="208" spans="1:3" x14ac:dyDescent="0.35">
      <c r="A208" s="70">
        <v>45536</v>
      </c>
      <c r="B208" s="11" t="s">
        <v>283</v>
      </c>
      <c r="C208" s="7" t="str">
        <f t="shared" si="6"/>
        <v/>
      </c>
    </row>
    <row r="209" spans="1:3" x14ac:dyDescent="0.35">
      <c r="A209" s="70">
        <v>45566</v>
      </c>
      <c r="B209" s="11" t="s">
        <v>283</v>
      </c>
      <c r="C209" s="7" t="str">
        <f t="shared" si="6"/>
        <v/>
      </c>
    </row>
    <row r="210" spans="1:3" x14ac:dyDescent="0.35">
      <c r="A210" s="70">
        <v>45597</v>
      </c>
      <c r="B210" s="11" t="s">
        <v>283</v>
      </c>
      <c r="C210" s="7" t="str">
        <f t="shared" si="6"/>
        <v/>
      </c>
    </row>
    <row r="211" spans="1:3" x14ac:dyDescent="0.35">
      <c r="A211" s="70">
        <v>45627</v>
      </c>
      <c r="B211" s="11" t="s">
        <v>283</v>
      </c>
      <c r="C211" s="7" t="str">
        <f t="shared" si="6"/>
        <v/>
      </c>
    </row>
    <row r="212" spans="1:3" x14ac:dyDescent="0.35">
      <c r="A212" s="70">
        <v>45658</v>
      </c>
      <c r="B212" s="11" t="s">
        <v>283</v>
      </c>
      <c r="C212" s="7" t="str">
        <f t="shared" si="6"/>
        <v/>
      </c>
    </row>
    <row r="213" spans="1:3" x14ac:dyDescent="0.35">
      <c r="A213" s="70">
        <v>45689</v>
      </c>
      <c r="B213" s="11" t="s">
        <v>283</v>
      </c>
      <c r="C213" s="7" t="str">
        <f t="shared" si="6"/>
        <v/>
      </c>
    </row>
    <row r="214" spans="1:3" x14ac:dyDescent="0.35">
      <c r="A214" s="70">
        <v>45717</v>
      </c>
      <c r="B214" s="11" t="s">
        <v>283</v>
      </c>
      <c r="C214" s="7" t="str">
        <f t="shared" si="6"/>
        <v/>
      </c>
    </row>
    <row r="215" spans="1:3" x14ac:dyDescent="0.35">
      <c r="A215" s="70">
        <v>45748</v>
      </c>
      <c r="B215" s="11" t="s">
        <v>283</v>
      </c>
      <c r="C215" s="7" t="str">
        <f t="shared" si="6"/>
        <v/>
      </c>
    </row>
    <row r="216" spans="1:3" x14ac:dyDescent="0.35">
      <c r="A216" s="70">
        <v>45778</v>
      </c>
      <c r="B216" s="11" t="s">
        <v>283</v>
      </c>
      <c r="C216" s="7" t="str">
        <f t="shared" si="6"/>
        <v/>
      </c>
    </row>
    <row r="217" spans="1:3" x14ac:dyDescent="0.35">
      <c r="A217" s="70">
        <v>45809</v>
      </c>
      <c r="B217" s="11" t="s">
        <v>283</v>
      </c>
      <c r="C217" s="7" t="str">
        <f t="shared" si="6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7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7"/>
        <v/>
      </c>
    </row>
    <row r="220" spans="1:3" x14ac:dyDescent="0.35">
      <c r="A220" s="70">
        <v>45901</v>
      </c>
      <c r="B220" s="11" t="s">
        <v>283</v>
      </c>
      <c r="C220" s="7" t="str">
        <f t="shared" si="7"/>
        <v/>
      </c>
    </row>
    <row r="221" spans="1:3" x14ac:dyDescent="0.35">
      <c r="A221" s="70">
        <v>45931</v>
      </c>
      <c r="B221" s="11" t="s">
        <v>283</v>
      </c>
      <c r="C221" s="7" t="str">
        <f t="shared" si="7"/>
        <v/>
      </c>
    </row>
    <row r="222" spans="1:3" x14ac:dyDescent="0.35">
      <c r="A222" s="70">
        <v>45962</v>
      </c>
      <c r="B222" s="11" t="s">
        <v>283</v>
      </c>
      <c r="C222" s="7" t="str">
        <f t="shared" si="7"/>
        <v/>
      </c>
    </row>
    <row r="223" spans="1:3" x14ac:dyDescent="0.35">
      <c r="A223" s="70">
        <v>45992</v>
      </c>
      <c r="B223" s="11" t="s">
        <v>283</v>
      </c>
      <c r="C223" s="7" t="str">
        <f t="shared" si="7"/>
        <v/>
      </c>
    </row>
    <row r="224" spans="1:3" x14ac:dyDescent="0.35">
      <c r="A224" s="70">
        <v>46023</v>
      </c>
      <c r="B224" s="11" t="s">
        <v>283</v>
      </c>
      <c r="C224" s="7" t="str">
        <f t="shared" si="7"/>
        <v/>
      </c>
    </row>
    <row r="225" spans="1:3" x14ac:dyDescent="0.35">
      <c r="A225" s="70">
        <v>46054</v>
      </c>
      <c r="B225" s="11" t="s">
        <v>283</v>
      </c>
      <c r="C225" s="7" t="str">
        <f t="shared" si="7"/>
        <v/>
      </c>
    </row>
    <row r="226" spans="1:3" x14ac:dyDescent="0.35">
      <c r="A226" s="70">
        <v>46082</v>
      </c>
      <c r="B226" s="11" t="s">
        <v>283</v>
      </c>
      <c r="C226" s="7" t="str">
        <f t="shared" si="7"/>
        <v/>
      </c>
    </row>
    <row r="227" spans="1:3" x14ac:dyDescent="0.35">
      <c r="A227" s="70">
        <v>46113</v>
      </c>
      <c r="B227" s="11" t="s">
        <v>283</v>
      </c>
      <c r="C227" s="7" t="str">
        <f t="shared" si="7"/>
        <v/>
      </c>
    </row>
    <row r="228" spans="1:3" x14ac:dyDescent="0.35">
      <c r="A228" s="70">
        <v>46143</v>
      </c>
      <c r="B228" s="11" t="s">
        <v>283</v>
      </c>
      <c r="C228" s="7" t="str">
        <f t="shared" si="7"/>
        <v/>
      </c>
    </row>
  </sheetData>
  <conditionalFormatting sqref="B15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0:I228"/>
  <sheetViews>
    <sheetView topLeftCell="A40" zoomScale="70" zoomScaleNormal="70" workbookViewId="0">
      <pane ySplit="1" topLeftCell="A56" activePane="bottomLeft" state="frozen"/>
      <selection activeCell="D88" sqref="D88"/>
      <selection pane="bottomLeft" activeCell="A40" sqref="A40:D90"/>
    </sheetView>
  </sheetViews>
  <sheetFormatPr defaultRowHeight="14.5" x14ac:dyDescent="0.35"/>
  <cols>
    <col min="1" max="1" width="9.7265625" style="7" customWidth="1"/>
    <col min="2" max="2" width="22" style="8" customWidth="1"/>
    <col min="3" max="3" width="12.26953125" style="7" customWidth="1"/>
    <col min="4" max="4" width="18.08984375" style="1" customWidth="1"/>
  </cols>
  <sheetData>
    <row r="40" spans="1:4" x14ac:dyDescent="0.35">
      <c r="A40" s="69" t="s">
        <v>0</v>
      </c>
      <c r="B40" s="8" t="s">
        <v>7</v>
      </c>
      <c r="C40" s="7" t="s">
        <v>1</v>
      </c>
      <c r="D40" s="1" t="s">
        <v>20</v>
      </c>
    </row>
    <row r="41" spans="1:4" x14ac:dyDescent="0.35">
      <c r="A41" s="70">
        <v>40452</v>
      </c>
      <c r="B41" s="11">
        <v>51</v>
      </c>
    </row>
    <row r="42" spans="1:4" x14ac:dyDescent="0.35">
      <c r="A42" s="70">
        <v>40483</v>
      </c>
      <c r="B42" s="11">
        <v>54.4</v>
      </c>
      <c r="C42" s="14">
        <f>B42-B41</f>
        <v>3.3999999999999986</v>
      </c>
    </row>
    <row r="43" spans="1:4" x14ac:dyDescent="0.35">
      <c r="A43" s="70">
        <v>40513</v>
      </c>
      <c r="B43" s="11">
        <v>52.1</v>
      </c>
      <c r="C43" s="14">
        <f t="shared" ref="C43:C83" si="0">B43-B42</f>
        <v>-2.2999999999999972</v>
      </c>
      <c r="D43" s="1">
        <v>3.0000000000000001E-3</v>
      </c>
    </row>
    <row r="44" spans="1:4" x14ac:dyDescent="0.35">
      <c r="A44" s="70">
        <v>40544</v>
      </c>
      <c r="B44" s="11">
        <v>53.5</v>
      </c>
      <c r="C44" s="14">
        <f t="shared" si="0"/>
        <v>1.3999999999999986</v>
      </c>
    </row>
    <row r="45" spans="1:4" x14ac:dyDescent="0.35">
      <c r="A45" s="70">
        <v>40575</v>
      </c>
      <c r="B45" s="11">
        <v>53.1</v>
      </c>
      <c r="C45" s="14">
        <f t="shared" si="0"/>
        <v>-0.39999999999999858</v>
      </c>
    </row>
    <row r="46" spans="1:4" x14ac:dyDescent="0.35">
      <c r="A46" s="70">
        <v>40603</v>
      </c>
      <c r="B46" s="11">
        <v>53.3</v>
      </c>
      <c r="C46" s="14">
        <f t="shared" si="0"/>
        <v>0.19999999999999574</v>
      </c>
      <c r="D46" s="1">
        <v>1E-3</v>
      </c>
    </row>
    <row r="47" spans="1:4" x14ac:dyDescent="0.35">
      <c r="A47" s="70">
        <v>40634</v>
      </c>
      <c r="B47" s="11">
        <v>52.2</v>
      </c>
      <c r="C47" s="14">
        <f t="shared" si="0"/>
        <v>-1.0999999999999943</v>
      </c>
    </row>
    <row r="48" spans="1:4" x14ac:dyDescent="0.35">
      <c r="A48" s="70">
        <v>40664</v>
      </c>
      <c r="B48" s="11">
        <v>50.1</v>
      </c>
      <c r="C48" s="14">
        <f t="shared" si="0"/>
        <v>-2.1000000000000014</v>
      </c>
    </row>
    <row r="49" spans="1:4" x14ac:dyDescent="0.35">
      <c r="A49" s="70">
        <v>40695</v>
      </c>
      <c r="B49" s="11">
        <v>47.4</v>
      </c>
      <c r="C49" s="14">
        <f t="shared" si="0"/>
        <v>-2.7000000000000028</v>
      </c>
      <c r="D49" s="1">
        <v>2E-3</v>
      </c>
    </row>
    <row r="50" spans="1:4" x14ac:dyDescent="0.35">
      <c r="A50" s="70">
        <v>40725</v>
      </c>
      <c r="B50" s="11">
        <v>48.6</v>
      </c>
      <c r="C50" s="14">
        <f t="shared" si="0"/>
        <v>1.2000000000000028</v>
      </c>
    </row>
    <row r="51" spans="1:4" x14ac:dyDescent="0.35">
      <c r="A51" s="70">
        <v>40756</v>
      </c>
      <c r="B51" s="11">
        <v>48.4</v>
      </c>
      <c r="C51" s="14">
        <f t="shared" si="0"/>
        <v>-0.20000000000000284</v>
      </c>
    </row>
    <row r="52" spans="1:4" x14ac:dyDescent="0.35">
      <c r="A52" s="70">
        <v>40787</v>
      </c>
      <c r="B52" s="11">
        <v>45.8</v>
      </c>
      <c r="C52" s="14">
        <f t="shared" si="0"/>
        <v>-2.6000000000000014</v>
      </c>
      <c r="D52" s="1">
        <v>-2E-3</v>
      </c>
    </row>
    <row r="53" spans="1:4" x14ac:dyDescent="0.35">
      <c r="A53" s="70">
        <v>40817</v>
      </c>
      <c r="B53" s="11">
        <v>43.9</v>
      </c>
      <c r="C53" s="14">
        <f t="shared" si="0"/>
        <v>-1.8999999999999986</v>
      </c>
    </row>
    <row r="54" spans="1:4" x14ac:dyDescent="0.35">
      <c r="A54" s="70">
        <v>40848</v>
      </c>
      <c r="B54" s="11">
        <v>45.8</v>
      </c>
      <c r="C54" s="14">
        <f t="shared" si="0"/>
        <v>1.8999999999999986</v>
      </c>
    </row>
    <row r="55" spans="1:4" x14ac:dyDescent="0.35">
      <c r="A55" s="70">
        <v>40878</v>
      </c>
      <c r="B55" s="11">
        <v>44.5</v>
      </c>
      <c r="C55" s="14">
        <f t="shared" si="0"/>
        <v>-1.2999999999999972</v>
      </c>
      <c r="D55" s="1">
        <v>-7.0000000000000001E-3</v>
      </c>
    </row>
    <row r="56" spans="1:4" x14ac:dyDescent="0.35">
      <c r="A56" s="70">
        <v>40909</v>
      </c>
      <c r="B56" s="11">
        <v>44.8</v>
      </c>
      <c r="C56" s="14">
        <f t="shared" si="0"/>
        <v>0.29999999999999716</v>
      </c>
    </row>
    <row r="57" spans="1:4" x14ac:dyDescent="0.35">
      <c r="A57" s="70">
        <v>40940</v>
      </c>
      <c r="B57" s="11">
        <v>44.1</v>
      </c>
      <c r="C57" s="14">
        <f t="shared" si="0"/>
        <v>-0.69999999999999574</v>
      </c>
    </row>
    <row r="58" spans="1:4" x14ac:dyDescent="0.35">
      <c r="A58" s="70">
        <v>40969</v>
      </c>
      <c r="B58" s="11">
        <v>44.3</v>
      </c>
      <c r="C58" s="14">
        <f t="shared" si="0"/>
        <v>0.19999999999999574</v>
      </c>
      <c r="D58" s="1">
        <v>-1.0999999999999999E-2</v>
      </c>
    </row>
    <row r="59" spans="1:4" x14ac:dyDescent="0.35">
      <c r="A59" s="70">
        <v>41000</v>
      </c>
      <c r="B59" s="11">
        <v>42.3</v>
      </c>
      <c r="C59" s="14">
        <f t="shared" si="0"/>
        <v>-2</v>
      </c>
    </row>
    <row r="60" spans="1:4" x14ac:dyDescent="0.35">
      <c r="A60" s="70">
        <v>41030</v>
      </c>
      <c r="B60" s="11">
        <v>42.8</v>
      </c>
      <c r="C60" s="14">
        <f t="shared" si="0"/>
        <v>0.5</v>
      </c>
    </row>
    <row r="61" spans="1:4" x14ac:dyDescent="0.35">
      <c r="A61" s="70">
        <v>41061</v>
      </c>
      <c r="B61" s="11">
        <v>43.1</v>
      </c>
      <c r="C61" s="14">
        <f t="shared" si="0"/>
        <v>0.30000000000000426</v>
      </c>
      <c r="D61" s="1">
        <v>5.0000000000000001E-3</v>
      </c>
    </row>
    <row r="62" spans="1:4" x14ac:dyDescent="0.35">
      <c r="A62" s="70">
        <v>41091</v>
      </c>
      <c r="B62" s="11">
        <v>43</v>
      </c>
      <c r="C62" s="14">
        <f t="shared" si="0"/>
        <v>-0.10000000000000142</v>
      </c>
    </row>
    <row r="63" spans="1:4" x14ac:dyDescent="0.35">
      <c r="A63" s="70">
        <v>41122</v>
      </c>
      <c r="B63" s="11">
        <v>44</v>
      </c>
      <c r="C63" s="14">
        <f t="shared" si="0"/>
        <v>1</v>
      </c>
    </row>
    <row r="64" spans="1:4" x14ac:dyDescent="0.35">
      <c r="A64" s="70">
        <v>41153</v>
      </c>
      <c r="B64" s="11">
        <v>44.5</v>
      </c>
      <c r="C64" s="14">
        <f t="shared" si="0"/>
        <v>0.5</v>
      </c>
      <c r="D64" s="1">
        <v>-4.0000000000000001E-3</v>
      </c>
    </row>
    <row r="65" spans="1:4" x14ac:dyDescent="0.35">
      <c r="A65" s="70">
        <v>41183</v>
      </c>
      <c r="B65" s="11">
        <v>46</v>
      </c>
      <c r="C65" s="14">
        <f t="shared" si="0"/>
        <v>1.5</v>
      </c>
    </row>
    <row r="66" spans="1:4" x14ac:dyDescent="0.35">
      <c r="A66" s="70">
        <v>41214</v>
      </c>
      <c r="B66" s="11">
        <v>44.6</v>
      </c>
      <c r="C66" s="14">
        <f t="shared" si="0"/>
        <v>-1.3999999999999986</v>
      </c>
    </row>
    <row r="67" spans="1:4" x14ac:dyDescent="0.35">
      <c r="A67" s="70">
        <v>41244</v>
      </c>
      <c r="B67" s="11">
        <v>43.1</v>
      </c>
      <c r="C67" s="14">
        <f t="shared" si="0"/>
        <v>-1.5</v>
      </c>
      <c r="D67" s="1">
        <v>-8.9999999999999993E-3</v>
      </c>
    </row>
    <row r="68" spans="1:4" x14ac:dyDescent="0.35">
      <c r="A68" s="70">
        <v>41275</v>
      </c>
      <c r="B68" s="11">
        <v>43.9</v>
      </c>
      <c r="C68" s="14">
        <f t="shared" si="0"/>
        <v>0.79999999999999716</v>
      </c>
    </row>
    <row r="69" spans="1:4" x14ac:dyDescent="0.35">
      <c r="A69" s="70">
        <v>41306</v>
      </c>
      <c r="B69" s="11">
        <v>43.6</v>
      </c>
      <c r="C69" s="14">
        <f t="shared" si="0"/>
        <v>-0.29999999999999716</v>
      </c>
    </row>
    <row r="70" spans="1:4" x14ac:dyDescent="0.35">
      <c r="A70" s="70">
        <v>41334</v>
      </c>
      <c r="B70" s="11">
        <v>45.5</v>
      </c>
      <c r="C70" s="14">
        <f t="shared" si="0"/>
        <v>1.8999999999999986</v>
      </c>
      <c r="D70" s="1">
        <v>-6.0000000000000001E-3</v>
      </c>
    </row>
    <row r="71" spans="1:4" x14ac:dyDescent="0.35">
      <c r="A71" s="70">
        <v>41365</v>
      </c>
      <c r="B71" s="11">
        <v>47</v>
      </c>
      <c r="C71" s="14">
        <f t="shared" si="0"/>
        <v>1.5</v>
      </c>
    </row>
    <row r="72" spans="1:4" x14ac:dyDescent="0.35">
      <c r="A72" s="70">
        <v>41395</v>
      </c>
      <c r="B72" s="11">
        <v>46.5</v>
      </c>
      <c r="C72" s="14">
        <f t="shared" si="0"/>
        <v>-0.5</v>
      </c>
    </row>
    <row r="73" spans="1:4" x14ac:dyDescent="0.35">
      <c r="A73" s="70">
        <v>41426</v>
      </c>
      <c r="B73" s="11">
        <v>45.8</v>
      </c>
      <c r="C73" s="14">
        <f t="shared" si="0"/>
        <v>-0.70000000000000284</v>
      </c>
      <c r="D73" s="1">
        <v>-3.0000000000000001E-3</v>
      </c>
    </row>
    <row r="74" spans="1:4" x14ac:dyDescent="0.35">
      <c r="A74" s="70">
        <v>41456</v>
      </c>
      <c r="B74" s="11">
        <v>48.7</v>
      </c>
      <c r="C74" s="14">
        <f t="shared" si="0"/>
        <v>2.9000000000000057</v>
      </c>
    </row>
    <row r="75" spans="1:4" x14ac:dyDescent="0.35">
      <c r="A75" s="70">
        <v>41487</v>
      </c>
      <c r="B75" s="11">
        <v>48.8</v>
      </c>
      <c r="C75" s="14">
        <f t="shared" si="0"/>
        <v>9.9999999999994316E-2</v>
      </c>
    </row>
    <row r="76" spans="1:4" x14ac:dyDescent="0.35">
      <c r="A76" s="70">
        <v>41518</v>
      </c>
      <c r="B76" s="11">
        <v>52.7</v>
      </c>
      <c r="C76" s="14">
        <f t="shared" si="0"/>
        <v>3.9000000000000057</v>
      </c>
      <c r="D76" s="1">
        <v>-1E-3</v>
      </c>
    </row>
    <row r="77" spans="1:4" x14ac:dyDescent="0.35">
      <c r="A77" s="70">
        <v>41548</v>
      </c>
      <c r="B77" s="11">
        <v>50.5</v>
      </c>
      <c r="C77" s="14">
        <f t="shared" si="0"/>
        <v>-2.2000000000000028</v>
      </c>
    </row>
    <row r="78" spans="1:4" x14ac:dyDescent="0.35">
      <c r="A78" s="70">
        <v>41579</v>
      </c>
      <c r="B78" s="11">
        <v>47.2</v>
      </c>
      <c r="C78" s="14">
        <f t="shared" si="0"/>
        <v>-3.2999999999999972</v>
      </c>
    </row>
    <row r="79" spans="1:4" x14ac:dyDescent="0.35">
      <c r="A79" s="70">
        <v>41609</v>
      </c>
      <c r="B79" s="11">
        <v>48.6</v>
      </c>
      <c r="C79" s="14">
        <f t="shared" si="0"/>
        <v>1.3999999999999986</v>
      </c>
      <c r="D79" s="1">
        <v>1E-3</v>
      </c>
    </row>
    <row r="80" spans="1:4" x14ac:dyDescent="0.35">
      <c r="A80" s="70">
        <v>41640</v>
      </c>
      <c r="B80" s="11">
        <v>49.4</v>
      </c>
      <c r="C80" s="14">
        <f t="shared" si="0"/>
        <v>0.79999999999999716</v>
      </c>
    </row>
    <row r="81" spans="1:9" x14ac:dyDescent="0.35">
      <c r="A81" s="70">
        <v>41671</v>
      </c>
      <c r="B81" s="11">
        <v>52.9</v>
      </c>
      <c r="C81" s="14">
        <f t="shared" si="0"/>
        <v>3.5</v>
      </c>
    </row>
    <row r="82" spans="1:9" x14ac:dyDescent="0.35">
      <c r="A82" s="70">
        <v>41699</v>
      </c>
      <c r="B82" s="11">
        <v>49.5</v>
      </c>
      <c r="C82" s="14">
        <f t="shared" si="0"/>
        <v>-3.3999999999999986</v>
      </c>
      <c r="D82" s="1">
        <v>-1E-3</v>
      </c>
    </row>
    <row r="83" spans="1:9" x14ac:dyDescent="0.35">
      <c r="A83" s="70">
        <v>41730</v>
      </c>
      <c r="B83" s="11">
        <v>51.1</v>
      </c>
      <c r="C83" s="14">
        <f t="shared" si="0"/>
        <v>1.6000000000000014</v>
      </c>
    </row>
    <row r="84" spans="1:9" x14ac:dyDescent="0.35">
      <c r="A84" s="70">
        <v>41760</v>
      </c>
      <c r="B84" s="11">
        <v>51.6</v>
      </c>
      <c r="C84" s="14">
        <f t="shared" ref="C84:C87" si="1">B84-B83</f>
        <v>0.5</v>
      </c>
    </row>
    <row r="85" spans="1:9" x14ac:dyDescent="0.35">
      <c r="A85" s="70">
        <v>41791</v>
      </c>
      <c r="B85" s="11">
        <v>53.6</v>
      </c>
      <c r="C85" s="14">
        <f t="shared" si="1"/>
        <v>2</v>
      </c>
      <c r="D85" s="1">
        <v>-2E-3</v>
      </c>
      <c r="H85" s="41" t="s">
        <v>68</v>
      </c>
      <c r="I85" t="s">
        <v>61</v>
      </c>
    </row>
    <row r="86" spans="1:9" x14ac:dyDescent="0.35">
      <c r="A86" s="70">
        <v>41821</v>
      </c>
      <c r="B86" s="11">
        <v>52.8</v>
      </c>
      <c r="C86" s="14">
        <f t="shared" si="1"/>
        <v>-0.80000000000000426</v>
      </c>
    </row>
    <row r="87" spans="1:9" x14ac:dyDescent="0.35">
      <c r="A87" s="70">
        <v>41852</v>
      </c>
      <c r="B87" s="11">
        <v>49.8</v>
      </c>
      <c r="C87" s="14">
        <f t="shared" si="1"/>
        <v>-3</v>
      </c>
    </row>
    <row r="88" spans="1:9" x14ac:dyDescent="0.35">
      <c r="A88" s="70">
        <v>41883</v>
      </c>
      <c r="B88" s="11">
        <v>48.8</v>
      </c>
      <c r="C88" s="14">
        <f>IFERROR(B88-B87,"")</f>
        <v>-1</v>
      </c>
      <c r="D88" s="1">
        <f>IF(VLOOKUP(I85,Data!$A$30:$H$150,7,FALSE)=A87,VLOOKUP(I85,Data!$A$30:$H$150,2,FALSE)/100,#N/A)</f>
        <v>-1E-3</v>
      </c>
    </row>
    <row r="89" spans="1:9" x14ac:dyDescent="0.35">
      <c r="A89" s="70">
        <v>41913</v>
      </c>
      <c r="B89" s="11">
        <v>50.8</v>
      </c>
      <c r="C89" s="14">
        <v>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 t="s">
        <v>283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0:I228"/>
  <sheetViews>
    <sheetView topLeftCell="A39" zoomScale="70" zoomScaleNormal="70" workbookViewId="0">
      <pane xSplit="1" ySplit="2" topLeftCell="B59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3.81640625" style="11" customWidth="1"/>
    <col min="3" max="3" width="12.26953125" style="7" customWidth="1"/>
    <col min="4" max="4" width="22.7265625" style="1" customWidth="1"/>
  </cols>
  <sheetData>
    <row r="40" spans="1:4" x14ac:dyDescent="0.35">
      <c r="A40" s="69" t="s">
        <v>0</v>
      </c>
      <c r="B40" s="11" t="s">
        <v>8</v>
      </c>
      <c r="C40" s="7" t="s">
        <v>1</v>
      </c>
      <c r="D40" s="1" t="s">
        <v>21</v>
      </c>
    </row>
    <row r="41" spans="1:4" x14ac:dyDescent="0.35">
      <c r="A41" s="70">
        <v>40452</v>
      </c>
      <c r="B41" s="11">
        <v>46.5</v>
      </c>
    </row>
    <row r="42" spans="1:4" x14ac:dyDescent="0.35">
      <c r="A42" s="70">
        <v>40483</v>
      </c>
      <c r="B42" s="11">
        <v>48.3</v>
      </c>
      <c r="C42" s="14">
        <f>B42-B41</f>
        <v>1.7999999999999972</v>
      </c>
    </row>
    <row r="43" spans="1:4" x14ac:dyDescent="0.35">
      <c r="A43" s="70">
        <v>40513</v>
      </c>
      <c r="B43" s="11">
        <v>49.1</v>
      </c>
      <c r="C43" s="14">
        <f t="shared" ref="C43:C83" si="0">B43-B42</f>
        <v>0.80000000000000426</v>
      </c>
      <c r="D43" s="1">
        <v>2E-3</v>
      </c>
    </row>
    <row r="44" spans="1:4" x14ac:dyDescent="0.35">
      <c r="A44" s="70">
        <v>40544</v>
      </c>
      <c r="B44" s="11">
        <v>50.1</v>
      </c>
      <c r="C44" s="14">
        <f t="shared" si="0"/>
        <v>1</v>
      </c>
    </row>
    <row r="45" spans="1:4" x14ac:dyDescent="0.35">
      <c r="A45" s="70">
        <v>40575</v>
      </c>
      <c r="B45" s="11">
        <v>50.8</v>
      </c>
      <c r="C45" s="14">
        <f t="shared" si="0"/>
        <v>0.69999999999999574</v>
      </c>
    </row>
    <row r="46" spans="1:4" x14ac:dyDescent="0.35">
      <c r="A46" s="70">
        <v>40603</v>
      </c>
      <c r="B46" s="11">
        <v>48.7</v>
      </c>
      <c r="C46" s="14">
        <f t="shared" si="0"/>
        <v>-2.0999999999999943</v>
      </c>
      <c r="D46" s="1">
        <v>2E-3</v>
      </c>
    </row>
    <row r="47" spans="1:4" x14ac:dyDescent="0.35">
      <c r="A47" s="70">
        <v>40634</v>
      </c>
      <c r="B47" s="11">
        <v>50.4</v>
      </c>
      <c r="C47" s="14">
        <f t="shared" si="0"/>
        <v>1.6999999999999957</v>
      </c>
    </row>
    <row r="48" spans="1:4" x14ac:dyDescent="0.35">
      <c r="A48" s="70">
        <v>40664</v>
      </c>
      <c r="B48" s="11">
        <v>50.9</v>
      </c>
      <c r="C48" s="14">
        <f t="shared" si="0"/>
        <v>0.5</v>
      </c>
    </row>
    <row r="49" spans="1:4" x14ac:dyDescent="0.35">
      <c r="A49" s="70">
        <v>40695</v>
      </c>
      <c r="B49" s="11">
        <v>50.2</v>
      </c>
      <c r="C49" s="14">
        <f t="shared" si="0"/>
        <v>-0.69999999999999574</v>
      </c>
      <c r="D49" s="1">
        <v>-1E-3</v>
      </c>
    </row>
    <row r="50" spans="1:4" x14ac:dyDescent="0.35">
      <c r="A50" s="70">
        <v>40725</v>
      </c>
      <c r="B50" s="11">
        <v>46.5</v>
      </c>
      <c r="C50" s="14">
        <f t="shared" si="0"/>
        <v>-3.7000000000000028</v>
      </c>
    </row>
    <row r="51" spans="1:4" x14ac:dyDescent="0.35">
      <c r="A51" s="70">
        <v>40756</v>
      </c>
      <c r="B51" s="11">
        <v>45.2</v>
      </c>
      <c r="C51" s="14">
        <f t="shared" si="0"/>
        <v>-1.2999999999999972</v>
      </c>
    </row>
    <row r="52" spans="1:4" x14ac:dyDescent="0.35">
      <c r="A52" s="70">
        <v>40787</v>
      </c>
      <c r="B52" s="11">
        <v>44.8</v>
      </c>
      <c r="C52" s="14">
        <f t="shared" si="0"/>
        <v>-0.40000000000000568</v>
      </c>
      <c r="D52" s="1">
        <v>-3.0000000000000001E-3</v>
      </c>
    </row>
    <row r="53" spans="1:4" x14ac:dyDescent="0.35">
      <c r="A53" s="70">
        <v>40817</v>
      </c>
      <c r="B53" s="11">
        <v>41.8</v>
      </c>
      <c r="C53" s="14">
        <f t="shared" si="0"/>
        <v>-3</v>
      </c>
    </row>
    <row r="54" spans="1:4" x14ac:dyDescent="0.35">
      <c r="A54" s="70">
        <v>40848</v>
      </c>
      <c r="B54" s="11">
        <v>36.799999999999997</v>
      </c>
      <c r="C54" s="14">
        <f t="shared" si="0"/>
        <v>-5</v>
      </c>
    </row>
    <row r="55" spans="1:4" x14ac:dyDescent="0.35">
      <c r="A55" s="70">
        <v>40878</v>
      </c>
      <c r="B55" s="11">
        <v>42.1</v>
      </c>
      <c r="C55" s="14">
        <f t="shared" si="0"/>
        <v>5.3000000000000043</v>
      </c>
      <c r="D55" s="1">
        <v>-4.0000000000000001E-3</v>
      </c>
    </row>
    <row r="56" spans="1:4" x14ac:dyDescent="0.35">
      <c r="A56" s="70">
        <v>40909</v>
      </c>
      <c r="B56" s="11">
        <v>46.1</v>
      </c>
      <c r="C56" s="14">
        <f t="shared" si="0"/>
        <v>4</v>
      </c>
    </row>
    <row r="57" spans="1:4" x14ac:dyDescent="0.35">
      <c r="A57" s="70">
        <v>40940</v>
      </c>
      <c r="B57" s="11">
        <v>41.9</v>
      </c>
      <c r="C57" s="14">
        <f t="shared" si="0"/>
        <v>-4.2000000000000028</v>
      </c>
    </row>
    <row r="58" spans="1:4" x14ac:dyDescent="0.35">
      <c r="A58" s="70">
        <v>40969</v>
      </c>
      <c r="B58" s="11">
        <v>46.3</v>
      </c>
      <c r="C58" s="14">
        <f t="shared" si="0"/>
        <v>4.3999999999999986</v>
      </c>
      <c r="D58" s="1">
        <v>-4.0000000000000001E-3</v>
      </c>
    </row>
    <row r="59" spans="1:4" x14ac:dyDescent="0.35">
      <c r="A59" s="70">
        <v>41000</v>
      </c>
      <c r="B59" s="11">
        <v>42.1</v>
      </c>
      <c r="C59" s="14">
        <f t="shared" si="0"/>
        <v>-4.1999999999999957</v>
      </c>
    </row>
    <row r="60" spans="1:4" x14ac:dyDescent="0.35">
      <c r="A60" s="70">
        <v>41030</v>
      </c>
      <c r="B60" s="11">
        <v>41.8</v>
      </c>
      <c r="C60" s="14">
        <f t="shared" si="0"/>
        <v>-0.30000000000000426</v>
      </c>
    </row>
    <row r="61" spans="1:4" x14ac:dyDescent="0.35">
      <c r="A61" s="70">
        <v>41061</v>
      </c>
      <c r="B61" s="11">
        <v>43.4</v>
      </c>
      <c r="C61" s="14">
        <f t="shared" si="0"/>
        <v>1.6000000000000014</v>
      </c>
      <c r="D61" s="1">
        <v>-5.0000000000000001E-3</v>
      </c>
    </row>
    <row r="62" spans="1:4" x14ac:dyDescent="0.35">
      <c r="A62" s="70">
        <v>41091</v>
      </c>
      <c r="B62" s="11">
        <v>43.7</v>
      </c>
      <c r="C62" s="14">
        <f t="shared" si="0"/>
        <v>0.30000000000000426</v>
      </c>
    </row>
    <row r="63" spans="1:4" x14ac:dyDescent="0.35">
      <c r="A63" s="70">
        <v>41122</v>
      </c>
      <c r="B63" s="11">
        <v>44</v>
      </c>
      <c r="C63" s="14">
        <f t="shared" si="0"/>
        <v>0.29999999999999716</v>
      </c>
    </row>
    <row r="64" spans="1:4" x14ac:dyDescent="0.35">
      <c r="A64" s="70">
        <v>41153</v>
      </c>
      <c r="B64" s="11">
        <v>40.200000000000003</v>
      </c>
      <c r="C64" s="14">
        <f t="shared" si="0"/>
        <v>-3.7999999999999972</v>
      </c>
      <c r="D64" s="1">
        <v>-4.0000000000000001E-3</v>
      </c>
    </row>
    <row r="65" spans="1:4" x14ac:dyDescent="0.35">
      <c r="A65" s="70">
        <v>41183</v>
      </c>
      <c r="B65" s="11">
        <v>41.2</v>
      </c>
      <c r="C65" s="14">
        <f t="shared" si="0"/>
        <v>1</v>
      </c>
    </row>
    <row r="66" spans="1:4" x14ac:dyDescent="0.35">
      <c r="A66" s="70">
        <v>41214</v>
      </c>
      <c r="B66" s="11">
        <v>42.4</v>
      </c>
      <c r="C66" s="14">
        <f t="shared" si="0"/>
        <v>1.1999999999999957</v>
      </c>
    </row>
    <row r="67" spans="1:4" x14ac:dyDescent="0.35">
      <c r="A67" s="70">
        <v>41244</v>
      </c>
      <c r="B67" s="11">
        <v>44.1</v>
      </c>
      <c r="C67" s="14">
        <f t="shared" si="0"/>
        <v>1.7000000000000028</v>
      </c>
      <c r="D67" s="1">
        <v>-8.0000000000000002E-3</v>
      </c>
    </row>
    <row r="68" spans="1:4" x14ac:dyDescent="0.35">
      <c r="A68" s="70">
        <v>41275</v>
      </c>
      <c r="B68" s="11">
        <v>47</v>
      </c>
      <c r="C68" s="14">
        <f t="shared" si="0"/>
        <v>2.8999999999999986</v>
      </c>
    </row>
    <row r="69" spans="1:4" x14ac:dyDescent="0.35">
      <c r="A69" s="70">
        <v>41306</v>
      </c>
      <c r="B69" s="11">
        <v>44.7</v>
      </c>
      <c r="C69" s="14">
        <f t="shared" si="0"/>
        <v>-2.2999999999999972</v>
      </c>
    </row>
    <row r="70" spans="1:4" x14ac:dyDescent="0.35">
      <c r="A70" s="70">
        <v>41334</v>
      </c>
      <c r="B70" s="11">
        <v>45.3</v>
      </c>
      <c r="C70" s="14">
        <f t="shared" si="0"/>
        <v>0.59999999999999432</v>
      </c>
      <c r="D70" s="1">
        <v>-3.0000000000000001E-3</v>
      </c>
    </row>
    <row r="71" spans="1:4" x14ac:dyDescent="0.35">
      <c r="A71" s="70">
        <v>41365</v>
      </c>
      <c r="B71" s="11">
        <v>44.4</v>
      </c>
      <c r="C71" s="14">
        <f t="shared" si="0"/>
        <v>-0.89999999999999858</v>
      </c>
    </row>
    <row r="72" spans="1:4" x14ac:dyDescent="0.35">
      <c r="A72" s="70">
        <v>41395</v>
      </c>
      <c r="B72" s="11">
        <v>47.3</v>
      </c>
      <c r="C72" s="14">
        <f t="shared" si="0"/>
        <v>2.8999999999999986</v>
      </c>
    </row>
    <row r="73" spans="1:4" x14ac:dyDescent="0.35">
      <c r="A73" s="70">
        <v>41426</v>
      </c>
      <c r="B73" s="11">
        <v>47.8</v>
      </c>
      <c r="C73" s="14">
        <f t="shared" si="0"/>
        <v>0.5</v>
      </c>
      <c r="D73" s="1">
        <v>-1E-3</v>
      </c>
    </row>
    <row r="74" spans="1:4" x14ac:dyDescent="0.35">
      <c r="A74" s="70">
        <v>41456</v>
      </c>
      <c r="B74" s="11">
        <v>48.5</v>
      </c>
      <c r="C74" s="14">
        <f t="shared" si="0"/>
        <v>0.70000000000000284</v>
      </c>
    </row>
    <row r="75" spans="1:4" x14ac:dyDescent="0.35">
      <c r="A75" s="70">
        <v>41487</v>
      </c>
      <c r="B75" s="11">
        <v>50.5</v>
      </c>
      <c r="C75" s="14">
        <f t="shared" si="0"/>
        <v>2</v>
      </c>
    </row>
    <row r="76" spans="1:4" x14ac:dyDescent="0.35">
      <c r="A76" s="70">
        <v>41518</v>
      </c>
      <c r="B76" s="11">
        <v>49</v>
      </c>
      <c r="C76" s="14">
        <f t="shared" si="0"/>
        <v>-1.5</v>
      </c>
      <c r="D76" s="1">
        <v>1E-3</v>
      </c>
    </row>
    <row r="77" spans="1:4" x14ac:dyDescent="0.35">
      <c r="A77" s="70">
        <v>41548</v>
      </c>
      <c r="B77" s="11">
        <v>49.6</v>
      </c>
      <c r="C77" s="14">
        <f t="shared" si="0"/>
        <v>0.60000000000000142</v>
      </c>
    </row>
    <row r="78" spans="1:4" x14ac:dyDescent="0.35">
      <c r="A78" s="70">
        <v>41579</v>
      </c>
      <c r="B78" s="11">
        <v>51.5</v>
      </c>
      <c r="C78" s="14">
        <f t="shared" si="0"/>
        <v>1.8999999999999986</v>
      </c>
    </row>
    <row r="79" spans="1:4" x14ac:dyDescent="0.35">
      <c r="A79" s="70">
        <v>41609</v>
      </c>
      <c r="B79" s="11">
        <v>53.2</v>
      </c>
      <c r="C79" s="14">
        <f t="shared" si="0"/>
        <v>1.7000000000000028</v>
      </c>
      <c r="D79" s="1">
        <v>2E-3</v>
      </c>
    </row>
    <row r="80" spans="1:4" x14ac:dyDescent="0.35">
      <c r="A80" s="70">
        <v>41640</v>
      </c>
      <c r="B80" s="11">
        <v>54.9</v>
      </c>
      <c r="C80" s="14">
        <f t="shared" si="0"/>
        <v>1.6999999999999957</v>
      </c>
    </row>
    <row r="81" spans="1:9" x14ac:dyDescent="0.35">
      <c r="A81" s="70">
        <v>41671</v>
      </c>
      <c r="B81" s="11">
        <v>53.7</v>
      </c>
      <c r="C81" s="14">
        <f t="shared" si="0"/>
        <v>-1.1999999999999957</v>
      </c>
    </row>
    <row r="82" spans="1:9" x14ac:dyDescent="0.35">
      <c r="A82" s="70">
        <v>41699</v>
      </c>
      <c r="B82" s="11">
        <v>54</v>
      </c>
      <c r="C82" s="14">
        <f t="shared" si="0"/>
        <v>0.29999999999999716</v>
      </c>
      <c r="D82" s="1">
        <v>4.0000000000000001E-3</v>
      </c>
    </row>
    <row r="83" spans="1:9" x14ac:dyDescent="0.35">
      <c r="A83" s="70">
        <v>41730</v>
      </c>
      <c r="B83" s="11">
        <v>56.5</v>
      </c>
      <c r="C83" s="14">
        <f t="shared" si="0"/>
        <v>2.5</v>
      </c>
    </row>
    <row r="84" spans="1:9" x14ac:dyDescent="0.35">
      <c r="A84" s="70">
        <v>41760</v>
      </c>
      <c r="B84" s="11">
        <v>55.7</v>
      </c>
      <c r="C84" s="14">
        <f t="shared" ref="C84:C87" si="1">B84-B83</f>
        <v>-0.79999999999999716</v>
      </c>
    </row>
    <row r="85" spans="1:9" x14ac:dyDescent="0.35">
      <c r="A85" s="70">
        <v>41791</v>
      </c>
      <c r="B85" s="11">
        <v>54.8</v>
      </c>
      <c r="C85" s="14">
        <f t="shared" si="1"/>
        <v>-0.90000000000000568</v>
      </c>
      <c r="D85" s="1">
        <v>6.0000000000000001E-3</v>
      </c>
      <c r="H85" s="41" t="s">
        <v>69</v>
      </c>
      <c r="I85" t="s">
        <v>39</v>
      </c>
    </row>
    <row r="86" spans="1:9" x14ac:dyDescent="0.35">
      <c r="A86" s="70">
        <v>41821</v>
      </c>
      <c r="B86" s="11">
        <v>56.2</v>
      </c>
      <c r="C86" s="14">
        <f t="shared" si="1"/>
        <v>1.4000000000000057</v>
      </c>
    </row>
    <row r="87" spans="1:9" x14ac:dyDescent="0.35">
      <c r="A87" s="70">
        <v>41852</v>
      </c>
      <c r="B87" s="11">
        <v>58.1</v>
      </c>
      <c r="C87" s="14">
        <f t="shared" si="1"/>
        <v>1.8999999999999986</v>
      </c>
    </row>
    <row r="88" spans="1:9" x14ac:dyDescent="0.35">
      <c r="A88" s="70">
        <v>41883</v>
      </c>
      <c r="B88" s="11">
        <v>55.8</v>
      </c>
      <c r="C88" s="14">
        <f>IFERROR(B88-B87,"")</f>
        <v>-2.3000000000000043</v>
      </c>
      <c r="D88" s="1">
        <f>IF(VLOOKUP(I85,Data!$A$30:$H$150,7,FALSE)=A87,VLOOKUP(I85,Data!$A$30:$H$150,2,FALSE)/100,#N/A)</f>
        <v>5.0000000000000001E-3</v>
      </c>
    </row>
    <row r="89" spans="1:9" x14ac:dyDescent="0.35">
      <c r="A89" s="70">
        <v>41913</v>
      </c>
      <c r="B89" s="11">
        <v>55.9</v>
      </c>
      <c r="C89" s="14">
        <v>0.10000000000000142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 t="s">
        <v>283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0:I228"/>
  <sheetViews>
    <sheetView topLeftCell="A40" zoomScale="70" zoomScaleNormal="70" workbookViewId="0">
      <pane xSplit="1" ySplit="1" topLeftCell="B65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5.08984375" style="11" customWidth="1"/>
    <col min="3" max="3" width="12.26953125" style="7" customWidth="1"/>
    <col min="4" max="4" width="29.81640625" style="1" customWidth="1"/>
  </cols>
  <sheetData>
    <row r="40" spans="1:4" x14ac:dyDescent="0.35">
      <c r="A40" s="69" t="s">
        <v>0</v>
      </c>
      <c r="B40" s="11" t="s">
        <v>9</v>
      </c>
      <c r="C40" s="7" t="s">
        <v>1</v>
      </c>
      <c r="D40" s="1" t="s">
        <v>22</v>
      </c>
    </row>
    <row r="41" spans="1:4" x14ac:dyDescent="0.35">
      <c r="A41" s="70">
        <v>40452</v>
      </c>
      <c r="B41" s="11">
        <v>50.9</v>
      </c>
    </row>
    <row r="42" spans="1:4" x14ac:dyDescent="0.35">
      <c r="A42" s="70">
        <v>40483</v>
      </c>
      <c r="B42" s="11">
        <v>50.8</v>
      </c>
      <c r="C42" s="14">
        <f>B42-B41</f>
        <v>-0.10000000000000142</v>
      </c>
    </row>
    <row r="43" spans="1:4" x14ac:dyDescent="0.35">
      <c r="A43" s="70">
        <v>40513</v>
      </c>
      <c r="B43" s="11">
        <v>52.1</v>
      </c>
      <c r="C43" s="14">
        <f t="shared" ref="C43:C83" si="0">B43-B42</f>
        <v>1.3000000000000043</v>
      </c>
      <c r="D43" s="1">
        <v>-0.01</v>
      </c>
    </row>
    <row r="44" spans="1:4" x14ac:dyDescent="0.35">
      <c r="A44" s="70">
        <v>40544</v>
      </c>
      <c r="B44" s="11">
        <v>53.6</v>
      </c>
      <c r="C44" s="14">
        <f t="shared" si="0"/>
        <v>1.5</v>
      </c>
    </row>
    <row r="45" spans="1:4" x14ac:dyDescent="0.35">
      <c r="A45" s="70">
        <v>40575</v>
      </c>
      <c r="B45" s="11">
        <v>55.1</v>
      </c>
      <c r="C45" s="14">
        <f t="shared" si="0"/>
        <v>1.5</v>
      </c>
    </row>
    <row r="46" spans="1:4" x14ac:dyDescent="0.35">
      <c r="A46" s="70">
        <v>40603</v>
      </c>
      <c r="B46" s="11">
        <v>51.1</v>
      </c>
      <c r="C46" s="14">
        <f t="shared" si="0"/>
        <v>-4</v>
      </c>
      <c r="D46" s="1">
        <v>1.4999999999999999E-2</v>
      </c>
    </row>
    <row r="47" spans="1:4" x14ac:dyDescent="0.35">
      <c r="A47" s="70">
        <v>40634</v>
      </c>
      <c r="B47" s="11">
        <v>50.2</v>
      </c>
      <c r="C47" s="14">
        <f t="shared" si="0"/>
        <v>-0.89999999999999858</v>
      </c>
    </row>
    <row r="48" spans="1:4" x14ac:dyDescent="0.35">
      <c r="A48" s="70">
        <v>40664</v>
      </c>
      <c r="B48" s="11">
        <v>50.5</v>
      </c>
      <c r="C48" s="14">
        <f t="shared" si="0"/>
        <v>0.29999999999999716</v>
      </c>
    </row>
    <row r="49" spans="1:4" x14ac:dyDescent="0.35">
      <c r="A49" s="70">
        <v>40695</v>
      </c>
      <c r="B49" s="11">
        <v>52.4</v>
      </c>
      <c r="C49" s="14">
        <f t="shared" si="0"/>
        <v>1.8999999999999986</v>
      </c>
      <c r="D49" s="1">
        <v>1.4999999999999999E-2</v>
      </c>
    </row>
    <row r="50" spans="1:4" x14ac:dyDescent="0.35">
      <c r="A50" s="70">
        <v>40725</v>
      </c>
      <c r="B50" s="11">
        <v>51.7</v>
      </c>
      <c r="C50" s="14">
        <f t="shared" si="0"/>
        <v>-0.69999999999999574</v>
      </c>
    </row>
    <row r="51" spans="1:4" x14ac:dyDescent="0.35">
      <c r="A51" s="70">
        <v>40756</v>
      </c>
      <c r="B51" s="11">
        <v>51.1</v>
      </c>
      <c r="C51" s="14">
        <f t="shared" si="0"/>
        <v>-0.60000000000000142</v>
      </c>
    </row>
    <row r="52" spans="1:4" x14ac:dyDescent="0.35">
      <c r="A52" s="70">
        <v>40787</v>
      </c>
      <c r="B52" s="11">
        <v>51.3</v>
      </c>
      <c r="C52" s="14">
        <f t="shared" si="0"/>
        <v>0.19999999999999574</v>
      </c>
      <c r="D52" s="1">
        <v>-0.01</v>
      </c>
    </row>
    <row r="53" spans="1:4" x14ac:dyDescent="0.35">
      <c r="A53" s="70">
        <v>40817</v>
      </c>
      <c r="B53" s="11">
        <v>51.5</v>
      </c>
      <c r="C53" s="14">
        <f t="shared" si="0"/>
        <v>0.20000000000000284</v>
      </c>
    </row>
    <row r="54" spans="1:4" x14ac:dyDescent="0.35">
      <c r="A54" s="70">
        <v>40848</v>
      </c>
      <c r="B54" s="11">
        <v>52.7</v>
      </c>
      <c r="C54" s="14">
        <f t="shared" si="0"/>
        <v>1.2000000000000028</v>
      </c>
    </row>
    <row r="55" spans="1:4" x14ac:dyDescent="0.35">
      <c r="A55" s="70">
        <v>40878</v>
      </c>
      <c r="B55" s="11">
        <v>48.4</v>
      </c>
      <c r="C55" s="14">
        <f t="shared" si="0"/>
        <v>-4.3000000000000043</v>
      </c>
      <c r="D55" s="1">
        <v>0.01</v>
      </c>
    </row>
    <row r="56" spans="1:4" x14ac:dyDescent="0.35">
      <c r="A56" s="70">
        <v>40909</v>
      </c>
      <c r="B56" s="11">
        <v>48.3</v>
      </c>
      <c r="C56" s="14">
        <f t="shared" si="0"/>
        <v>-0.10000000000000142</v>
      </c>
    </row>
    <row r="57" spans="1:4" x14ac:dyDescent="0.35">
      <c r="A57" s="70">
        <v>40940</v>
      </c>
      <c r="B57" s="11">
        <v>53.3</v>
      </c>
      <c r="C57" s="14">
        <f t="shared" si="0"/>
        <v>5</v>
      </c>
    </row>
    <row r="58" spans="1:4" x14ac:dyDescent="0.35">
      <c r="A58" s="70">
        <v>40969</v>
      </c>
      <c r="B58" s="11">
        <v>52.1</v>
      </c>
      <c r="C58" s="14">
        <f t="shared" si="0"/>
        <v>-1.1999999999999957</v>
      </c>
      <c r="D58" s="1">
        <v>-5.0000000000000001E-3</v>
      </c>
    </row>
    <row r="59" spans="1:4" x14ac:dyDescent="0.35">
      <c r="A59" s="70">
        <v>41000</v>
      </c>
      <c r="B59" s="11">
        <v>52.2</v>
      </c>
      <c r="C59" s="14">
        <f t="shared" si="0"/>
        <v>0.10000000000000142</v>
      </c>
    </row>
    <row r="60" spans="1:4" x14ac:dyDescent="0.35">
      <c r="A60" s="70">
        <v>41030</v>
      </c>
      <c r="B60" s="11">
        <v>48.9</v>
      </c>
      <c r="C60" s="14">
        <f t="shared" si="0"/>
        <v>-3.3000000000000043</v>
      </c>
    </row>
    <row r="61" spans="1:4" x14ac:dyDescent="0.35">
      <c r="A61" s="70">
        <v>41061</v>
      </c>
      <c r="B61" s="11">
        <v>49.7</v>
      </c>
      <c r="C61" s="14">
        <f t="shared" si="0"/>
        <v>0.80000000000000426</v>
      </c>
      <c r="D61" s="1">
        <v>7.0000000000000001E-3</v>
      </c>
    </row>
    <row r="62" spans="1:4" x14ac:dyDescent="0.35">
      <c r="A62" s="70">
        <v>41091</v>
      </c>
      <c r="B62" s="11">
        <v>49.1</v>
      </c>
      <c r="C62" s="14">
        <f t="shared" si="0"/>
        <v>-0.60000000000000142</v>
      </c>
    </row>
    <row r="63" spans="1:4" x14ac:dyDescent="0.35">
      <c r="A63" s="70">
        <v>41122</v>
      </c>
      <c r="B63" s="11">
        <v>51.7</v>
      </c>
      <c r="C63" s="14">
        <f t="shared" si="0"/>
        <v>2.6000000000000014</v>
      </c>
    </row>
    <row r="64" spans="1:4" x14ac:dyDescent="0.35">
      <c r="A64" s="70">
        <v>41153</v>
      </c>
      <c r="B64" s="11">
        <v>53.9</v>
      </c>
      <c r="C64" s="14">
        <f t="shared" si="0"/>
        <v>2.1999999999999957</v>
      </c>
      <c r="D64" s="1">
        <v>-1.9E-2</v>
      </c>
    </row>
    <row r="65" spans="1:4" x14ac:dyDescent="0.35">
      <c r="A65" s="70">
        <v>41183</v>
      </c>
      <c r="B65" s="11">
        <v>56.1</v>
      </c>
      <c r="C65" s="14">
        <f t="shared" si="0"/>
        <v>2.2000000000000028</v>
      </c>
    </row>
    <row r="66" spans="1:4" x14ac:dyDescent="0.35">
      <c r="A66" s="70">
        <v>41214</v>
      </c>
      <c r="B66" s="11">
        <v>56.1</v>
      </c>
      <c r="C66" s="14">
        <f t="shared" si="0"/>
        <v>0</v>
      </c>
    </row>
    <row r="67" spans="1:4" x14ac:dyDescent="0.35">
      <c r="A67" s="70">
        <v>41244</v>
      </c>
      <c r="B67" s="11">
        <v>56.5</v>
      </c>
      <c r="C67" s="14">
        <f t="shared" si="0"/>
        <v>0.39999999999999858</v>
      </c>
      <c r="D67" s="1">
        <v>8.0000000000000002E-3</v>
      </c>
    </row>
    <row r="68" spans="1:4" x14ac:dyDescent="0.35">
      <c r="A68" s="70">
        <v>41275</v>
      </c>
      <c r="B68" s="11">
        <v>56.8</v>
      </c>
      <c r="C68" s="14">
        <f t="shared" si="0"/>
        <v>0.29999999999999716</v>
      </c>
    </row>
    <row r="69" spans="1:4" x14ac:dyDescent="0.35">
      <c r="A69" s="70">
        <v>41306</v>
      </c>
      <c r="B69" s="11">
        <v>53.6</v>
      </c>
      <c r="C69" s="14">
        <f t="shared" si="0"/>
        <v>-3.1999999999999957</v>
      </c>
    </row>
    <row r="70" spans="1:4" x14ac:dyDescent="0.35">
      <c r="A70" s="70">
        <v>41334</v>
      </c>
      <c r="B70" s="11">
        <v>52.3</v>
      </c>
      <c r="C70" s="14">
        <f t="shared" si="0"/>
        <v>-1.3000000000000043</v>
      </c>
      <c r="D70" s="1">
        <v>-1.4E-2</v>
      </c>
    </row>
    <row r="71" spans="1:4" x14ac:dyDescent="0.35">
      <c r="A71" s="70">
        <v>41365</v>
      </c>
      <c r="B71" s="11">
        <v>55.2</v>
      </c>
      <c r="C71" s="14">
        <f t="shared" si="0"/>
        <v>2.9000000000000057</v>
      </c>
    </row>
    <row r="72" spans="1:4" x14ac:dyDescent="0.35">
      <c r="A72" s="70">
        <v>41395</v>
      </c>
      <c r="B72" s="11">
        <v>52.7</v>
      </c>
      <c r="C72" s="14">
        <f t="shared" si="0"/>
        <v>-2.5</v>
      </c>
    </row>
    <row r="73" spans="1:4" x14ac:dyDescent="0.35">
      <c r="A73" s="70">
        <v>41426</v>
      </c>
      <c r="B73" s="11">
        <v>61.6</v>
      </c>
      <c r="C73" s="14">
        <f t="shared" si="0"/>
        <v>8.8999999999999986</v>
      </c>
      <c r="D73" s="1">
        <v>1.0999999999999999E-2</v>
      </c>
    </row>
    <row r="74" spans="1:4" x14ac:dyDescent="0.35">
      <c r="A74" s="70">
        <v>41456</v>
      </c>
      <c r="B74" s="11">
        <v>59.6</v>
      </c>
      <c r="C74" s="14">
        <f t="shared" si="0"/>
        <v>-2</v>
      </c>
    </row>
    <row r="75" spans="1:4" x14ac:dyDescent="0.35">
      <c r="A75" s="70">
        <v>41487</v>
      </c>
      <c r="B75" s="11">
        <v>57.2</v>
      </c>
      <c r="C75" s="14">
        <f t="shared" si="0"/>
        <v>-2.3999999999999986</v>
      </c>
    </row>
    <row r="76" spans="1:4" x14ac:dyDescent="0.35">
      <c r="A76" s="70">
        <v>41518</v>
      </c>
      <c r="B76" s="11">
        <v>56.8</v>
      </c>
      <c r="C76" s="14">
        <f t="shared" si="0"/>
        <v>-0.40000000000000568</v>
      </c>
      <c r="D76" s="1">
        <v>2.1000000000000001E-2</v>
      </c>
    </row>
    <row r="77" spans="1:4" x14ac:dyDescent="0.35">
      <c r="A77" s="70">
        <v>41548</v>
      </c>
      <c r="B77" s="11">
        <v>60.1</v>
      </c>
      <c r="C77" s="14">
        <f t="shared" si="0"/>
        <v>3.3000000000000043</v>
      </c>
    </row>
    <row r="78" spans="1:4" x14ac:dyDescent="0.35">
      <c r="A78" s="70">
        <v>41579</v>
      </c>
      <c r="B78" s="11">
        <v>57.1</v>
      </c>
      <c r="C78" s="14">
        <f t="shared" si="0"/>
        <v>-3</v>
      </c>
    </row>
    <row r="79" spans="1:4" x14ac:dyDescent="0.35">
      <c r="A79" s="70">
        <v>41609</v>
      </c>
      <c r="B79" s="11">
        <v>59.3</v>
      </c>
      <c r="C79" s="14">
        <f t="shared" si="0"/>
        <v>2.1999999999999957</v>
      </c>
      <c r="D79" s="1">
        <v>-2.3E-2</v>
      </c>
    </row>
    <row r="80" spans="1:4" x14ac:dyDescent="0.35">
      <c r="A80" s="70">
        <v>41640</v>
      </c>
      <c r="B80" s="11">
        <v>61.5</v>
      </c>
      <c r="C80" s="14">
        <f t="shared" si="0"/>
        <v>2.2000000000000028</v>
      </c>
    </row>
    <row r="81" spans="1:9" x14ac:dyDescent="0.35">
      <c r="A81" s="70">
        <v>41671</v>
      </c>
      <c r="B81" s="11">
        <v>57.5</v>
      </c>
      <c r="C81" s="14">
        <f t="shared" si="0"/>
        <v>-4</v>
      </c>
    </row>
    <row r="82" spans="1:9" x14ac:dyDescent="0.35">
      <c r="A82" s="70">
        <v>41699</v>
      </c>
      <c r="B82" s="11">
        <v>60.7</v>
      </c>
      <c r="C82" s="14">
        <f t="shared" si="0"/>
        <v>3.2000000000000028</v>
      </c>
      <c r="D82" s="1">
        <v>2.7E-2</v>
      </c>
    </row>
    <row r="83" spans="1:9" x14ac:dyDescent="0.35">
      <c r="A83" s="70">
        <v>41730</v>
      </c>
      <c r="B83" s="11">
        <v>61.9</v>
      </c>
      <c r="C83" s="14">
        <f t="shared" si="0"/>
        <v>1.1999999999999957</v>
      </c>
    </row>
    <row r="84" spans="1:9" x14ac:dyDescent="0.35">
      <c r="A84" s="70">
        <v>41760</v>
      </c>
      <c r="B84" s="11">
        <v>61.7</v>
      </c>
      <c r="C84" s="14">
        <f t="shared" ref="C84:C86" si="1">B84-B83</f>
        <v>-0.19999999999999574</v>
      </c>
    </row>
    <row r="85" spans="1:9" x14ac:dyDescent="0.35">
      <c r="A85" s="70">
        <v>41791</v>
      </c>
      <c r="B85" s="11">
        <v>62.6</v>
      </c>
      <c r="C85" s="14">
        <f t="shared" si="1"/>
        <v>0.89999999999999858</v>
      </c>
      <c r="D85" s="1">
        <v>1.4999999999999999E-2</v>
      </c>
      <c r="H85" s="41" t="s">
        <v>70</v>
      </c>
      <c r="I85" t="s">
        <v>44</v>
      </c>
    </row>
    <row r="86" spans="1:9" x14ac:dyDescent="0.35">
      <c r="A86" s="70">
        <v>41821</v>
      </c>
      <c r="B86" s="11">
        <v>61.3</v>
      </c>
      <c r="C86" s="14">
        <f t="shared" si="1"/>
        <v>-1.3000000000000043</v>
      </c>
    </row>
    <row r="87" spans="1:9" x14ac:dyDescent="0.35">
      <c r="A87" s="70">
        <v>41852</v>
      </c>
      <c r="B87" s="11">
        <v>62.4</v>
      </c>
      <c r="C87" s="14">
        <f t="shared" ref="C87" si="2">B87-B86</f>
        <v>1.1000000000000014</v>
      </c>
    </row>
    <row r="88" spans="1:9" x14ac:dyDescent="0.35">
      <c r="A88" s="70">
        <v>41883</v>
      </c>
      <c r="B88" s="11">
        <v>62.5</v>
      </c>
      <c r="C88" s="14">
        <f>IFERROR(B88-B87,"")</f>
        <v>0.10000000000000142</v>
      </c>
      <c r="D88" s="1" t="e">
        <f>IF(VLOOKUP(I85,Data!$A$30:$H$150,7,FALSE)=A87,VLOOKUP(I85,Data!$A$30:$H$150,2,FALSE)/100,#N/A)</f>
        <v>#N/A</v>
      </c>
    </row>
    <row r="89" spans="1:9" x14ac:dyDescent="0.35">
      <c r="A89" s="70">
        <v>41913</v>
      </c>
      <c r="B89" s="11">
        <v>61.5</v>
      </c>
      <c r="C89" s="14">
        <v>-1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3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3"/>
        <v/>
      </c>
    </row>
    <row r="92" spans="1:9" x14ac:dyDescent="0.35">
      <c r="A92" s="70">
        <v>42005</v>
      </c>
      <c r="B92" s="11" t="s">
        <v>283</v>
      </c>
      <c r="C92" s="7" t="str">
        <f t="shared" si="3"/>
        <v/>
      </c>
    </row>
    <row r="93" spans="1:9" x14ac:dyDescent="0.35">
      <c r="A93" s="70">
        <v>42036</v>
      </c>
      <c r="B93" s="11" t="s">
        <v>283</v>
      </c>
      <c r="C93" s="7" t="str">
        <f t="shared" si="3"/>
        <v/>
      </c>
    </row>
    <row r="94" spans="1:9" x14ac:dyDescent="0.35">
      <c r="A94" s="70">
        <v>42064</v>
      </c>
      <c r="B94" s="11" t="s">
        <v>283</v>
      </c>
      <c r="C94" s="7" t="str">
        <f t="shared" si="3"/>
        <v/>
      </c>
    </row>
    <row r="95" spans="1:9" x14ac:dyDescent="0.35">
      <c r="A95" s="70">
        <v>42095</v>
      </c>
      <c r="B95" s="11" t="s">
        <v>283</v>
      </c>
      <c r="C95" s="7" t="str">
        <f t="shared" si="3"/>
        <v/>
      </c>
    </row>
    <row r="96" spans="1:9" x14ac:dyDescent="0.35">
      <c r="A96" s="70">
        <v>42125</v>
      </c>
      <c r="B96" s="11" t="s">
        <v>283</v>
      </c>
      <c r="C96" s="7" t="str">
        <f t="shared" si="3"/>
        <v/>
      </c>
    </row>
    <row r="97" spans="1:3" x14ac:dyDescent="0.35">
      <c r="A97" s="70">
        <v>42156</v>
      </c>
      <c r="B97" s="11" t="s">
        <v>283</v>
      </c>
      <c r="C97" s="7" t="str">
        <f t="shared" si="3"/>
        <v/>
      </c>
    </row>
    <row r="98" spans="1:3" x14ac:dyDescent="0.35">
      <c r="A98" s="70">
        <v>42186</v>
      </c>
      <c r="B98" s="11" t="s">
        <v>283</v>
      </c>
      <c r="C98" s="7" t="str">
        <f t="shared" si="3"/>
        <v/>
      </c>
    </row>
    <row r="99" spans="1:3" x14ac:dyDescent="0.35">
      <c r="A99" s="70">
        <v>42217</v>
      </c>
      <c r="B99" s="11" t="s">
        <v>283</v>
      </c>
      <c r="C99" s="7" t="str">
        <f t="shared" si="3"/>
        <v/>
      </c>
    </row>
    <row r="100" spans="1:3" x14ac:dyDescent="0.35">
      <c r="A100" s="70">
        <v>42248</v>
      </c>
      <c r="B100" s="11" t="s">
        <v>283</v>
      </c>
      <c r="C100" s="7" t="str">
        <f t="shared" si="3"/>
        <v/>
      </c>
    </row>
    <row r="101" spans="1:3" x14ac:dyDescent="0.35">
      <c r="A101" s="70">
        <v>42278</v>
      </c>
      <c r="B101" s="11" t="s">
        <v>283</v>
      </c>
      <c r="C101" s="7" t="str">
        <f t="shared" si="3"/>
        <v/>
      </c>
    </row>
    <row r="102" spans="1:3" x14ac:dyDescent="0.35">
      <c r="A102" s="70">
        <v>42309</v>
      </c>
      <c r="B102" s="11" t="s">
        <v>283</v>
      </c>
      <c r="C102" s="7" t="str">
        <f t="shared" si="3"/>
        <v/>
      </c>
    </row>
    <row r="103" spans="1:3" x14ac:dyDescent="0.35">
      <c r="A103" s="70">
        <v>42339</v>
      </c>
      <c r="B103" s="11" t="s">
        <v>283</v>
      </c>
      <c r="C103" s="7" t="str">
        <f t="shared" si="3"/>
        <v/>
      </c>
    </row>
    <row r="104" spans="1:3" x14ac:dyDescent="0.35">
      <c r="A104" s="70">
        <v>42370</v>
      </c>
      <c r="B104" s="11" t="s">
        <v>283</v>
      </c>
      <c r="C104" s="7" t="str">
        <f t="shared" si="3"/>
        <v/>
      </c>
    </row>
    <row r="105" spans="1:3" x14ac:dyDescent="0.35">
      <c r="A105" s="70">
        <v>42401</v>
      </c>
      <c r="B105" s="11" t="s">
        <v>283</v>
      </c>
      <c r="C105" s="7" t="str">
        <f t="shared" si="3"/>
        <v/>
      </c>
    </row>
    <row r="106" spans="1:3" x14ac:dyDescent="0.35">
      <c r="A106" s="70">
        <v>42430</v>
      </c>
      <c r="B106" s="11" t="s">
        <v>283</v>
      </c>
      <c r="C106" s="7" t="str">
        <f t="shared" si="3"/>
        <v/>
      </c>
    </row>
    <row r="107" spans="1:3" x14ac:dyDescent="0.35">
      <c r="A107" s="70">
        <v>42461</v>
      </c>
      <c r="B107" s="11" t="s">
        <v>283</v>
      </c>
      <c r="C107" s="7" t="str">
        <f t="shared" si="3"/>
        <v/>
      </c>
    </row>
    <row r="108" spans="1:3" x14ac:dyDescent="0.35">
      <c r="A108" s="70">
        <v>42491</v>
      </c>
      <c r="B108" s="11" t="s">
        <v>283</v>
      </c>
      <c r="C108" s="7" t="str">
        <f t="shared" si="3"/>
        <v/>
      </c>
    </row>
    <row r="109" spans="1:3" x14ac:dyDescent="0.35">
      <c r="A109" s="70">
        <v>42522</v>
      </c>
      <c r="B109" s="11" t="s">
        <v>283</v>
      </c>
      <c r="C109" s="7" t="str">
        <f t="shared" si="3"/>
        <v/>
      </c>
    </row>
    <row r="110" spans="1:3" x14ac:dyDescent="0.35">
      <c r="A110" s="70">
        <v>42552</v>
      </c>
      <c r="B110" s="11" t="s">
        <v>283</v>
      </c>
      <c r="C110" s="7" t="str">
        <f t="shared" si="3"/>
        <v/>
      </c>
    </row>
    <row r="111" spans="1:3" x14ac:dyDescent="0.35">
      <c r="A111" s="70">
        <v>42583</v>
      </c>
      <c r="B111" s="11" t="s">
        <v>283</v>
      </c>
      <c r="C111" s="7" t="str">
        <f t="shared" si="3"/>
        <v/>
      </c>
    </row>
    <row r="112" spans="1:3" x14ac:dyDescent="0.35">
      <c r="A112" s="70">
        <v>42614</v>
      </c>
      <c r="B112" s="11" t="s">
        <v>283</v>
      </c>
      <c r="C112" s="7" t="str">
        <f t="shared" si="3"/>
        <v/>
      </c>
    </row>
    <row r="113" spans="1:3" x14ac:dyDescent="0.35">
      <c r="A113" s="70">
        <v>42644</v>
      </c>
      <c r="B113" s="11" t="s">
        <v>283</v>
      </c>
      <c r="C113" s="7" t="str">
        <f t="shared" si="3"/>
        <v/>
      </c>
    </row>
    <row r="114" spans="1:3" x14ac:dyDescent="0.35">
      <c r="A114" s="70">
        <v>42675</v>
      </c>
      <c r="B114" s="11" t="s">
        <v>283</v>
      </c>
      <c r="C114" s="7" t="str">
        <f t="shared" si="3"/>
        <v/>
      </c>
    </row>
    <row r="115" spans="1:3" x14ac:dyDescent="0.35">
      <c r="A115" s="70">
        <v>42705</v>
      </c>
      <c r="B115" s="11" t="s">
        <v>283</v>
      </c>
      <c r="C115" s="7" t="str">
        <f t="shared" si="3"/>
        <v/>
      </c>
    </row>
    <row r="116" spans="1:3" x14ac:dyDescent="0.35">
      <c r="A116" s="70">
        <v>42736</v>
      </c>
      <c r="B116" s="11" t="s">
        <v>283</v>
      </c>
      <c r="C116" s="7" t="str">
        <f t="shared" si="3"/>
        <v/>
      </c>
    </row>
    <row r="117" spans="1:3" x14ac:dyDescent="0.35">
      <c r="A117" s="70">
        <v>42767</v>
      </c>
      <c r="B117" s="11" t="s">
        <v>283</v>
      </c>
      <c r="C117" s="7" t="str">
        <f t="shared" si="3"/>
        <v/>
      </c>
    </row>
    <row r="118" spans="1:3" x14ac:dyDescent="0.35">
      <c r="A118" s="70">
        <v>42795</v>
      </c>
      <c r="B118" s="11" t="s">
        <v>283</v>
      </c>
      <c r="C118" s="7" t="str">
        <f t="shared" si="3"/>
        <v/>
      </c>
    </row>
    <row r="119" spans="1:3" x14ac:dyDescent="0.35">
      <c r="A119" s="70">
        <v>42826</v>
      </c>
      <c r="B119" s="11" t="s">
        <v>283</v>
      </c>
      <c r="C119" s="7" t="str">
        <f t="shared" si="3"/>
        <v/>
      </c>
    </row>
    <row r="120" spans="1:3" x14ac:dyDescent="0.35">
      <c r="A120" s="70">
        <v>42856</v>
      </c>
      <c r="B120" s="11" t="s">
        <v>283</v>
      </c>
      <c r="C120" s="7" t="str">
        <f t="shared" si="3"/>
        <v/>
      </c>
    </row>
    <row r="121" spans="1:3" x14ac:dyDescent="0.35">
      <c r="A121" s="70">
        <v>42887</v>
      </c>
      <c r="B121" s="11" t="s">
        <v>283</v>
      </c>
      <c r="C121" s="7" t="str">
        <f t="shared" si="3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4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4"/>
        <v/>
      </c>
    </row>
    <row r="124" spans="1:3" x14ac:dyDescent="0.35">
      <c r="A124" s="70">
        <v>42979</v>
      </c>
      <c r="B124" s="11" t="s">
        <v>283</v>
      </c>
      <c r="C124" s="7" t="str">
        <f t="shared" si="4"/>
        <v/>
      </c>
    </row>
    <row r="125" spans="1:3" x14ac:dyDescent="0.35">
      <c r="A125" s="70">
        <v>43009</v>
      </c>
      <c r="B125" s="11" t="s">
        <v>283</v>
      </c>
      <c r="C125" s="7" t="str">
        <f t="shared" si="4"/>
        <v/>
      </c>
    </row>
    <row r="126" spans="1:3" x14ac:dyDescent="0.35">
      <c r="A126" s="70">
        <v>43040</v>
      </c>
      <c r="B126" s="11" t="s">
        <v>283</v>
      </c>
      <c r="C126" s="7" t="str">
        <f t="shared" si="4"/>
        <v/>
      </c>
    </row>
    <row r="127" spans="1:3" x14ac:dyDescent="0.35">
      <c r="A127" s="70">
        <v>43070</v>
      </c>
      <c r="B127" s="11" t="s">
        <v>283</v>
      </c>
      <c r="C127" s="7" t="str">
        <f t="shared" si="4"/>
        <v/>
      </c>
    </row>
    <row r="128" spans="1:3" x14ac:dyDescent="0.35">
      <c r="A128" s="70">
        <v>43101</v>
      </c>
      <c r="B128" s="11" t="s">
        <v>283</v>
      </c>
      <c r="C128" s="7" t="str">
        <f t="shared" si="4"/>
        <v/>
      </c>
    </row>
    <row r="129" spans="1:3" x14ac:dyDescent="0.35">
      <c r="A129" s="70">
        <v>43132</v>
      </c>
      <c r="B129" s="11" t="s">
        <v>283</v>
      </c>
      <c r="C129" s="7" t="str">
        <f t="shared" si="4"/>
        <v/>
      </c>
    </row>
    <row r="130" spans="1:3" x14ac:dyDescent="0.35">
      <c r="A130" s="70">
        <v>43160</v>
      </c>
      <c r="B130" s="11" t="s">
        <v>283</v>
      </c>
      <c r="C130" s="7" t="str">
        <f t="shared" si="4"/>
        <v/>
      </c>
    </row>
    <row r="131" spans="1:3" x14ac:dyDescent="0.35">
      <c r="A131" s="70">
        <v>43191</v>
      </c>
      <c r="B131" s="11" t="s">
        <v>283</v>
      </c>
      <c r="C131" s="7" t="str">
        <f t="shared" si="4"/>
        <v/>
      </c>
    </row>
    <row r="132" spans="1:3" x14ac:dyDescent="0.35">
      <c r="A132" s="70">
        <v>43221</v>
      </c>
      <c r="B132" s="11" t="s">
        <v>283</v>
      </c>
      <c r="C132" s="7" t="str">
        <f t="shared" si="4"/>
        <v/>
      </c>
    </row>
    <row r="133" spans="1:3" x14ac:dyDescent="0.35">
      <c r="A133" s="70">
        <v>43252</v>
      </c>
      <c r="B133" s="11" t="s">
        <v>283</v>
      </c>
      <c r="C133" s="7" t="str">
        <f t="shared" si="4"/>
        <v/>
      </c>
    </row>
    <row r="134" spans="1:3" x14ac:dyDescent="0.35">
      <c r="A134" s="70">
        <v>43282</v>
      </c>
      <c r="B134" s="11" t="s">
        <v>283</v>
      </c>
      <c r="C134" s="7" t="str">
        <f t="shared" si="4"/>
        <v/>
      </c>
    </row>
    <row r="135" spans="1:3" x14ac:dyDescent="0.35">
      <c r="A135" s="70">
        <v>43313</v>
      </c>
      <c r="B135" s="11" t="s">
        <v>283</v>
      </c>
      <c r="C135" s="7" t="str">
        <f t="shared" si="4"/>
        <v/>
      </c>
    </row>
    <row r="136" spans="1:3" x14ac:dyDescent="0.35">
      <c r="A136" s="70">
        <v>43344</v>
      </c>
      <c r="B136" s="11" t="s">
        <v>283</v>
      </c>
      <c r="C136" s="7" t="str">
        <f t="shared" si="4"/>
        <v/>
      </c>
    </row>
    <row r="137" spans="1:3" x14ac:dyDescent="0.35">
      <c r="A137" s="70">
        <v>43374</v>
      </c>
      <c r="B137" s="11" t="s">
        <v>283</v>
      </c>
      <c r="C137" s="7" t="str">
        <f t="shared" si="4"/>
        <v/>
      </c>
    </row>
    <row r="138" spans="1:3" x14ac:dyDescent="0.35">
      <c r="A138" s="70">
        <v>43405</v>
      </c>
      <c r="B138" s="11" t="s">
        <v>283</v>
      </c>
      <c r="C138" s="7" t="str">
        <f t="shared" si="4"/>
        <v/>
      </c>
    </row>
    <row r="139" spans="1:3" x14ac:dyDescent="0.35">
      <c r="A139" s="70">
        <v>43435</v>
      </c>
      <c r="B139" s="11" t="s">
        <v>283</v>
      </c>
      <c r="C139" s="7" t="str">
        <f t="shared" si="4"/>
        <v/>
      </c>
    </row>
    <row r="140" spans="1:3" x14ac:dyDescent="0.35">
      <c r="A140" s="70">
        <v>43466</v>
      </c>
      <c r="B140" s="11" t="s">
        <v>283</v>
      </c>
      <c r="C140" s="7" t="str">
        <f t="shared" si="4"/>
        <v/>
      </c>
    </row>
    <row r="141" spans="1:3" x14ac:dyDescent="0.35">
      <c r="A141" s="70">
        <v>43497</v>
      </c>
      <c r="B141" s="11" t="s">
        <v>283</v>
      </c>
      <c r="C141" s="7" t="str">
        <f t="shared" si="4"/>
        <v/>
      </c>
    </row>
    <row r="142" spans="1:3" x14ac:dyDescent="0.35">
      <c r="A142" s="70">
        <v>43525</v>
      </c>
      <c r="B142" s="11" t="s">
        <v>283</v>
      </c>
      <c r="C142" s="7" t="str">
        <f t="shared" si="4"/>
        <v/>
      </c>
    </row>
    <row r="143" spans="1:3" x14ac:dyDescent="0.35">
      <c r="A143" s="70">
        <v>43556</v>
      </c>
      <c r="B143" s="11" t="s">
        <v>283</v>
      </c>
      <c r="C143" s="7" t="str">
        <f t="shared" si="4"/>
        <v/>
      </c>
    </row>
    <row r="144" spans="1:3" x14ac:dyDescent="0.35">
      <c r="A144" s="70">
        <v>43586</v>
      </c>
      <c r="B144" s="11" t="s">
        <v>283</v>
      </c>
      <c r="C144" s="7" t="str">
        <f t="shared" si="4"/>
        <v/>
      </c>
    </row>
    <row r="145" spans="1:3" x14ac:dyDescent="0.35">
      <c r="A145" s="70">
        <v>43617</v>
      </c>
      <c r="B145" s="11" t="s">
        <v>283</v>
      </c>
      <c r="C145" s="7" t="str">
        <f t="shared" si="4"/>
        <v/>
      </c>
    </row>
    <row r="146" spans="1:3" x14ac:dyDescent="0.35">
      <c r="A146" s="70">
        <v>43647</v>
      </c>
      <c r="B146" s="11" t="s">
        <v>283</v>
      </c>
      <c r="C146" s="7" t="str">
        <f t="shared" si="4"/>
        <v/>
      </c>
    </row>
    <row r="147" spans="1:3" x14ac:dyDescent="0.35">
      <c r="A147" s="70">
        <v>43678</v>
      </c>
      <c r="B147" s="11" t="s">
        <v>283</v>
      </c>
      <c r="C147" s="7" t="str">
        <f t="shared" si="4"/>
        <v/>
      </c>
    </row>
    <row r="148" spans="1:3" x14ac:dyDescent="0.35">
      <c r="A148" s="70">
        <v>43709</v>
      </c>
      <c r="B148" s="11" t="s">
        <v>283</v>
      </c>
      <c r="C148" s="7" t="str">
        <f t="shared" si="4"/>
        <v/>
      </c>
    </row>
    <row r="149" spans="1:3" x14ac:dyDescent="0.35">
      <c r="A149" s="70">
        <v>43739</v>
      </c>
      <c r="B149" s="11" t="s">
        <v>283</v>
      </c>
      <c r="C149" s="7" t="str">
        <f t="shared" si="4"/>
        <v/>
      </c>
    </row>
    <row r="150" spans="1:3" x14ac:dyDescent="0.35">
      <c r="A150" s="70">
        <v>43770</v>
      </c>
      <c r="B150" s="11" t="s">
        <v>283</v>
      </c>
      <c r="C150" s="7" t="str">
        <f t="shared" si="4"/>
        <v/>
      </c>
    </row>
    <row r="151" spans="1:3" x14ac:dyDescent="0.35">
      <c r="A151" s="70">
        <v>43800</v>
      </c>
      <c r="B151" s="11" t="s">
        <v>283</v>
      </c>
      <c r="C151" s="7" t="str">
        <f t="shared" si="4"/>
        <v/>
      </c>
    </row>
    <row r="152" spans="1:3" x14ac:dyDescent="0.35">
      <c r="A152" s="70">
        <v>43831</v>
      </c>
      <c r="B152" s="11" t="s">
        <v>283</v>
      </c>
      <c r="C152" s="7" t="str">
        <f t="shared" si="4"/>
        <v/>
      </c>
    </row>
    <row r="153" spans="1:3" x14ac:dyDescent="0.35">
      <c r="A153" s="70">
        <v>43862</v>
      </c>
      <c r="B153" s="11" t="s">
        <v>283</v>
      </c>
      <c r="C153" s="7" t="str">
        <f t="shared" si="4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5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5"/>
        <v/>
      </c>
    </row>
    <row r="156" spans="1:3" x14ac:dyDescent="0.35">
      <c r="A156" s="70">
        <v>43952</v>
      </c>
      <c r="B156" s="11" t="s">
        <v>283</v>
      </c>
      <c r="C156" s="7" t="str">
        <f t="shared" si="5"/>
        <v/>
      </c>
    </row>
    <row r="157" spans="1:3" x14ac:dyDescent="0.35">
      <c r="A157" s="70">
        <v>43983</v>
      </c>
      <c r="B157" s="11" t="s">
        <v>283</v>
      </c>
      <c r="C157" s="7" t="str">
        <f t="shared" si="5"/>
        <v/>
      </c>
    </row>
    <row r="158" spans="1:3" x14ac:dyDescent="0.35">
      <c r="A158" s="70">
        <v>44013</v>
      </c>
      <c r="B158" s="11" t="s">
        <v>283</v>
      </c>
      <c r="C158" s="7" t="str">
        <f t="shared" si="5"/>
        <v/>
      </c>
    </row>
    <row r="159" spans="1:3" x14ac:dyDescent="0.35">
      <c r="A159" s="70">
        <v>44044</v>
      </c>
      <c r="B159" s="11" t="s">
        <v>283</v>
      </c>
      <c r="C159" s="7" t="str">
        <f t="shared" si="5"/>
        <v/>
      </c>
    </row>
    <row r="160" spans="1:3" x14ac:dyDescent="0.35">
      <c r="A160" s="70">
        <v>44075</v>
      </c>
      <c r="B160" s="11" t="s">
        <v>283</v>
      </c>
      <c r="C160" s="7" t="str">
        <f t="shared" si="5"/>
        <v/>
      </c>
    </row>
    <row r="161" spans="1:3" x14ac:dyDescent="0.35">
      <c r="A161" s="70">
        <v>44105</v>
      </c>
      <c r="B161" s="11" t="s">
        <v>283</v>
      </c>
      <c r="C161" s="7" t="str">
        <f t="shared" si="5"/>
        <v/>
      </c>
    </row>
    <row r="162" spans="1:3" x14ac:dyDescent="0.35">
      <c r="A162" s="70">
        <v>44136</v>
      </c>
      <c r="B162" s="11" t="s">
        <v>283</v>
      </c>
      <c r="C162" s="7" t="str">
        <f t="shared" si="5"/>
        <v/>
      </c>
    </row>
    <row r="163" spans="1:3" x14ac:dyDescent="0.35">
      <c r="A163" s="70">
        <v>44166</v>
      </c>
      <c r="B163" s="11" t="s">
        <v>283</v>
      </c>
      <c r="C163" s="7" t="str">
        <f t="shared" si="5"/>
        <v/>
      </c>
    </row>
    <row r="164" spans="1:3" x14ac:dyDescent="0.35">
      <c r="A164" s="70">
        <v>44197</v>
      </c>
      <c r="B164" s="11" t="s">
        <v>283</v>
      </c>
      <c r="C164" s="7" t="str">
        <f t="shared" si="5"/>
        <v/>
      </c>
    </row>
    <row r="165" spans="1:3" x14ac:dyDescent="0.35">
      <c r="A165" s="70">
        <v>44228</v>
      </c>
      <c r="B165" s="11" t="s">
        <v>283</v>
      </c>
      <c r="C165" s="7" t="str">
        <f t="shared" si="5"/>
        <v/>
      </c>
    </row>
    <row r="166" spans="1:3" x14ac:dyDescent="0.35">
      <c r="A166" s="70">
        <v>44256</v>
      </c>
      <c r="B166" s="11" t="s">
        <v>283</v>
      </c>
      <c r="C166" s="7" t="str">
        <f t="shared" si="5"/>
        <v/>
      </c>
    </row>
    <row r="167" spans="1:3" x14ac:dyDescent="0.35">
      <c r="A167" s="70">
        <v>44287</v>
      </c>
      <c r="B167" s="11" t="s">
        <v>283</v>
      </c>
      <c r="C167" s="7" t="str">
        <f t="shared" si="5"/>
        <v/>
      </c>
    </row>
    <row r="168" spans="1:3" x14ac:dyDescent="0.35">
      <c r="A168" s="70">
        <v>44317</v>
      </c>
      <c r="B168" s="11" t="s">
        <v>283</v>
      </c>
      <c r="C168" s="7" t="str">
        <f t="shared" si="5"/>
        <v/>
      </c>
    </row>
    <row r="169" spans="1:3" x14ac:dyDescent="0.35">
      <c r="A169" s="70">
        <v>44348</v>
      </c>
      <c r="B169" s="11" t="s">
        <v>283</v>
      </c>
      <c r="C169" s="7" t="str">
        <f t="shared" si="5"/>
        <v/>
      </c>
    </row>
    <row r="170" spans="1:3" x14ac:dyDescent="0.35">
      <c r="A170" s="70">
        <v>44378</v>
      </c>
      <c r="B170" s="11" t="s">
        <v>283</v>
      </c>
      <c r="C170" s="7" t="str">
        <f t="shared" si="5"/>
        <v/>
      </c>
    </row>
    <row r="171" spans="1:3" x14ac:dyDescent="0.35">
      <c r="A171" s="70">
        <v>44409</v>
      </c>
      <c r="B171" s="11" t="s">
        <v>283</v>
      </c>
      <c r="C171" s="7" t="str">
        <f t="shared" si="5"/>
        <v/>
      </c>
    </row>
    <row r="172" spans="1:3" x14ac:dyDescent="0.35">
      <c r="A172" s="70">
        <v>44440</v>
      </c>
      <c r="B172" s="11" t="s">
        <v>283</v>
      </c>
      <c r="C172" s="7" t="str">
        <f t="shared" si="5"/>
        <v/>
      </c>
    </row>
    <row r="173" spans="1:3" x14ac:dyDescent="0.35">
      <c r="A173" s="70">
        <v>44470</v>
      </c>
      <c r="B173" s="11" t="s">
        <v>283</v>
      </c>
      <c r="C173" s="7" t="str">
        <f t="shared" si="5"/>
        <v/>
      </c>
    </row>
    <row r="174" spans="1:3" x14ac:dyDescent="0.35">
      <c r="A174" s="70">
        <v>44501</v>
      </c>
      <c r="B174" s="11" t="s">
        <v>283</v>
      </c>
      <c r="C174" s="7" t="str">
        <f t="shared" si="5"/>
        <v/>
      </c>
    </row>
    <row r="175" spans="1:3" x14ac:dyDescent="0.35">
      <c r="A175" s="70">
        <v>44531</v>
      </c>
      <c r="B175" s="11" t="s">
        <v>283</v>
      </c>
      <c r="C175" s="7" t="str">
        <f t="shared" si="5"/>
        <v/>
      </c>
    </row>
    <row r="176" spans="1:3" x14ac:dyDescent="0.35">
      <c r="A176" s="70">
        <v>44562</v>
      </c>
      <c r="B176" s="11" t="s">
        <v>283</v>
      </c>
      <c r="C176" s="7" t="str">
        <f t="shared" si="5"/>
        <v/>
      </c>
    </row>
    <row r="177" spans="1:3" x14ac:dyDescent="0.35">
      <c r="A177" s="70">
        <v>44593</v>
      </c>
      <c r="B177" s="11" t="s">
        <v>283</v>
      </c>
      <c r="C177" s="7" t="str">
        <f t="shared" si="5"/>
        <v/>
      </c>
    </row>
    <row r="178" spans="1:3" x14ac:dyDescent="0.35">
      <c r="A178" s="70">
        <v>44621</v>
      </c>
      <c r="B178" s="11" t="s">
        <v>283</v>
      </c>
      <c r="C178" s="7" t="str">
        <f t="shared" si="5"/>
        <v/>
      </c>
    </row>
    <row r="179" spans="1:3" x14ac:dyDescent="0.35">
      <c r="A179" s="70">
        <v>44652</v>
      </c>
      <c r="B179" s="11" t="s">
        <v>283</v>
      </c>
      <c r="C179" s="7" t="str">
        <f t="shared" si="5"/>
        <v/>
      </c>
    </row>
    <row r="180" spans="1:3" x14ac:dyDescent="0.35">
      <c r="A180" s="70">
        <v>44682</v>
      </c>
      <c r="B180" s="11" t="s">
        <v>283</v>
      </c>
      <c r="C180" s="7" t="str">
        <f t="shared" si="5"/>
        <v/>
      </c>
    </row>
    <row r="181" spans="1:3" x14ac:dyDescent="0.35">
      <c r="A181" s="70">
        <v>44713</v>
      </c>
      <c r="B181" s="11" t="s">
        <v>283</v>
      </c>
      <c r="C181" s="7" t="str">
        <f t="shared" si="5"/>
        <v/>
      </c>
    </row>
    <row r="182" spans="1:3" x14ac:dyDescent="0.35">
      <c r="A182" s="70">
        <v>44743</v>
      </c>
      <c r="B182" s="11" t="s">
        <v>283</v>
      </c>
      <c r="C182" s="7" t="str">
        <f t="shared" si="5"/>
        <v/>
      </c>
    </row>
    <row r="183" spans="1:3" x14ac:dyDescent="0.35">
      <c r="A183" s="70">
        <v>44774</v>
      </c>
      <c r="B183" s="11" t="s">
        <v>283</v>
      </c>
      <c r="C183" s="7" t="str">
        <f t="shared" si="5"/>
        <v/>
      </c>
    </row>
    <row r="184" spans="1:3" x14ac:dyDescent="0.35">
      <c r="A184" s="70">
        <v>44805</v>
      </c>
      <c r="B184" s="11" t="s">
        <v>283</v>
      </c>
      <c r="C184" s="7" t="str">
        <f t="shared" si="5"/>
        <v/>
      </c>
    </row>
    <row r="185" spans="1:3" x14ac:dyDescent="0.35">
      <c r="A185" s="70">
        <v>44835</v>
      </c>
      <c r="B185" s="11" t="s">
        <v>283</v>
      </c>
      <c r="C185" s="7" t="str">
        <f t="shared" si="5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6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6"/>
        <v/>
      </c>
    </row>
    <row r="188" spans="1:3" x14ac:dyDescent="0.35">
      <c r="A188" s="70">
        <v>44927</v>
      </c>
      <c r="B188" s="11" t="s">
        <v>283</v>
      </c>
      <c r="C188" s="7" t="str">
        <f t="shared" si="6"/>
        <v/>
      </c>
    </row>
    <row r="189" spans="1:3" x14ac:dyDescent="0.35">
      <c r="A189" s="70">
        <v>44958</v>
      </c>
      <c r="B189" s="11" t="s">
        <v>283</v>
      </c>
      <c r="C189" s="7" t="str">
        <f t="shared" si="6"/>
        <v/>
      </c>
    </row>
    <row r="190" spans="1:3" x14ac:dyDescent="0.35">
      <c r="A190" s="70">
        <v>44986</v>
      </c>
      <c r="B190" s="11" t="s">
        <v>283</v>
      </c>
      <c r="C190" s="7" t="str">
        <f t="shared" si="6"/>
        <v/>
      </c>
    </row>
    <row r="191" spans="1:3" x14ac:dyDescent="0.35">
      <c r="A191" s="70">
        <v>45017</v>
      </c>
      <c r="B191" s="11" t="s">
        <v>283</v>
      </c>
      <c r="C191" s="7" t="str">
        <f t="shared" si="6"/>
        <v/>
      </c>
    </row>
    <row r="192" spans="1:3" x14ac:dyDescent="0.35">
      <c r="A192" s="70">
        <v>45047</v>
      </c>
      <c r="B192" s="11" t="s">
        <v>283</v>
      </c>
      <c r="C192" s="7" t="str">
        <f t="shared" si="6"/>
        <v/>
      </c>
    </row>
    <row r="193" spans="1:3" x14ac:dyDescent="0.35">
      <c r="A193" s="70">
        <v>45078</v>
      </c>
      <c r="B193" s="11" t="s">
        <v>283</v>
      </c>
      <c r="C193" s="7" t="str">
        <f t="shared" si="6"/>
        <v/>
      </c>
    </row>
    <row r="194" spans="1:3" x14ac:dyDescent="0.35">
      <c r="A194" s="70">
        <v>45108</v>
      </c>
      <c r="B194" s="11" t="s">
        <v>283</v>
      </c>
      <c r="C194" s="7" t="str">
        <f t="shared" si="6"/>
        <v/>
      </c>
    </row>
    <row r="195" spans="1:3" x14ac:dyDescent="0.35">
      <c r="A195" s="70">
        <v>45139</v>
      </c>
      <c r="B195" s="11" t="s">
        <v>283</v>
      </c>
      <c r="C195" s="7" t="str">
        <f t="shared" si="6"/>
        <v/>
      </c>
    </row>
    <row r="196" spans="1:3" x14ac:dyDescent="0.35">
      <c r="A196" s="70">
        <v>45170</v>
      </c>
      <c r="B196" s="11" t="s">
        <v>283</v>
      </c>
      <c r="C196" s="7" t="str">
        <f t="shared" si="6"/>
        <v/>
      </c>
    </row>
    <row r="197" spans="1:3" x14ac:dyDescent="0.35">
      <c r="A197" s="70">
        <v>45200</v>
      </c>
      <c r="B197" s="11" t="s">
        <v>283</v>
      </c>
      <c r="C197" s="7" t="str">
        <f t="shared" si="6"/>
        <v/>
      </c>
    </row>
    <row r="198" spans="1:3" x14ac:dyDescent="0.35">
      <c r="A198" s="70">
        <v>45231</v>
      </c>
      <c r="B198" s="11" t="s">
        <v>283</v>
      </c>
      <c r="C198" s="7" t="str">
        <f t="shared" si="6"/>
        <v/>
      </c>
    </row>
    <row r="199" spans="1:3" x14ac:dyDescent="0.35">
      <c r="A199" s="70">
        <v>45261</v>
      </c>
      <c r="B199" s="11" t="s">
        <v>283</v>
      </c>
      <c r="C199" s="7" t="str">
        <f t="shared" si="6"/>
        <v/>
      </c>
    </row>
    <row r="200" spans="1:3" x14ac:dyDescent="0.35">
      <c r="A200" s="70">
        <v>45292</v>
      </c>
      <c r="B200" s="11" t="s">
        <v>283</v>
      </c>
      <c r="C200" s="7" t="str">
        <f t="shared" si="6"/>
        <v/>
      </c>
    </row>
    <row r="201" spans="1:3" x14ac:dyDescent="0.35">
      <c r="A201" s="70">
        <v>45323</v>
      </c>
      <c r="B201" s="11" t="s">
        <v>283</v>
      </c>
      <c r="C201" s="7" t="str">
        <f t="shared" si="6"/>
        <v/>
      </c>
    </row>
    <row r="202" spans="1:3" x14ac:dyDescent="0.35">
      <c r="A202" s="70">
        <v>45352</v>
      </c>
      <c r="B202" s="11" t="s">
        <v>283</v>
      </c>
      <c r="C202" s="7" t="str">
        <f t="shared" si="6"/>
        <v/>
      </c>
    </row>
    <row r="203" spans="1:3" x14ac:dyDescent="0.35">
      <c r="A203" s="70">
        <v>45383</v>
      </c>
      <c r="B203" s="11" t="s">
        <v>283</v>
      </c>
      <c r="C203" s="7" t="str">
        <f t="shared" si="6"/>
        <v/>
      </c>
    </row>
    <row r="204" spans="1:3" x14ac:dyDescent="0.35">
      <c r="A204" s="70">
        <v>45413</v>
      </c>
      <c r="B204" s="11" t="s">
        <v>283</v>
      </c>
      <c r="C204" s="7" t="str">
        <f t="shared" si="6"/>
        <v/>
      </c>
    </row>
    <row r="205" spans="1:3" x14ac:dyDescent="0.35">
      <c r="A205" s="70">
        <v>45444</v>
      </c>
      <c r="B205" s="11" t="s">
        <v>283</v>
      </c>
      <c r="C205" s="7" t="str">
        <f t="shared" si="6"/>
        <v/>
      </c>
    </row>
    <row r="206" spans="1:3" x14ac:dyDescent="0.35">
      <c r="A206" s="70">
        <v>45474</v>
      </c>
      <c r="B206" s="11" t="s">
        <v>283</v>
      </c>
      <c r="C206" s="7" t="str">
        <f t="shared" si="6"/>
        <v/>
      </c>
    </row>
    <row r="207" spans="1:3" x14ac:dyDescent="0.35">
      <c r="A207" s="70">
        <v>45505</v>
      </c>
      <c r="B207" s="11" t="s">
        <v>283</v>
      </c>
      <c r="C207" s="7" t="str">
        <f t="shared" si="6"/>
        <v/>
      </c>
    </row>
    <row r="208" spans="1:3" x14ac:dyDescent="0.35">
      <c r="A208" s="70">
        <v>45536</v>
      </c>
      <c r="B208" s="11" t="s">
        <v>283</v>
      </c>
      <c r="C208" s="7" t="str">
        <f t="shared" si="6"/>
        <v/>
      </c>
    </row>
    <row r="209" spans="1:3" x14ac:dyDescent="0.35">
      <c r="A209" s="70">
        <v>45566</v>
      </c>
      <c r="B209" s="11" t="s">
        <v>283</v>
      </c>
      <c r="C209" s="7" t="str">
        <f t="shared" si="6"/>
        <v/>
      </c>
    </row>
    <row r="210" spans="1:3" x14ac:dyDescent="0.35">
      <c r="A210" s="70">
        <v>45597</v>
      </c>
      <c r="B210" s="11" t="s">
        <v>283</v>
      </c>
      <c r="C210" s="7" t="str">
        <f t="shared" si="6"/>
        <v/>
      </c>
    </row>
    <row r="211" spans="1:3" x14ac:dyDescent="0.35">
      <c r="A211" s="70">
        <v>45627</v>
      </c>
      <c r="B211" s="11" t="s">
        <v>283</v>
      </c>
      <c r="C211" s="7" t="str">
        <f t="shared" si="6"/>
        <v/>
      </c>
    </row>
    <row r="212" spans="1:3" x14ac:dyDescent="0.35">
      <c r="A212" s="70">
        <v>45658</v>
      </c>
      <c r="B212" s="11" t="s">
        <v>283</v>
      </c>
      <c r="C212" s="7" t="str">
        <f t="shared" si="6"/>
        <v/>
      </c>
    </row>
    <row r="213" spans="1:3" x14ac:dyDescent="0.35">
      <c r="A213" s="70">
        <v>45689</v>
      </c>
      <c r="B213" s="11" t="s">
        <v>283</v>
      </c>
      <c r="C213" s="7" t="str">
        <f t="shared" si="6"/>
        <v/>
      </c>
    </row>
    <row r="214" spans="1:3" x14ac:dyDescent="0.35">
      <c r="A214" s="70">
        <v>45717</v>
      </c>
      <c r="B214" s="11" t="s">
        <v>283</v>
      </c>
      <c r="C214" s="7" t="str">
        <f t="shared" si="6"/>
        <v/>
      </c>
    </row>
    <row r="215" spans="1:3" x14ac:dyDescent="0.35">
      <c r="A215" s="70">
        <v>45748</v>
      </c>
      <c r="B215" s="11" t="s">
        <v>283</v>
      </c>
      <c r="C215" s="7" t="str">
        <f t="shared" si="6"/>
        <v/>
      </c>
    </row>
    <row r="216" spans="1:3" x14ac:dyDescent="0.35">
      <c r="A216" s="70">
        <v>45778</v>
      </c>
      <c r="B216" s="11" t="s">
        <v>283</v>
      </c>
      <c r="C216" s="7" t="str">
        <f t="shared" si="6"/>
        <v/>
      </c>
    </row>
    <row r="217" spans="1:3" x14ac:dyDescent="0.35">
      <c r="A217" s="70">
        <v>45809</v>
      </c>
      <c r="B217" s="11" t="s">
        <v>283</v>
      </c>
      <c r="C217" s="7" t="str">
        <f t="shared" si="6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7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7"/>
        <v/>
      </c>
    </row>
    <row r="220" spans="1:3" x14ac:dyDescent="0.35">
      <c r="A220" s="70">
        <v>45901</v>
      </c>
      <c r="B220" s="11" t="s">
        <v>283</v>
      </c>
      <c r="C220" s="7" t="str">
        <f t="shared" si="7"/>
        <v/>
      </c>
    </row>
    <row r="221" spans="1:3" x14ac:dyDescent="0.35">
      <c r="A221" s="70">
        <v>45931</v>
      </c>
      <c r="B221" s="11" t="s">
        <v>283</v>
      </c>
      <c r="C221" s="7" t="str">
        <f t="shared" si="7"/>
        <v/>
      </c>
    </row>
    <row r="222" spans="1:3" x14ac:dyDescent="0.35">
      <c r="A222" s="70">
        <v>45962</v>
      </c>
      <c r="B222" s="11" t="s">
        <v>283</v>
      </c>
      <c r="C222" s="7" t="str">
        <f t="shared" si="7"/>
        <v/>
      </c>
    </row>
    <row r="223" spans="1:3" x14ac:dyDescent="0.35">
      <c r="A223" s="70">
        <v>45992</v>
      </c>
      <c r="B223" s="11" t="s">
        <v>283</v>
      </c>
      <c r="C223" s="7" t="str">
        <f t="shared" si="7"/>
        <v/>
      </c>
    </row>
    <row r="224" spans="1:3" x14ac:dyDescent="0.35">
      <c r="A224" s="70">
        <v>46023</v>
      </c>
      <c r="B224" s="11" t="s">
        <v>283</v>
      </c>
      <c r="C224" s="7" t="str">
        <f t="shared" si="7"/>
        <v/>
      </c>
    </row>
    <row r="225" spans="1:3" x14ac:dyDescent="0.35">
      <c r="A225" s="70">
        <v>46054</v>
      </c>
      <c r="B225" s="11" t="s">
        <v>283</v>
      </c>
      <c r="C225" s="7" t="str">
        <f t="shared" si="7"/>
        <v/>
      </c>
    </row>
    <row r="226" spans="1:3" x14ac:dyDescent="0.35">
      <c r="A226" s="70">
        <v>46082</v>
      </c>
      <c r="B226" s="11" t="s">
        <v>283</v>
      </c>
      <c r="C226" s="7" t="str">
        <f t="shared" si="7"/>
        <v/>
      </c>
    </row>
    <row r="227" spans="1:3" x14ac:dyDescent="0.35">
      <c r="A227" s="70">
        <v>46113</v>
      </c>
      <c r="B227" s="11" t="s">
        <v>283</v>
      </c>
      <c r="C227" s="7" t="str">
        <f t="shared" si="7"/>
        <v/>
      </c>
    </row>
    <row r="228" spans="1:3" x14ac:dyDescent="0.35">
      <c r="A228" s="70">
        <v>46143</v>
      </c>
      <c r="B228" s="11" t="s">
        <v>283</v>
      </c>
      <c r="C228" s="7" t="str">
        <f t="shared" si="7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0:I228"/>
  <sheetViews>
    <sheetView topLeftCell="A40" zoomScale="70" zoomScaleNormal="70" workbookViewId="0">
      <pane xSplit="1" ySplit="1" topLeftCell="B62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08984375" style="7"/>
    <col min="2" max="2" width="23.81640625" style="15" customWidth="1"/>
    <col min="3" max="3" width="12.26953125" style="7" customWidth="1"/>
    <col min="4" max="4" width="28.6328125" style="1" customWidth="1"/>
  </cols>
  <sheetData>
    <row r="40" spans="1:4" x14ac:dyDescent="0.35">
      <c r="A40" s="69" t="s">
        <v>0</v>
      </c>
      <c r="B40" s="15" t="s">
        <v>14</v>
      </c>
      <c r="C40" s="7" t="s">
        <v>1</v>
      </c>
      <c r="D40" s="1" t="s">
        <v>92</v>
      </c>
    </row>
    <row r="41" spans="1:4" x14ac:dyDescent="0.35">
      <c r="A41" s="70">
        <v>40452</v>
      </c>
      <c r="B41" s="11">
        <v>60.5</v>
      </c>
    </row>
    <row r="42" spans="1:4" x14ac:dyDescent="0.35">
      <c r="A42" s="70">
        <v>40483</v>
      </c>
      <c r="B42" s="11">
        <v>53.2</v>
      </c>
      <c r="C42" s="14">
        <f>B42-B41</f>
        <v>-7.2999999999999972</v>
      </c>
    </row>
    <row r="43" spans="1:4" x14ac:dyDescent="0.35">
      <c r="A43" s="70">
        <v>40513</v>
      </c>
      <c r="B43" s="11">
        <v>48.1</v>
      </c>
      <c r="C43" s="14">
        <f t="shared" ref="C43:C83" si="0">B43-B42</f>
        <v>-5.1000000000000014</v>
      </c>
      <c r="D43" s="1">
        <v>2.4E-2</v>
      </c>
    </row>
    <row r="44" spans="1:4" x14ac:dyDescent="0.35">
      <c r="A44" s="70">
        <v>40544</v>
      </c>
      <c r="B44" s="11">
        <v>46.5</v>
      </c>
      <c r="C44" s="14">
        <f t="shared" si="0"/>
        <v>-1.6000000000000014</v>
      </c>
    </row>
    <row r="45" spans="1:4" x14ac:dyDescent="0.35">
      <c r="A45" s="70">
        <v>40575</v>
      </c>
      <c r="B45" s="11">
        <v>44.1</v>
      </c>
      <c r="C45" s="14">
        <f t="shared" si="0"/>
        <v>-2.3999999999999986</v>
      </c>
    </row>
    <row r="46" spans="1:4" x14ac:dyDescent="0.35">
      <c r="A46" s="70">
        <v>40603</v>
      </c>
      <c r="B46" s="11">
        <v>60.2</v>
      </c>
      <c r="C46" s="14">
        <f t="shared" si="0"/>
        <v>16.100000000000001</v>
      </c>
      <c r="D46" s="1">
        <v>2.3E-2</v>
      </c>
    </row>
    <row r="47" spans="1:4" x14ac:dyDescent="0.35">
      <c r="A47" s="70">
        <v>40634</v>
      </c>
      <c r="B47" s="11">
        <v>62.5</v>
      </c>
      <c r="C47" s="14">
        <f t="shared" si="0"/>
        <v>2.2999999999999972</v>
      </c>
    </row>
    <row r="48" spans="1:4" x14ac:dyDescent="0.35">
      <c r="A48" s="70">
        <v>40664</v>
      </c>
      <c r="B48" s="11">
        <v>61.9</v>
      </c>
      <c r="C48" s="14">
        <f t="shared" si="0"/>
        <v>-0.60000000000000142</v>
      </c>
    </row>
    <row r="49" spans="1:4" x14ac:dyDescent="0.35">
      <c r="A49" s="70">
        <v>40695</v>
      </c>
      <c r="B49" s="11">
        <v>57</v>
      </c>
      <c r="C49" s="14">
        <f t="shared" si="0"/>
        <v>-4.8999999999999986</v>
      </c>
      <c r="D49" s="1">
        <v>2.5000000000000001E-2</v>
      </c>
    </row>
    <row r="50" spans="1:4" x14ac:dyDescent="0.35">
      <c r="A50" s="70">
        <v>40725</v>
      </c>
      <c r="B50" s="11">
        <v>59.6</v>
      </c>
      <c r="C50" s="14">
        <f t="shared" si="0"/>
        <v>2.6000000000000014</v>
      </c>
    </row>
    <row r="51" spans="1:4" x14ac:dyDescent="0.35">
      <c r="A51" s="70">
        <v>40756</v>
      </c>
      <c r="B51" s="11">
        <v>58.1</v>
      </c>
      <c r="C51" s="14">
        <f t="shared" si="0"/>
        <v>-1.5</v>
      </c>
    </row>
    <row r="52" spans="1:4" x14ac:dyDescent="0.35">
      <c r="A52" s="70">
        <v>40787</v>
      </c>
      <c r="B52" s="11">
        <v>57</v>
      </c>
      <c r="C52" s="14">
        <f t="shared" si="0"/>
        <v>-1.1000000000000014</v>
      </c>
      <c r="D52" s="1">
        <v>2.1999999999999999E-2</v>
      </c>
    </row>
    <row r="53" spans="1:4" x14ac:dyDescent="0.35">
      <c r="A53" s="70">
        <v>40817</v>
      </c>
      <c r="B53" s="11">
        <v>54.6</v>
      </c>
      <c r="C53" s="14">
        <f t="shared" si="0"/>
        <v>-2.3999999999999986</v>
      </c>
    </row>
    <row r="54" spans="1:4" x14ac:dyDescent="0.35">
      <c r="A54" s="70">
        <v>40848</v>
      </c>
      <c r="B54" s="11">
        <v>49.7</v>
      </c>
      <c r="C54" s="14">
        <f t="shared" si="0"/>
        <v>-4.8999999999999986</v>
      </c>
    </row>
    <row r="55" spans="1:4" x14ac:dyDescent="0.35">
      <c r="A55" s="70">
        <v>40878</v>
      </c>
      <c r="B55" s="11">
        <v>56</v>
      </c>
      <c r="C55" s="14">
        <f t="shared" si="0"/>
        <v>6.2999999999999972</v>
      </c>
      <c r="D55" s="1">
        <v>1.7999999999999999E-2</v>
      </c>
    </row>
    <row r="56" spans="1:4" x14ac:dyDescent="0.35">
      <c r="A56" s="70">
        <v>40909</v>
      </c>
      <c r="B56" s="11">
        <v>52.5</v>
      </c>
      <c r="C56" s="14">
        <f t="shared" si="0"/>
        <v>-3.5</v>
      </c>
    </row>
    <row r="57" spans="1:4" x14ac:dyDescent="0.35">
      <c r="A57" s="70">
        <v>40940</v>
      </c>
      <c r="B57" s="11">
        <v>53.9</v>
      </c>
      <c r="C57" s="14">
        <f t="shared" si="0"/>
        <v>1.3999999999999986</v>
      </c>
    </row>
    <row r="58" spans="1:4" x14ac:dyDescent="0.35">
      <c r="A58" s="70">
        <v>40969</v>
      </c>
      <c r="B58" s="11">
        <v>53.3</v>
      </c>
      <c r="C58" s="14">
        <f t="shared" si="0"/>
        <v>-0.60000000000000142</v>
      </c>
      <c r="D58" s="1">
        <v>1.4E-2</v>
      </c>
    </row>
    <row r="59" spans="1:4" x14ac:dyDescent="0.35">
      <c r="A59" s="70">
        <v>41000</v>
      </c>
      <c r="B59" s="11">
        <v>54.1</v>
      </c>
      <c r="C59" s="14">
        <f t="shared" si="0"/>
        <v>0.80000000000000426</v>
      </c>
    </row>
    <row r="60" spans="1:4" x14ac:dyDescent="0.35">
      <c r="A60" s="70">
        <v>41030</v>
      </c>
      <c r="B60" s="11">
        <v>54.7</v>
      </c>
      <c r="C60" s="14">
        <f t="shared" si="0"/>
        <v>0.60000000000000142</v>
      </c>
    </row>
    <row r="61" spans="1:4" x14ac:dyDescent="0.35">
      <c r="A61" s="70">
        <v>41061</v>
      </c>
      <c r="B61" s="11">
        <v>52.3</v>
      </c>
      <c r="C61" s="14">
        <f t="shared" si="0"/>
        <v>-2.4000000000000057</v>
      </c>
      <c r="D61" s="1">
        <v>2.1000000000000001E-2</v>
      </c>
    </row>
    <row r="62" spans="1:4" x14ac:dyDescent="0.35">
      <c r="A62" s="70">
        <v>41091</v>
      </c>
      <c r="B62" s="11">
        <v>53.1</v>
      </c>
      <c r="C62" s="14">
        <f t="shared" si="0"/>
        <v>0.80000000000000426</v>
      </c>
    </row>
    <row r="63" spans="1:4" x14ac:dyDescent="0.35">
      <c r="A63" s="70">
        <v>41122</v>
      </c>
      <c r="B63" s="11">
        <v>52</v>
      </c>
      <c r="C63" s="14">
        <f t="shared" si="0"/>
        <v>-1.1000000000000014</v>
      </c>
    </row>
    <row r="64" spans="1:4" x14ac:dyDescent="0.35">
      <c r="A64" s="70">
        <v>41153</v>
      </c>
      <c r="B64" s="11">
        <v>54.3</v>
      </c>
      <c r="C64" s="14">
        <f t="shared" si="0"/>
        <v>2.2999999999999972</v>
      </c>
      <c r="D64" s="1">
        <v>0.02</v>
      </c>
    </row>
    <row r="65" spans="1:4" x14ac:dyDescent="0.35">
      <c r="A65" s="70">
        <v>41183</v>
      </c>
      <c r="B65" s="11">
        <v>53.5</v>
      </c>
      <c r="C65" s="14">
        <f t="shared" si="0"/>
        <v>-0.79999999999999716</v>
      </c>
    </row>
    <row r="66" spans="1:4" x14ac:dyDescent="0.35">
      <c r="A66" s="70">
        <v>41214</v>
      </c>
      <c r="B66" s="11">
        <v>52.1</v>
      </c>
      <c r="C66" s="14">
        <f t="shared" si="0"/>
        <v>-1.3999999999999986</v>
      </c>
    </row>
    <row r="67" spans="1:4" x14ac:dyDescent="0.35">
      <c r="A67" s="70">
        <v>41244</v>
      </c>
      <c r="B67" s="11">
        <v>53.5</v>
      </c>
      <c r="C67" s="14">
        <f t="shared" si="0"/>
        <v>1.3999999999999986</v>
      </c>
      <c r="D67" s="1">
        <v>1.9E-2</v>
      </c>
    </row>
    <row r="68" spans="1:4" x14ac:dyDescent="0.35">
      <c r="A68" s="70">
        <v>41275</v>
      </c>
      <c r="B68" s="11">
        <v>54</v>
      </c>
      <c r="C68" s="14">
        <f t="shared" si="0"/>
        <v>0.5</v>
      </c>
    </row>
    <row r="69" spans="1:4" x14ac:dyDescent="0.35">
      <c r="A69" s="70">
        <v>41306</v>
      </c>
      <c r="B69" s="11">
        <v>52.1</v>
      </c>
      <c r="C69" s="14">
        <f t="shared" si="0"/>
        <v>-1.8999999999999986</v>
      </c>
    </row>
    <row r="70" spans="1:4" x14ac:dyDescent="0.35">
      <c r="A70" s="70">
        <v>41334</v>
      </c>
      <c r="B70" s="11">
        <v>54.3</v>
      </c>
      <c r="C70" s="14">
        <f t="shared" si="0"/>
        <v>2.1999999999999957</v>
      </c>
      <c r="D70" s="1">
        <v>1.4999999999999999E-2</v>
      </c>
    </row>
    <row r="71" spans="1:4" x14ac:dyDescent="0.35">
      <c r="A71" s="70">
        <v>41365</v>
      </c>
      <c r="B71" s="11">
        <v>51.1</v>
      </c>
      <c r="C71" s="14">
        <f t="shared" si="0"/>
        <v>-3.1999999999999957</v>
      </c>
    </row>
    <row r="72" spans="1:4" x14ac:dyDescent="0.35">
      <c r="A72" s="70">
        <v>41395</v>
      </c>
      <c r="B72" s="11">
        <v>51.2</v>
      </c>
      <c r="C72" s="14">
        <f t="shared" si="0"/>
        <v>0.10000000000000142</v>
      </c>
    </row>
    <row r="73" spans="1:4" x14ac:dyDescent="0.35">
      <c r="A73" s="70">
        <v>41426</v>
      </c>
      <c r="B73" s="11">
        <v>51.3</v>
      </c>
      <c r="C73" s="14">
        <f t="shared" si="0"/>
        <v>9.9999999999994316E-2</v>
      </c>
      <c r="D73" s="1">
        <v>1.7999999999999999E-2</v>
      </c>
    </row>
    <row r="74" spans="1:4" x14ac:dyDescent="0.35">
      <c r="A74" s="70">
        <v>41456</v>
      </c>
      <c r="B74" s="11">
        <v>51.3</v>
      </c>
      <c r="C74" s="14">
        <f t="shared" si="0"/>
        <v>0</v>
      </c>
    </row>
    <row r="75" spans="1:4" x14ac:dyDescent="0.35">
      <c r="A75" s="70">
        <v>41487</v>
      </c>
      <c r="B75" s="11">
        <v>52.8</v>
      </c>
      <c r="C75" s="14">
        <f t="shared" si="0"/>
        <v>1.5</v>
      </c>
    </row>
    <row r="76" spans="1:4" x14ac:dyDescent="0.35">
      <c r="A76" s="70">
        <v>41518</v>
      </c>
      <c r="B76" s="11">
        <v>52.4</v>
      </c>
      <c r="C76" s="14">
        <f t="shared" si="0"/>
        <v>-0.39999999999999858</v>
      </c>
      <c r="D76" s="1">
        <v>2.3E-2</v>
      </c>
    </row>
    <row r="77" spans="1:4" x14ac:dyDescent="0.35">
      <c r="A77" s="70">
        <v>41548</v>
      </c>
      <c r="B77" s="11">
        <v>52.6</v>
      </c>
      <c r="C77" s="14">
        <f t="shared" si="0"/>
        <v>0.20000000000000284</v>
      </c>
    </row>
    <row r="78" spans="1:4" x14ac:dyDescent="0.35">
      <c r="A78" s="70">
        <v>41579</v>
      </c>
      <c r="B78" s="11">
        <v>52.5</v>
      </c>
      <c r="C78" s="14">
        <f t="shared" si="0"/>
        <v>-0.10000000000000142</v>
      </c>
    </row>
    <row r="79" spans="1:4" x14ac:dyDescent="0.35">
      <c r="A79" s="70">
        <v>41609</v>
      </c>
      <c r="B79" s="11">
        <v>51.4</v>
      </c>
      <c r="C79" s="14">
        <f t="shared" si="0"/>
        <v>-1.1000000000000014</v>
      </c>
      <c r="D79" s="1">
        <v>1.7000000000000001E-2</v>
      </c>
    </row>
    <row r="80" spans="1:4" x14ac:dyDescent="0.35">
      <c r="A80" s="70">
        <v>41640</v>
      </c>
      <c r="B80" s="11">
        <v>50.7</v>
      </c>
      <c r="C80" s="14">
        <f t="shared" si="0"/>
        <v>-0.69999999999999574</v>
      </c>
    </row>
    <row r="81" spans="1:9" x14ac:dyDescent="0.35">
      <c r="A81" s="70">
        <v>41671</v>
      </c>
      <c r="B81" s="11">
        <v>51</v>
      </c>
      <c r="C81" s="14">
        <f t="shared" si="0"/>
        <v>0.29999999999999716</v>
      </c>
    </row>
    <row r="82" spans="1:9" x14ac:dyDescent="0.35">
      <c r="A82" s="70">
        <v>41699</v>
      </c>
      <c r="B82" s="11">
        <v>51.9</v>
      </c>
      <c r="C82" s="14">
        <f t="shared" si="0"/>
        <v>0.89999999999999858</v>
      </c>
      <c r="D82" s="1">
        <v>1.4E-2</v>
      </c>
    </row>
    <row r="83" spans="1:9" x14ac:dyDescent="0.35">
      <c r="A83" s="70">
        <v>41730</v>
      </c>
      <c r="B83" s="11">
        <v>51.4</v>
      </c>
      <c r="C83" s="14">
        <f t="shared" si="0"/>
        <v>-0.5</v>
      </c>
    </row>
    <row r="84" spans="1:9" x14ac:dyDescent="0.35">
      <c r="A84" s="70">
        <v>41760</v>
      </c>
      <c r="B84" s="11">
        <v>50.7</v>
      </c>
      <c r="C84" s="14">
        <f t="shared" ref="C84:C87" si="1">B84-B83</f>
        <v>-0.69999999999999574</v>
      </c>
    </row>
    <row r="85" spans="1:9" x14ac:dyDescent="0.35">
      <c r="A85" s="70">
        <v>41791</v>
      </c>
      <c r="B85" s="11">
        <v>53.1</v>
      </c>
      <c r="C85" s="14">
        <f t="shared" si="1"/>
        <v>2.3999999999999986</v>
      </c>
      <c r="D85" s="1">
        <v>1.4999999999999999E-2</v>
      </c>
      <c r="H85" s="41" t="s">
        <v>74</v>
      </c>
      <c r="I85" t="s">
        <v>57</v>
      </c>
    </row>
    <row r="86" spans="1:9" x14ac:dyDescent="0.35">
      <c r="A86" s="70">
        <v>41821</v>
      </c>
      <c r="B86" s="11">
        <v>50</v>
      </c>
      <c r="C86" s="14">
        <f t="shared" si="1"/>
        <v>-3.1000000000000014</v>
      </c>
    </row>
    <row r="87" spans="1:9" x14ac:dyDescent="0.35">
      <c r="A87" s="70">
        <v>41852</v>
      </c>
      <c r="B87" s="11">
        <v>54.1</v>
      </c>
      <c r="C87" s="14">
        <f t="shared" si="1"/>
        <v>4.1000000000000014</v>
      </c>
    </row>
    <row r="88" spans="1:9" x14ac:dyDescent="0.35">
      <c r="A88" s="70">
        <v>41883</v>
      </c>
      <c r="B88" s="11">
        <v>53.5</v>
      </c>
      <c r="C88" s="14">
        <f>IFERROR(B88-B87,"")</f>
        <v>-0.60000000000000142</v>
      </c>
      <c r="D88" s="1">
        <f>IF(VLOOKUP(I85,Data!$A$30:$H$150,7,FALSE)=A87,VLOOKUP(I85,Data!$A$30:$H$150,2,FALSE)/100,#N/A)</f>
        <v>1.9E-2</v>
      </c>
    </row>
    <row r="89" spans="1:9" x14ac:dyDescent="0.35">
      <c r="A89" s="70">
        <v>41913</v>
      </c>
      <c r="B89" s="11">
        <v>52.9</v>
      </c>
      <c r="C89" s="14">
        <v>-0.60000000000000142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 t="s">
        <v>283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0:I228"/>
  <sheetViews>
    <sheetView topLeftCell="A40" zoomScale="70" zoomScaleNormal="70" workbookViewId="0">
      <pane xSplit="1" ySplit="1" topLeftCell="B56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7.26953125" style="8" customWidth="1"/>
    <col min="3" max="3" width="12.26953125" style="7" customWidth="1"/>
    <col min="4" max="4" width="22.81640625" style="1" customWidth="1"/>
  </cols>
  <sheetData>
    <row r="40" spans="1:4" x14ac:dyDescent="0.35">
      <c r="A40" s="69" t="s">
        <v>0</v>
      </c>
      <c r="B40" s="8" t="s">
        <v>11</v>
      </c>
      <c r="C40" s="7" t="s">
        <v>1</v>
      </c>
      <c r="D40" s="1" t="s">
        <v>24</v>
      </c>
    </row>
    <row r="41" spans="1:4" x14ac:dyDescent="0.35">
      <c r="A41" s="70">
        <v>40452</v>
      </c>
      <c r="B41" s="11">
        <v>50.7</v>
      </c>
    </row>
    <row r="42" spans="1:4" x14ac:dyDescent="0.35">
      <c r="A42" s="70">
        <v>40483</v>
      </c>
      <c r="B42" s="11">
        <v>46.2</v>
      </c>
      <c r="C42" s="14">
        <f>B42-B41</f>
        <v>-4.5</v>
      </c>
    </row>
    <row r="43" spans="1:4" x14ac:dyDescent="0.35">
      <c r="A43" s="70">
        <v>40513</v>
      </c>
      <c r="B43" s="11">
        <v>47.1</v>
      </c>
      <c r="C43" s="14">
        <f t="shared" ref="C43:C83" si="0">B43-B42</f>
        <v>0.89999999999999858</v>
      </c>
      <c r="D43" s="1">
        <v>6.0000000000000001E-3</v>
      </c>
    </row>
    <row r="44" spans="1:4" x14ac:dyDescent="0.35">
      <c r="A44" s="70">
        <v>40544</v>
      </c>
      <c r="B44" s="11">
        <v>45.5</v>
      </c>
      <c r="C44" s="14">
        <f t="shared" si="0"/>
        <v>-1.6000000000000014</v>
      </c>
    </row>
    <row r="45" spans="1:4" x14ac:dyDescent="0.35">
      <c r="A45" s="70">
        <v>40575</v>
      </c>
      <c r="B45" s="11">
        <v>48.7</v>
      </c>
      <c r="C45" s="14">
        <f t="shared" si="0"/>
        <v>3.2000000000000028</v>
      </c>
    </row>
    <row r="46" spans="1:4" x14ac:dyDescent="0.35">
      <c r="A46" s="70">
        <v>40603</v>
      </c>
      <c r="B46" s="11">
        <v>46.5</v>
      </c>
      <c r="C46" s="14">
        <f t="shared" si="0"/>
        <v>-2.2000000000000028</v>
      </c>
      <c r="D46" s="1">
        <v>-5.0000000000000001E-3</v>
      </c>
    </row>
    <row r="47" spans="1:4" x14ac:dyDescent="0.35">
      <c r="A47" s="70">
        <v>40634</v>
      </c>
      <c r="B47" s="11">
        <v>51.5</v>
      </c>
      <c r="C47" s="14">
        <f t="shared" si="0"/>
        <v>5</v>
      </c>
    </row>
    <row r="48" spans="1:4" x14ac:dyDescent="0.35">
      <c r="A48" s="70">
        <v>40664</v>
      </c>
      <c r="B48" s="11">
        <v>49.9</v>
      </c>
      <c r="C48" s="14">
        <f t="shared" si="0"/>
        <v>-1.6000000000000014</v>
      </c>
    </row>
    <row r="49" spans="1:4" x14ac:dyDescent="0.35">
      <c r="A49" s="70">
        <v>40695</v>
      </c>
      <c r="B49" s="11">
        <v>48.5</v>
      </c>
      <c r="C49" s="14">
        <f t="shared" si="0"/>
        <v>-1.3999999999999986</v>
      </c>
      <c r="D49" s="1">
        <v>1.2E-2</v>
      </c>
    </row>
    <row r="50" spans="1:4" x14ac:dyDescent="0.35">
      <c r="A50" s="70">
        <v>40725</v>
      </c>
      <c r="B50" s="11">
        <v>48.8</v>
      </c>
      <c r="C50" s="14">
        <f t="shared" si="0"/>
        <v>0.29999999999999716</v>
      </c>
    </row>
    <row r="51" spans="1:4" x14ac:dyDescent="0.35">
      <c r="A51" s="70">
        <v>40756</v>
      </c>
      <c r="B51" s="11">
        <v>52.1</v>
      </c>
      <c r="C51" s="14">
        <f t="shared" si="0"/>
        <v>3.3000000000000043</v>
      </c>
    </row>
    <row r="52" spans="1:4" x14ac:dyDescent="0.35">
      <c r="A52" s="70">
        <v>40787</v>
      </c>
      <c r="B52" s="11">
        <v>50.3</v>
      </c>
      <c r="C52" s="14">
        <f t="shared" si="0"/>
        <v>-1.8000000000000043</v>
      </c>
      <c r="D52" s="1">
        <v>1.2E-2</v>
      </c>
    </row>
    <row r="53" spans="1:4" x14ac:dyDescent="0.35">
      <c r="A53" s="70">
        <v>40817</v>
      </c>
      <c r="B53" s="11">
        <v>48.8</v>
      </c>
      <c r="C53" s="14">
        <f t="shared" si="0"/>
        <v>-1.5</v>
      </c>
    </row>
    <row r="54" spans="1:4" x14ac:dyDescent="0.35">
      <c r="A54" s="70">
        <v>40848</v>
      </c>
      <c r="B54" s="11">
        <v>47.7</v>
      </c>
      <c r="C54" s="14">
        <f t="shared" si="0"/>
        <v>-1.0999999999999943</v>
      </c>
    </row>
    <row r="55" spans="1:4" x14ac:dyDescent="0.35">
      <c r="A55" s="70">
        <v>40878</v>
      </c>
      <c r="B55" s="11">
        <v>49</v>
      </c>
      <c r="C55" s="14">
        <f t="shared" si="0"/>
        <v>1.2999999999999972</v>
      </c>
      <c r="D55" s="1">
        <v>6.0000000000000001E-3</v>
      </c>
    </row>
    <row r="56" spans="1:4" x14ac:dyDescent="0.35">
      <c r="A56" s="70">
        <v>40909</v>
      </c>
      <c r="B56" s="11">
        <v>51.9</v>
      </c>
      <c r="C56" s="14">
        <f t="shared" si="0"/>
        <v>2.8999999999999986</v>
      </c>
    </row>
    <row r="57" spans="1:4" x14ac:dyDescent="0.35">
      <c r="A57" s="70">
        <v>40940</v>
      </c>
      <c r="B57" s="11">
        <v>46.7</v>
      </c>
      <c r="C57" s="14">
        <f t="shared" si="0"/>
        <v>-5.1999999999999957</v>
      </c>
    </row>
    <row r="58" spans="1:4" x14ac:dyDescent="0.35">
      <c r="A58" s="70">
        <v>40969</v>
      </c>
      <c r="B58" s="11">
        <v>47</v>
      </c>
      <c r="C58" s="14">
        <f t="shared" si="0"/>
        <v>0.29999999999999716</v>
      </c>
      <c r="D58" s="1">
        <v>1.2999999999999999E-2</v>
      </c>
    </row>
    <row r="59" spans="1:4" x14ac:dyDescent="0.35">
      <c r="A59" s="70">
        <v>41000</v>
      </c>
      <c r="B59" s="11">
        <v>39.6</v>
      </c>
      <c r="C59" s="14">
        <f t="shared" si="0"/>
        <v>-7.3999999999999986</v>
      </c>
    </row>
    <row r="60" spans="1:4" x14ac:dyDescent="0.35">
      <c r="A60" s="70">
        <v>41030</v>
      </c>
      <c r="B60" s="11">
        <v>43.5</v>
      </c>
      <c r="C60" s="14">
        <f t="shared" si="0"/>
        <v>3.8999999999999986</v>
      </c>
    </row>
    <row r="61" spans="1:4" x14ac:dyDescent="0.35">
      <c r="A61" s="70">
        <v>41061</v>
      </c>
      <c r="B61" s="11">
        <v>48.8</v>
      </c>
      <c r="C61" s="14">
        <f t="shared" si="0"/>
        <v>5.2999999999999972</v>
      </c>
      <c r="D61" s="1">
        <v>5.0000000000000001E-3</v>
      </c>
    </row>
    <row r="62" spans="1:4" x14ac:dyDescent="0.35">
      <c r="A62" s="70">
        <v>41091</v>
      </c>
      <c r="B62" s="11">
        <v>46.5</v>
      </c>
      <c r="C62" s="14">
        <f t="shared" si="0"/>
        <v>-2.2999999999999972</v>
      </c>
    </row>
    <row r="63" spans="1:4" x14ac:dyDescent="0.35">
      <c r="A63" s="70">
        <v>41122</v>
      </c>
      <c r="B63" s="11">
        <v>42.4</v>
      </c>
      <c r="C63" s="14">
        <f t="shared" si="0"/>
        <v>-4.1000000000000014</v>
      </c>
    </row>
    <row r="64" spans="1:4" x14ac:dyDescent="0.35">
      <c r="A64" s="70">
        <v>41153</v>
      </c>
      <c r="B64" s="11">
        <v>41.9</v>
      </c>
      <c r="C64" s="14">
        <f t="shared" si="0"/>
        <v>-0.5</v>
      </c>
      <c r="D64" s="1">
        <v>8.0000000000000002E-3</v>
      </c>
    </row>
    <row r="65" spans="1:4" x14ac:dyDescent="0.35">
      <c r="A65" s="70">
        <v>41183</v>
      </c>
      <c r="B65" s="11">
        <v>42.8</v>
      </c>
      <c r="C65" s="14">
        <f t="shared" si="0"/>
        <v>0.89999999999999858</v>
      </c>
    </row>
    <row r="66" spans="1:4" x14ac:dyDescent="0.35">
      <c r="A66" s="70">
        <v>41214</v>
      </c>
      <c r="B66" s="11">
        <v>47.1</v>
      </c>
      <c r="C66" s="14">
        <f t="shared" si="0"/>
        <v>4.3000000000000043</v>
      </c>
    </row>
    <row r="67" spans="1:4" x14ac:dyDescent="0.35">
      <c r="A67" s="70">
        <v>41244</v>
      </c>
      <c r="B67" s="11">
        <v>46.3</v>
      </c>
      <c r="C67" s="14">
        <f t="shared" si="0"/>
        <v>-0.80000000000000426</v>
      </c>
      <c r="D67" s="1">
        <v>7.0000000000000001E-3</v>
      </c>
    </row>
    <row r="68" spans="1:4" x14ac:dyDescent="0.35">
      <c r="A68" s="70">
        <v>41275</v>
      </c>
      <c r="B68" s="11">
        <v>45.4</v>
      </c>
      <c r="C68" s="14">
        <f t="shared" si="0"/>
        <v>-0.89999999999999858</v>
      </c>
    </row>
    <row r="69" spans="1:4" x14ac:dyDescent="0.35">
      <c r="A69" s="70">
        <v>41306</v>
      </c>
      <c r="B69" s="11">
        <v>48.5</v>
      </c>
      <c r="C69" s="14">
        <f t="shared" si="0"/>
        <v>3.1000000000000014</v>
      </c>
    </row>
    <row r="70" spans="1:4" x14ac:dyDescent="0.35">
      <c r="A70" s="70">
        <v>41334</v>
      </c>
      <c r="B70" s="11">
        <v>49.6</v>
      </c>
      <c r="C70" s="14">
        <f t="shared" si="0"/>
        <v>1.1000000000000014</v>
      </c>
      <c r="D70" s="1">
        <v>5.0000000000000001E-3</v>
      </c>
    </row>
    <row r="71" spans="1:4" x14ac:dyDescent="0.35">
      <c r="A71" s="70">
        <v>41365</v>
      </c>
      <c r="B71" s="11">
        <v>44.1</v>
      </c>
      <c r="C71" s="14">
        <f t="shared" si="0"/>
        <v>-5.5</v>
      </c>
    </row>
    <row r="72" spans="1:4" x14ac:dyDescent="0.35">
      <c r="A72" s="70">
        <v>41395</v>
      </c>
      <c r="B72" s="11">
        <v>40.6</v>
      </c>
      <c r="C72" s="14">
        <f t="shared" si="0"/>
        <v>-3.5</v>
      </c>
    </row>
    <row r="73" spans="1:4" x14ac:dyDescent="0.35">
      <c r="A73" s="70">
        <v>41426</v>
      </c>
      <c r="B73" s="11">
        <v>41.5</v>
      </c>
      <c r="C73" s="14">
        <f t="shared" si="0"/>
        <v>0.89999999999999858</v>
      </c>
      <c r="D73" s="1">
        <v>7.0000000000000001E-3</v>
      </c>
    </row>
    <row r="74" spans="1:4" x14ac:dyDescent="0.35">
      <c r="A74" s="70">
        <v>41456</v>
      </c>
      <c r="B74" s="11">
        <v>39.4</v>
      </c>
      <c r="C74" s="14">
        <f t="shared" si="0"/>
        <v>-2.1000000000000014</v>
      </c>
    </row>
    <row r="75" spans="1:4" x14ac:dyDescent="0.35">
      <c r="A75" s="70">
        <v>41487</v>
      </c>
      <c r="B75" s="11">
        <v>39</v>
      </c>
      <c r="C75" s="14">
        <f t="shared" si="0"/>
        <v>-0.39999999999999858</v>
      </c>
    </row>
    <row r="76" spans="1:4" x14ac:dyDescent="0.35">
      <c r="A76" s="70">
        <v>41518</v>
      </c>
      <c r="B76" s="11">
        <v>47.1</v>
      </c>
      <c r="C76" s="14">
        <f t="shared" si="0"/>
        <v>8.1000000000000014</v>
      </c>
      <c r="D76" s="1">
        <v>6.0000000000000001E-3</v>
      </c>
    </row>
    <row r="77" spans="1:4" x14ac:dyDescent="0.35">
      <c r="A77" s="70">
        <v>41548</v>
      </c>
      <c r="B77" s="11">
        <v>47.9</v>
      </c>
      <c r="C77" s="14">
        <f t="shared" si="0"/>
        <v>0.79999999999999716</v>
      </c>
    </row>
    <row r="78" spans="1:4" x14ac:dyDescent="0.35">
      <c r="A78" s="70">
        <v>41579</v>
      </c>
      <c r="B78" s="11">
        <v>48.9</v>
      </c>
      <c r="C78" s="14">
        <f t="shared" si="0"/>
        <v>1</v>
      </c>
    </row>
    <row r="79" spans="1:4" x14ac:dyDescent="0.35">
      <c r="A79" s="70">
        <v>41609</v>
      </c>
      <c r="B79" s="11">
        <v>46.1</v>
      </c>
      <c r="C79" s="14">
        <f t="shared" si="0"/>
        <v>-2.7999999999999972</v>
      </c>
      <c r="D79" s="1">
        <v>8.0000000000000002E-3</v>
      </c>
    </row>
    <row r="80" spans="1:4" x14ac:dyDescent="0.35">
      <c r="A80" s="70">
        <v>41640</v>
      </c>
      <c r="B80" s="11">
        <v>49.3</v>
      </c>
      <c r="C80" s="14">
        <f t="shared" si="0"/>
        <v>3.1999999999999957</v>
      </c>
    </row>
    <row r="81" spans="1:9" x14ac:dyDescent="0.35">
      <c r="A81" s="70">
        <v>41671</v>
      </c>
      <c r="B81" s="11">
        <v>55.2</v>
      </c>
      <c r="C81" s="14">
        <f t="shared" si="0"/>
        <v>5.9000000000000057</v>
      </c>
    </row>
    <row r="82" spans="1:9" x14ac:dyDescent="0.35">
      <c r="A82" s="70">
        <v>41699</v>
      </c>
      <c r="B82" s="11">
        <v>48.9</v>
      </c>
      <c r="C82" s="14">
        <f t="shared" si="0"/>
        <v>-6.3000000000000043</v>
      </c>
      <c r="D82" s="1">
        <v>1.0999999999999999E-2</v>
      </c>
    </row>
    <row r="83" spans="1:9" x14ac:dyDescent="0.35">
      <c r="A83" s="70">
        <v>41730</v>
      </c>
      <c r="B83" s="11">
        <v>48.6</v>
      </c>
      <c r="C83" s="14">
        <f t="shared" si="0"/>
        <v>-0.29999999999999716</v>
      </c>
    </row>
    <row r="84" spans="1:9" x14ac:dyDescent="0.35">
      <c r="A84" s="70">
        <v>41760</v>
      </c>
      <c r="B84" s="11">
        <v>49.9</v>
      </c>
      <c r="C84" s="14">
        <f t="shared" ref="C84:C87" si="1">B84-B83</f>
        <v>1.2999999999999972</v>
      </c>
    </row>
    <row r="85" spans="1:9" x14ac:dyDescent="0.35">
      <c r="A85" s="70">
        <v>41791</v>
      </c>
      <c r="B85" s="11">
        <v>47.6</v>
      </c>
      <c r="C85" s="14">
        <f t="shared" si="1"/>
        <v>-2.2999999999999972</v>
      </c>
      <c r="D85" s="1">
        <v>5.0000000000000001E-3</v>
      </c>
      <c r="H85" s="41" t="s">
        <v>71</v>
      </c>
      <c r="I85" t="s">
        <v>43</v>
      </c>
    </row>
    <row r="86" spans="1:9" x14ac:dyDescent="0.35">
      <c r="A86" s="70">
        <v>41821</v>
      </c>
      <c r="B86" s="11">
        <v>49.3</v>
      </c>
      <c r="C86" s="14">
        <f t="shared" si="1"/>
        <v>1.6999999999999957</v>
      </c>
    </row>
    <row r="87" spans="1:9" x14ac:dyDescent="0.35">
      <c r="A87" s="70">
        <v>41852</v>
      </c>
      <c r="B87" s="11">
        <v>49.4</v>
      </c>
      <c r="C87" s="14">
        <f t="shared" si="1"/>
        <v>0.10000000000000142</v>
      </c>
    </row>
    <row r="88" spans="1:9" x14ac:dyDescent="0.35">
      <c r="A88" s="70">
        <v>41883</v>
      </c>
      <c r="B88" s="11">
        <v>45.5</v>
      </c>
      <c r="C88" s="14">
        <f>IFERROR(B88-B87,"")</f>
        <v>-3.8999999999999986</v>
      </c>
      <c r="D88" s="1">
        <f>IF(VLOOKUP(I85,Data!$A$30:$H$150,7,FALSE)=A87,VLOOKUP(I85,Data!$A$30:$H$150,2,FALSE)/100,#N/A)</f>
        <v>3.0000000000000001E-3</v>
      </c>
    </row>
    <row r="89" spans="1:9" x14ac:dyDescent="0.35">
      <c r="A89" s="70">
        <v>41913</v>
      </c>
      <c r="B89" s="11">
        <v>43.6</v>
      </c>
      <c r="C89" s="14">
        <v>-1.8999999999999986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 t="s">
        <v>283</v>
      </c>
      <c r="C228" s="7" t="str">
        <f t="shared" si="6"/>
        <v/>
      </c>
    </row>
  </sheetData>
  <conditionalFormatting sqref="B41:B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40:I228"/>
  <sheetViews>
    <sheetView topLeftCell="A40" zoomScale="70" zoomScaleNormal="70" workbookViewId="0">
      <pane xSplit="1" ySplit="1" topLeftCell="B62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4.26953125" style="8" customWidth="1"/>
    <col min="3" max="3" width="12.26953125" style="7" customWidth="1"/>
    <col min="4" max="4" width="29" style="1" customWidth="1"/>
  </cols>
  <sheetData>
    <row r="40" spans="1:4" x14ac:dyDescent="0.35">
      <c r="A40" s="69" t="s">
        <v>0</v>
      </c>
      <c r="B40" s="8" t="s">
        <v>12</v>
      </c>
      <c r="C40" s="7" t="s">
        <v>1</v>
      </c>
      <c r="D40" s="1" t="s">
        <v>25</v>
      </c>
    </row>
    <row r="41" spans="1:4" x14ac:dyDescent="0.35">
      <c r="A41" s="70">
        <v>40452</v>
      </c>
      <c r="B41" s="11">
        <v>47.2</v>
      </c>
    </row>
    <row r="42" spans="1:4" x14ac:dyDescent="0.35">
      <c r="A42" s="70">
        <v>40483</v>
      </c>
      <c r="B42" s="11">
        <v>49.5</v>
      </c>
      <c r="C42" s="14">
        <f>B42-B41</f>
        <v>2.2999999999999972</v>
      </c>
    </row>
    <row r="43" spans="1:4" x14ac:dyDescent="0.35">
      <c r="A43" s="70">
        <v>40513</v>
      </c>
      <c r="B43" s="11">
        <v>50.1</v>
      </c>
      <c r="C43" s="14">
        <f t="shared" ref="C43:C83" si="0">B43-B42</f>
        <v>0.60000000000000142</v>
      </c>
      <c r="D43" s="1">
        <v>-5.0000000000000001E-3</v>
      </c>
    </row>
    <row r="44" spans="1:4" x14ac:dyDescent="0.35">
      <c r="A44" s="70">
        <v>40544</v>
      </c>
      <c r="B44" s="11">
        <v>48.1</v>
      </c>
      <c r="C44" s="14">
        <f t="shared" si="0"/>
        <v>-2</v>
      </c>
    </row>
    <row r="45" spans="1:4" x14ac:dyDescent="0.35">
      <c r="A45" s="70">
        <v>40575</v>
      </c>
      <c r="B45" s="11">
        <v>49.8</v>
      </c>
      <c r="C45" s="14">
        <f t="shared" si="0"/>
        <v>1.6999999999999957</v>
      </c>
    </row>
    <row r="46" spans="1:4" x14ac:dyDescent="0.35">
      <c r="A46" s="70">
        <v>40603</v>
      </c>
      <c r="B46" s="11">
        <v>35.299999999999997</v>
      </c>
      <c r="C46" s="14">
        <f t="shared" si="0"/>
        <v>-14.5</v>
      </c>
      <c r="D46" s="1">
        <v>-1.7999999999999999E-2</v>
      </c>
    </row>
    <row r="47" spans="1:4" x14ac:dyDescent="0.35">
      <c r="A47" s="70">
        <v>40634</v>
      </c>
      <c r="B47" s="11">
        <v>35</v>
      </c>
      <c r="C47" s="14">
        <f t="shared" si="0"/>
        <v>-0.29999999999999716</v>
      </c>
    </row>
    <row r="48" spans="1:4" x14ac:dyDescent="0.35">
      <c r="A48" s="70">
        <v>40664</v>
      </c>
      <c r="B48" s="11">
        <v>43.8</v>
      </c>
      <c r="C48" s="14">
        <f t="shared" si="0"/>
        <v>8.7999999999999972</v>
      </c>
    </row>
    <row r="49" spans="1:4" x14ac:dyDescent="0.35">
      <c r="A49" s="70">
        <v>40695</v>
      </c>
      <c r="B49" s="11">
        <v>45.4</v>
      </c>
      <c r="C49" s="14">
        <f t="shared" si="0"/>
        <v>1.6000000000000014</v>
      </c>
      <c r="D49" s="1">
        <v>-7.0000000000000001E-3</v>
      </c>
    </row>
    <row r="50" spans="1:4" x14ac:dyDescent="0.35">
      <c r="A50" s="70">
        <v>40725</v>
      </c>
      <c r="B50" s="11">
        <v>45.3</v>
      </c>
      <c r="C50" s="14">
        <f t="shared" si="0"/>
        <v>-0.10000000000000142</v>
      </c>
    </row>
    <row r="51" spans="1:4" x14ac:dyDescent="0.35">
      <c r="A51" s="70">
        <v>40756</v>
      </c>
      <c r="B51" s="11">
        <v>44.1</v>
      </c>
      <c r="C51" s="14">
        <f t="shared" si="0"/>
        <v>-1.1999999999999957</v>
      </c>
    </row>
    <row r="52" spans="1:4" x14ac:dyDescent="0.35">
      <c r="A52" s="70">
        <v>40787</v>
      </c>
      <c r="B52" s="11">
        <v>46.4</v>
      </c>
      <c r="C52" s="14">
        <f t="shared" si="0"/>
        <v>2.2999999999999972</v>
      </c>
      <c r="D52" s="1">
        <v>2.5999999999999999E-2</v>
      </c>
    </row>
    <row r="53" spans="1:4" x14ac:dyDescent="0.35">
      <c r="A53" s="70">
        <v>40817</v>
      </c>
      <c r="B53" s="11">
        <v>52.3</v>
      </c>
      <c r="C53" s="14">
        <f t="shared" si="0"/>
        <v>5.8999999999999986</v>
      </c>
    </row>
    <row r="54" spans="1:4" x14ac:dyDescent="0.35">
      <c r="A54" s="70">
        <v>40848</v>
      </c>
      <c r="B54" s="11">
        <v>49.5</v>
      </c>
      <c r="C54" s="14">
        <f t="shared" si="0"/>
        <v>-2.7999999999999972</v>
      </c>
    </row>
    <row r="55" spans="1:4" x14ac:dyDescent="0.35">
      <c r="A55" s="70">
        <v>40878</v>
      </c>
      <c r="B55" s="11">
        <v>50.4</v>
      </c>
      <c r="C55" s="14">
        <f t="shared" si="0"/>
        <v>0.89999999999999858</v>
      </c>
      <c r="D55" s="1">
        <v>2E-3</v>
      </c>
    </row>
    <row r="56" spans="1:4" x14ac:dyDescent="0.35">
      <c r="A56" s="70">
        <v>40909</v>
      </c>
      <c r="B56" s="11">
        <v>51</v>
      </c>
      <c r="C56" s="14">
        <f t="shared" si="0"/>
        <v>0.60000000000000142</v>
      </c>
    </row>
    <row r="57" spans="1:4" x14ac:dyDescent="0.35">
      <c r="A57" s="70">
        <v>40940</v>
      </c>
      <c r="B57" s="11">
        <v>51.2</v>
      </c>
      <c r="C57" s="14">
        <f t="shared" si="0"/>
        <v>0.20000000000000284</v>
      </c>
    </row>
    <row r="58" spans="1:4" x14ac:dyDescent="0.35">
      <c r="A58" s="70">
        <v>40969</v>
      </c>
      <c r="B58" s="11">
        <v>53.7</v>
      </c>
      <c r="C58" s="14">
        <f t="shared" si="0"/>
        <v>2.5</v>
      </c>
      <c r="D58" s="1">
        <v>8.9999999999999993E-3</v>
      </c>
    </row>
    <row r="59" spans="1:4" x14ac:dyDescent="0.35">
      <c r="A59" s="70">
        <v>41000</v>
      </c>
      <c r="B59" s="11">
        <v>51</v>
      </c>
      <c r="C59" s="14">
        <f t="shared" si="0"/>
        <v>-2.7000000000000028</v>
      </c>
    </row>
    <row r="60" spans="1:4" x14ac:dyDescent="0.35">
      <c r="A60" s="70">
        <v>41030</v>
      </c>
      <c r="B60" s="11">
        <v>50.5</v>
      </c>
      <c r="C60" s="14">
        <f t="shared" si="0"/>
        <v>-0.5</v>
      </c>
    </row>
    <row r="61" spans="1:4" x14ac:dyDescent="0.35">
      <c r="A61" s="70">
        <v>41061</v>
      </c>
      <c r="B61" s="11">
        <v>49.5</v>
      </c>
      <c r="C61" s="14">
        <f t="shared" si="0"/>
        <v>-1</v>
      </c>
      <c r="D61" s="1">
        <v>-5.0000000000000001E-3</v>
      </c>
    </row>
    <row r="62" spans="1:4" x14ac:dyDescent="0.35">
      <c r="A62" s="70">
        <v>41091</v>
      </c>
      <c r="B62" s="11">
        <v>48.7</v>
      </c>
      <c r="C62" s="14">
        <f t="shared" si="0"/>
        <v>-0.79999999999999716</v>
      </c>
    </row>
    <row r="63" spans="1:4" x14ac:dyDescent="0.35">
      <c r="A63" s="70">
        <v>41122</v>
      </c>
      <c r="B63" s="11">
        <v>47.5</v>
      </c>
      <c r="C63" s="14">
        <f t="shared" si="0"/>
        <v>-1.2000000000000028</v>
      </c>
    </row>
    <row r="64" spans="1:4" x14ac:dyDescent="0.35">
      <c r="A64" s="70">
        <v>41153</v>
      </c>
      <c r="B64" s="11">
        <v>48.8</v>
      </c>
      <c r="C64" s="14">
        <f t="shared" si="0"/>
        <v>1.2999999999999972</v>
      </c>
      <c r="D64" s="1">
        <v>-8.0000000000000002E-3</v>
      </c>
    </row>
    <row r="65" spans="1:4" x14ac:dyDescent="0.35">
      <c r="A65" s="70">
        <v>41183</v>
      </c>
      <c r="B65" s="11">
        <v>49.7</v>
      </c>
      <c r="C65" s="14">
        <f t="shared" si="0"/>
        <v>0.90000000000000568</v>
      </c>
    </row>
    <row r="66" spans="1:4" x14ac:dyDescent="0.35">
      <c r="A66" s="70">
        <v>41214</v>
      </c>
      <c r="B66" s="11">
        <v>49.1</v>
      </c>
      <c r="C66" s="14">
        <f t="shared" si="0"/>
        <v>-0.60000000000000142</v>
      </c>
    </row>
    <row r="67" spans="1:4" x14ac:dyDescent="0.35">
      <c r="A67" s="70">
        <v>41244</v>
      </c>
      <c r="B67" s="11">
        <v>50.1</v>
      </c>
      <c r="C67" s="14">
        <f t="shared" si="0"/>
        <v>1</v>
      </c>
      <c r="D67" s="1">
        <v>1E-3</v>
      </c>
    </row>
    <row r="68" spans="1:4" x14ac:dyDescent="0.35">
      <c r="A68" s="70">
        <v>41275</v>
      </c>
      <c r="B68" s="11">
        <v>50.4</v>
      </c>
      <c r="C68" s="14">
        <f t="shared" si="0"/>
        <v>0.29999999999999716</v>
      </c>
    </row>
    <row r="69" spans="1:4" x14ac:dyDescent="0.35">
      <c r="A69" s="70">
        <v>41306</v>
      </c>
      <c r="B69" s="11">
        <v>51.3</v>
      </c>
      <c r="C69" s="14">
        <f t="shared" si="0"/>
        <v>0.89999999999999858</v>
      </c>
    </row>
    <row r="70" spans="1:4" x14ac:dyDescent="0.35">
      <c r="A70" s="70">
        <v>41334</v>
      </c>
      <c r="B70" s="11">
        <v>53.4</v>
      </c>
      <c r="C70" s="14">
        <f t="shared" si="0"/>
        <v>2.1000000000000014</v>
      </c>
      <c r="D70" s="1">
        <v>1.2E-2</v>
      </c>
    </row>
    <row r="71" spans="1:4" x14ac:dyDescent="0.35">
      <c r="A71" s="70">
        <v>41365</v>
      </c>
      <c r="B71" s="11">
        <v>52.5</v>
      </c>
      <c r="C71" s="14">
        <f t="shared" si="0"/>
        <v>-0.89999999999999858</v>
      </c>
    </row>
    <row r="72" spans="1:4" x14ac:dyDescent="0.35">
      <c r="A72" s="70">
        <v>41395</v>
      </c>
      <c r="B72" s="11">
        <v>54.8</v>
      </c>
      <c r="C72" s="14">
        <f t="shared" si="0"/>
        <v>2.2999999999999972</v>
      </c>
    </row>
    <row r="73" spans="1:4" x14ac:dyDescent="0.35">
      <c r="A73" s="70">
        <v>41426</v>
      </c>
      <c r="B73" s="11">
        <v>52.1</v>
      </c>
      <c r="C73" s="14">
        <f t="shared" si="0"/>
        <v>-2.6999999999999957</v>
      </c>
      <c r="D73" s="1">
        <v>8.9999999999999993E-3</v>
      </c>
    </row>
    <row r="74" spans="1:4" x14ac:dyDescent="0.35">
      <c r="A74" s="70">
        <v>41456</v>
      </c>
      <c r="B74" s="11">
        <v>50.6</v>
      </c>
      <c r="C74" s="14">
        <f t="shared" si="0"/>
        <v>-1.5</v>
      </c>
    </row>
    <row r="75" spans="1:4" x14ac:dyDescent="0.35">
      <c r="A75" s="70">
        <v>41487</v>
      </c>
      <c r="B75" s="11">
        <v>51.2</v>
      </c>
      <c r="C75" s="14">
        <f t="shared" si="0"/>
        <v>0.60000000000000142</v>
      </c>
    </row>
    <row r="76" spans="1:4" x14ac:dyDescent="0.35">
      <c r="A76" s="70">
        <v>41518</v>
      </c>
      <c r="B76" s="11">
        <v>53</v>
      </c>
      <c r="C76" s="14">
        <f t="shared" si="0"/>
        <v>1.7999999999999972</v>
      </c>
      <c r="D76" s="1">
        <v>3.0000000000000001E-3</v>
      </c>
    </row>
    <row r="77" spans="1:4" x14ac:dyDescent="0.35">
      <c r="A77" s="70">
        <v>41548</v>
      </c>
      <c r="B77" s="11">
        <v>55.3</v>
      </c>
      <c r="C77" s="14">
        <f t="shared" si="0"/>
        <v>2.2999999999999972</v>
      </c>
    </row>
    <row r="78" spans="1:4" x14ac:dyDescent="0.35">
      <c r="A78" s="70">
        <v>41579</v>
      </c>
      <c r="B78" s="11">
        <v>51.8</v>
      </c>
      <c r="C78" s="14">
        <f t="shared" si="0"/>
        <v>-3.5</v>
      </c>
    </row>
    <row r="79" spans="1:4" x14ac:dyDescent="0.35">
      <c r="A79" s="70">
        <v>41609</v>
      </c>
      <c r="B79" s="11">
        <v>52.1</v>
      </c>
      <c r="C79" s="14">
        <f t="shared" si="0"/>
        <v>0.30000000000000426</v>
      </c>
      <c r="D79" s="1">
        <v>1E-3</v>
      </c>
    </row>
    <row r="80" spans="1:4" x14ac:dyDescent="0.35">
      <c r="A80" s="70">
        <v>41640</v>
      </c>
      <c r="B80" s="11">
        <v>51.2</v>
      </c>
      <c r="C80" s="14">
        <f t="shared" si="0"/>
        <v>-0.89999999999999858</v>
      </c>
    </row>
    <row r="81" spans="1:9" x14ac:dyDescent="0.35">
      <c r="A81" s="70">
        <v>41671</v>
      </c>
      <c r="B81" s="11">
        <v>49.3</v>
      </c>
      <c r="C81" s="14">
        <f t="shared" si="0"/>
        <v>-1.9000000000000057</v>
      </c>
    </row>
    <row r="82" spans="1:9" x14ac:dyDescent="0.35">
      <c r="A82" s="70">
        <v>41699</v>
      </c>
      <c r="B82" s="11">
        <v>52.2</v>
      </c>
      <c r="C82" s="14">
        <f t="shared" si="0"/>
        <v>2.9000000000000057</v>
      </c>
      <c r="D82" s="1">
        <v>1.4999999999999999E-2</v>
      </c>
    </row>
    <row r="83" spans="1:9" x14ac:dyDescent="0.35">
      <c r="A83" s="70">
        <v>41730</v>
      </c>
      <c r="B83" s="11">
        <v>46.4</v>
      </c>
      <c r="C83" s="14">
        <f t="shared" si="0"/>
        <v>-5.8000000000000043</v>
      </c>
    </row>
    <row r="84" spans="1:9" x14ac:dyDescent="0.35">
      <c r="A84" s="70">
        <v>41760</v>
      </c>
      <c r="B84" s="11">
        <v>49.3</v>
      </c>
      <c r="C84" s="14">
        <f t="shared" ref="C84:C87" si="1">B84-B83</f>
        <v>2.8999999999999986</v>
      </c>
    </row>
    <row r="85" spans="1:9" x14ac:dyDescent="0.35">
      <c r="A85" s="70">
        <v>41791</v>
      </c>
      <c r="B85" s="11">
        <v>49</v>
      </c>
      <c r="C85" s="14">
        <f t="shared" si="1"/>
        <v>-0.29999999999999716</v>
      </c>
      <c r="D85" s="1">
        <v>-1.7000000000000001E-2</v>
      </c>
      <c r="H85" s="41" t="s">
        <v>72</v>
      </c>
      <c r="I85" t="s">
        <v>59</v>
      </c>
    </row>
    <row r="86" spans="1:9" x14ac:dyDescent="0.35">
      <c r="A86" s="70">
        <v>41821</v>
      </c>
      <c r="B86" s="11">
        <v>50.4</v>
      </c>
      <c r="C86" s="14">
        <f t="shared" si="1"/>
        <v>1.3999999999999986</v>
      </c>
    </row>
    <row r="87" spans="1:9" x14ac:dyDescent="0.35">
      <c r="A87" s="70">
        <v>41852</v>
      </c>
      <c r="B87" s="11">
        <v>49.9</v>
      </c>
      <c r="C87" s="14">
        <f t="shared" si="1"/>
        <v>-0.5</v>
      </c>
    </row>
    <row r="88" spans="1:9" x14ac:dyDescent="0.35">
      <c r="A88" s="70">
        <v>41883</v>
      </c>
      <c r="B88" s="11">
        <v>52.5</v>
      </c>
      <c r="C88" s="14">
        <f>IFERROR(B88-B87,"")</f>
        <v>2.6000000000000014</v>
      </c>
      <c r="D88" s="1">
        <f>IF(VLOOKUP(I85,Data!$A$30:$H$150,7,FALSE)=A87,VLOOKUP(I85,Data!$A$30:$H$150,2,FALSE)/100,#N/A)</f>
        <v>-4.0000000000000001E-3</v>
      </c>
    </row>
    <row r="89" spans="1:9" x14ac:dyDescent="0.35">
      <c r="A89" s="70">
        <v>41913</v>
      </c>
      <c r="B89" s="11">
        <v>48.7</v>
      </c>
      <c r="C89" s="14">
        <v>-3.7999999999999972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>
        <v>50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40:I228"/>
  <sheetViews>
    <sheetView topLeftCell="A40" zoomScale="70" zoomScaleNormal="70" workbookViewId="0">
      <pane xSplit="1" ySplit="1" topLeftCell="B65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3.7265625" style="7" customWidth="1"/>
    <col min="3" max="3" width="12.26953125" style="7" customWidth="1"/>
    <col min="4" max="4" width="28.36328125" style="1" customWidth="1"/>
  </cols>
  <sheetData>
    <row r="40" spans="1:4" x14ac:dyDescent="0.35">
      <c r="A40" s="69" t="s">
        <v>0</v>
      </c>
      <c r="B40" s="7" t="s">
        <v>13</v>
      </c>
      <c r="C40" s="7" t="s">
        <v>1</v>
      </c>
      <c r="D40" s="1" t="s">
        <v>26</v>
      </c>
    </row>
    <row r="41" spans="1:4" x14ac:dyDescent="0.35">
      <c r="A41" s="70">
        <v>40452</v>
      </c>
      <c r="B41" s="11">
        <v>51.8</v>
      </c>
    </row>
    <row r="42" spans="1:4" x14ac:dyDescent="0.35">
      <c r="A42" s="70">
        <v>40483</v>
      </c>
      <c r="B42" s="11">
        <v>52.1</v>
      </c>
      <c r="C42" s="14">
        <f>B42-B41</f>
        <v>0.30000000000000426</v>
      </c>
    </row>
    <row r="43" spans="1:4" x14ac:dyDescent="0.35">
      <c r="A43" s="70">
        <v>40513</v>
      </c>
      <c r="B43" s="11">
        <v>50.2</v>
      </c>
      <c r="C43" s="14">
        <f t="shared" ref="C43:C83" si="0">B43-B42</f>
        <v>-1.8999999999999986</v>
      </c>
      <c r="D43" s="1">
        <v>1.0999999999999999E-2</v>
      </c>
    </row>
    <row r="44" spans="1:4" x14ac:dyDescent="0.35">
      <c r="A44" s="70">
        <v>40544</v>
      </c>
      <c r="B44" s="11">
        <v>51.2</v>
      </c>
      <c r="C44" s="14">
        <f t="shared" si="0"/>
        <v>1</v>
      </c>
    </row>
    <row r="45" spans="1:4" x14ac:dyDescent="0.35">
      <c r="A45" s="70">
        <v>40575</v>
      </c>
      <c r="B45" s="11">
        <v>52.7</v>
      </c>
      <c r="C45" s="14">
        <f t="shared" si="0"/>
        <v>1.5</v>
      </c>
    </row>
    <row r="46" spans="1:4" x14ac:dyDescent="0.35">
      <c r="A46" s="70">
        <v>40603</v>
      </c>
      <c r="B46" s="11">
        <v>53.5</v>
      </c>
      <c r="C46" s="14">
        <f t="shared" si="0"/>
        <v>0.79999999999999716</v>
      </c>
      <c r="D46" s="1">
        <v>6.0000000000000001E-3</v>
      </c>
    </row>
    <row r="47" spans="1:4" x14ac:dyDescent="0.35">
      <c r="A47" s="70">
        <v>40634</v>
      </c>
      <c r="B47" s="11">
        <v>53.2</v>
      </c>
      <c r="C47" s="14">
        <f t="shared" si="0"/>
        <v>-0.29999999999999716</v>
      </c>
    </row>
    <row r="48" spans="1:4" x14ac:dyDescent="0.35">
      <c r="A48" s="70">
        <v>40664</v>
      </c>
      <c r="B48" s="11">
        <v>53.3</v>
      </c>
      <c r="C48" s="14">
        <f t="shared" si="0"/>
        <v>9.9999999999994316E-2</v>
      </c>
    </row>
    <row r="49" spans="1:4" x14ac:dyDescent="0.35">
      <c r="A49" s="70">
        <v>40695</v>
      </c>
      <c r="B49" s="11">
        <v>52.1</v>
      </c>
      <c r="C49" s="14">
        <f t="shared" si="0"/>
        <v>-1.1999999999999957</v>
      </c>
      <c r="D49" s="1">
        <v>5.0000000000000001E-3</v>
      </c>
    </row>
    <row r="50" spans="1:4" x14ac:dyDescent="0.35">
      <c r="A50" s="70">
        <v>40725</v>
      </c>
      <c r="B50" s="11">
        <v>53.7</v>
      </c>
      <c r="C50" s="14">
        <f t="shared" si="0"/>
        <v>1.6000000000000014</v>
      </c>
    </row>
    <row r="51" spans="1:4" x14ac:dyDescent="0.35">
      <c r="A51" s="70">
        <v>40756</v>
      </c>
      <c r="B51" s="11">
        <v>52.1</v>
      </c>
      <c r="C51" s="14">
        <f t="shared" si="0"/>
        <v>-1.6000000000000014</v>
      </c>
    </row>
    <row r="52" spans="1:4" x14ac:dyDescent="0.35">
      <c r="A52" s="70">
        <v>40787</v>
      </c>
      <c r="B52" s="11">
        <v>50.5</v>
      </c>
      <c r="C52" s="14">
        <f t="shared" si="0"/>
        <v>-1.6000000000000014</v>
      </c>
      <c r="D52" s="1">
        <v>-1E-3</v>
      </c>
    </row>
    <row r="53" spans="1:4" x14ac:dyDescent="0.35">
      <c r="A53" s="70">
        <v>40817</v>
      </c>
      <c r="B53" s="11">
        <v>53.6</v>
      </c>
      <c r="C53" s="14">
        <f t="shared" si="0"/>
        <v>3.1000000000000014</v>
      </c>
    </row>
    <row r="54" spans="1:4" x14ac:dyDescent="0.35">
      <c r="A54" s="70">
        <v>40848</v>
      </c>
      <c r="B54" s="11">
        <v>52.6</v>
      </c>
      <c r="C54" s="14">
        <f t="shared" si="0"/>
        <v>-1</v>
      </c>
    </row>
    <row r="55" spans="1:4" x14ac:dyDescent="0.35">
      <c r="A55" s="70">
        <v>40878</v>
      </c>
      <c r="B55" s="11">
        <v>54.8</v>
      </c>
      <c r="C55" s="14">
        <f t="shared" si="0"/>
        <v>2.1999999999999957</v>
      </c>
      <c r="D55" s="1">
        <v>1E-3</v>
      </c>
    </row>
    <row r="56" spans="1:4" x14ac:dyDescent="0.35">
      <c r="A56" s="70">
        <v>40909</v>
      </c>
      <c r="B56" s="11">
        <v>55</v>
      </c>
      <c r="C56" s="14">
        <f t="shared" si="0"/>
        <v>0.20000000000000284</v>
      </c>
    </row>
    <row r="57" spans="1:4" x14ac:dyDescent="0.35">
      <c r="A57" s="70">
        <v>40940</v>
      </c>
      <c r="B57" s="11">
        <v>57.1</v>
      </c>
      <c r="C57" s="14">
        <f t="shared" si="0"/>
        <v>2.1000000000000014</v>
      </c>
    </row>
    <row r="58" spans="1:4" x14ac:dyDescent="0.35">
      <c r="A58" s="70">
        <v>40969</v>
      </c>
      <c r="B58" s="11">
        <v>53.8</v>
      </c>
      <c r="C58" s="14">
        <f t="shared" si="0"/>
        <v>-3.3000000000000043</v>
      </c>
      <c r="D58" s="1">
        <v>1E-3</v>
      </c>
    </row>
    <row r="59" spans="1:4" x14ac:dyDescent="0.35">
      <c r="A59" s="70">
        <v>41000</v>
      </c>
      <c r="B59" s="11">
        <v>54.4</v>
      </c>
      <c r="C59" s="14">
        <f t="shared" si="0"/>
        <v>0.60000000000000142</v>
      </c>
    </row>
    <row r="60" spans="1:4" x14ac:dyDescent="0.35">
      <c r="A60" s="70">
        <v>41030</v>
      </c>
      <c r="B60" s="11">
        <v>49.7</v>
      </c>
      <c r="C60" s="14">
        <f t="shared" si="0"/>
        <v>-4.6999999999999957</v>
      </c>
    </row>
    <row r="61" spans="1:4" x14ac:dyDescent="0.35">
      <c r="A61" s="70">
        <v>41061</v>
      </c>
      <c r="B61" s="11">
        <v>53</v>
      </c>
      <c r="C61" s="14">
        <f t="shared" si="0"/>
        <v>3.2999999999999972</v>
      </c>
      <c r="D61" s="1">
        <v>1E-3</v>
      </c>
    </row>
    <row r="62" spans="1:4" x14ac:dyDescent="0.35">
      <c r="A62" s="70">
        <v>41091</v>
      </c>
      <c r="B62" s="11">
        <v>48.9</v>
      </c>
      <c r="C62" s="14">
        <f t="shared" si="0"/>
        <v>-4.1000000000000014</v>
      </c>
    </row>
    <row r="63" spans="1:4" x14ac:dyDescent="0.35">
      <c r="A63" s="70">
        <v>41122</v>
      </c>
      <c r="B63" s="11">
        <v>48.1</v>
      </c>
      <c r="C63" s="14">
        <f t="shared" si="0"/>
        <v>-0.79999999999999716</v>
      </c>
    </row>
    <row r="64" spans="1:4" x14ac:dyDescent="0.35">
      <c r="A64" s="70">
        <v>41153</v>
      </c>
      <c r="B64" s="11">
        <v>52.8</v>
      </c>
      <c r="C64" s="14">
        <f t="shared" si="0"/>
        <v>4.6999999999999957</v>
      </c>
      <c r="D64" s="1">
        <v>6.0000000000000001E-3</v>
      </c>
    </row>
    <row r="65" spans="1:4" x14ac:dyDescent="0.35">
      <c r="A65" s="70">
        <v>41183</v>
      </c>
      <c r="B65" s="11">
        <v>50.4</v>
      </c>
      <c r="C65" s="14">
        <f t="shared" si="0"/>
        <v>-2.3999999999999986</v>
      </c>
    </row>
    <row r="66" spans="1:4" x14ac:dyDescent="0.35">
      <c r="A66" s="70">
        <v>41214</v>
      </c>
      <c r="B66" s="11">
        <v>52.5</v>
      </c>
      <c r="C66" s="14">
        <f t="shared" si="0"/>
        <v>2.1000000000000014</v>
      </c>
    </row>
    <row r="67" spans="1:4" x14ac:dyDescent="0.35">
      <c r="A67" s="70">
        <v>41244</v>
      </c>
      <c r="B67" s="11">
        <v>53.2</v>
      </c>
      <c r="C67" s="14">
        <f t="shared" si="0"/>
        <v>0.70000000000000284</v>
      </c>
      <c r="D67" s="1">
        <v>8.9999999999999993E-3</v>
      </c>
    </row>
    <row r="68" spans="1:4" x14ac:dyDescent="0.35">
      <c r="A68" s="70">
        <v>41275</v>
      </c>
      <c r="B68" s="11">
        <v>54.5</v>
      </c>
      <c r="C68" s="14">
        <f t="shared" si="0"/>
        <v>1.2999999999999972</v>
      </c>
    </row>
    <row r="69" spans="1:4" x14ac:dyDescent="0.35">
      <c r="A69" s="70">
        <v>41306</v>
      </c>
      <c r="B69" s="11">
        <v>52.1</v>
      </c>
      <c r="C69" s="14">
        <f t="shared" si="0"/>
        <v>-2.3999999999999986</v>
      </c>
    </row>
    <row r="70" spans="1:4" x14ac:dyDescent="0.35">
      <c r="A70" s="70">
        <v>41334</v>
      </c>
      <c r="B70" s="11">
        <v>50.3</v>
      </c>
      <c r="C70" s="14">
        <f t="shared" si="0"/>
        <v>-1.8000000000000043</v>
      </c>
      <c r="D70" s="1">
        <v>0</v>
      </c>
    </row>
    <row r="71" spans="1:4" x14ac:dyDescent="0.35">
      <c r="A71" s="70">
        <v>41365</v>
      </c>
      <c r="B71" s="11">
        <v>51</v>
      </c>
      <c r="C71" s="14">
        <f t="shared" si="0"/>
        <v>0.70000000000000284</v>
      </c>
    </row>
    <row r="72" spans="1:4" x14ac:dyDescent="0.35">
      <c r="A72" s="70">
        <v>41395</v>
      </c>
      <c r="B72" s="11">
        <v>51</v>
      </c>
      <c r="C72" s="14">
        <f t="shared" si="0"/>
        <v>0</v>
      </c>
    </row>
    <row r="73" spans="1:4" x14ac:dyDescent="0.35">
      <c r="A73" s="70">
        <v>41426</v>
      </c>
      <c r="B73" s="11">
        <v>50.3</v>
      </c>
      <c r="C73" s="14">
        <f t="shared" si="0"/>
        <v>-0.70000000000000284</v>
      </c>
      <c r="D73" s="1">
        <v>1.7999999999999999E-2</v>
      </c>
    </row>
    <row r="74" spans="1:4" x14ac:dyDescent="0.35">
      <c r="A74" s="70">
        <v>41456</v>
      </c>
      <c r="B74" s="11">
        <v>49.7</v>
      </c>
      <c r="C74" s="14">
        <f t="shared" si="0"/>
        <v>-0.59999999999999432</v>
      </c>
    </row>
    <row r="75" spans="1:4" x14ac:dyDescent="0.35">
      <c r="A75" s="70">
        <v>41487</v>
      </c>
      <c r="B75" s="11">
        <v>50.7</v>
      </c>
      <c r="C75" s="14">
        <f t="shared" si="0"/>
        <v>1</v>
      </c>
    </row>
    <row r="76" spans="1:4" x14ac:dyDescent="0.35">
      <c r="A76" s="70">
        <v>41518</v>
      </c>
      <c r="B76" s="11">
        <v>52.1</v>
      </c>
      <c r="C76" s="14">
        <f t="shared" si="0"/>
        <v>1.3999999999999986</v>
      </c>
      <c r="D76" s="1">
        <v>-5.0000000000000001E-3</v>
      </c>
    </row>
    <row r="77" spans="1:4" x14ac:dyDescent="0.35">
      <c r="A77" s="70">
        <v>41548</v>
      </c>
      <c r="B77" s="11">
        <v>52.3</v>
      </c>
      <c r="C77" s="14">
        <f t="shared" si="0"/>
        <v>0.19999999999999574</v>
      </c>
    </row>
    <row r="78" spans="1:4" x14ac:dyDescent="0.35">
      <c r="A78" s="70">
        <v>41579</v>
      </c>
      <c r="B78" s="11">
        <v>51.7</v>
      </c>
      <c r="C78" s="14">
        <f t="shared" si="0"/>
        <v>-0.59999999999999432</v>
      </c>
    </row>
    <row r="79" spans="1:4" x14ac:dyDescent="0.35">
      <c r="A79" s="70">
        <v>41609</v>
      </c>
      <c r="B79" s="11">
        <v>50.5</v>
      </c>
      <c r="C79" s="14">
        <f t="shared" si="0"/>
        <v>-1.2000000000000028</v>
      </c>
      <c r="D79" s="1">
        <v>7.0000000000000001E-3</v>
      </c>
    </row>
    <row r="80" spans="1:4" x14ac:dyDescent="0.35">
      <c r="A80" s="70">
        <v>41640</v>
      </c>
      <c r="B80" s="11">
        <v>49.6</v>
      </c>
      <c r="C80" s="14">
        <f t="shared" si="0"/>
        <v>-0.89999999999999858</v>
      </c>
    </row>
    <row r="81" spans="1:9" x14ac:dyDescent="0.35">
      <c r="A81" s="70">
        <v>41671</v>
      </c>
      <c r="B81" s="11">
        <v>50.8</v>
      </c>
      <c r="C81" s="14">
        <f t="shared" si="0"/>
        <v>1.1999999999999957</v>
      </c>
    </row>
    <row r="82" spans="1:9" x14ac:dyDescent="0.35">
      <c r="A82" s="70">
        <v>41699</v>
      </c>
      <c r="B82" s="11">
        <v>51</v>
      </c>
      <c r="C82" s="14">
        <f t="shared" si="0"/>
        <v>0.20000000000000284</v>
      </c>
      <c r="D82" s="1">
        <v>2E-3</v>
      </c>
    </row>
    <row r="83" spans="1:9" x14ac:dyDescent="0.35">
      <c r="A83" s="70">
        <v>41730</v>
      </c>
      <c r="B83" s="11">
        <v>48.6</v>
      </c>
      <c r="C83" s="14">
        <f t="shared" si="0"/>
        <v>-2.3999999999999986</v>
      </c>
    </row>
    <row r="84" spans="1:9" x14ac:dyDescent="0.35">
      <c r="A84" s="70">
        <v>41760</v>
      </c>
      <c r="B84" s="11">
        <v>50.6</v>
      </c>
      <c r="C84" s="14">
        <f t="shared" ref="C84:C87" si="1">B84-B83</f>
        <v>2</v>
      </c>
    </row>
    <row r="85" spans="1:9" x14ac:dyDescent="0.35">
      <c r="A85" s="70">
        <v>41791</v>
      </c>
      <c r="B85" s="11">
        <v>51.4</v>
      </c>
      <c r="C85" s="14">
        <f t="shared" si="1"/>
        <v>0.79999999999999716</v>
      </c>
      <c r="D85" s="1">
        <v>-6.0000000000000001E-3</v>
      </c>
      <c r="H85" s="41" t="s">
        <v>73</v>
      </c>
      <c r="I85" t="s">
        <v>40</v>
      </c>
    </row>
    <row r="86" spans="1:9" x14ac:dyDescent="0.35">
      <c r="A86" s="70">
        <v>41821</v>
      </c>
      <c r="B86" s="11">
        <v>50.2</v>
      </c>
      <c r="C86" s="14">
        <f t="shared" si="1"/>
        <v>-1.1999999999999957</v>
      </c>
    </row>
    <row r="87" spans="1:9" x14ac:dyDescent="0.35">
      <c r="A87" s="70">
        <v>41852</v>
      </c>
      <c r="B87" s="11">
        <v>49.2</v>
      </c>
      <c r="C87" s="14">
        <f t="shared" si="1"/>
        <v>-1</v>
      </c>
    </row>
    <row r="88" spans="1:9" x14ac:dyDescent="0.35">
      <c r="A88" s="70">
        <v>41883</v>
      </c>
      <c r="B88" s="11">
        <v>51.2</v>
      </c>
      <c r="C88" s="14">
        <f>IFERROR(B88-B87,"")</f>
        <v>2</v>
      </c>
      <c r="D88" s="1">
        <f>IF(VLOOKUP(I85,Data!$A$30:$H$150,7,FALSE)=A87,VLOOKUP(I85,Data!$A$30:$H$150,2,FALSE)/100,#N/A)</f>
        <v>1E-3</v>
      </c>
    </row>
    <row r="89" spans="1:9" x14ac:dyDescent="0.35">
      <c r="A89" s="70">
        <v>41913</v>
      </c>
      <c r="B89" s="11">
        <v>48.2</v>
      </c>
      <c r="C89" s="14">
        <v>-3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>
        <v>50.4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40:I228"/>
  <sheetViews>
    <sheetView topLeftCell="A40" zoomScale="70" zoomScaleNormal="70" workbookViewId="0">
      <pane xSplit="1" ySplit="1" topLeftCell="B68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2.81640625" style="7" customWidth="1"/>
    <col min="3" max="3" width="12.26953125" style="7" customWidth="1"/>
    <col min="4" max="4" width="27.6328125" style="1" customWidth="1"/>
  </cols>
  <sheetData>
    <row r="40" spans="1:4" x14ac:dyDescent="0.35">
      <c r="A40" s="69" t="s">
        <v>0</v>
      </c>
      <c r="B40" s="7" t="s">
        <v>15</v>
      </c>
      <c r="C40" s="7" t="s">
        <v>1</v>
      </c>
      <c r="D40" t="s">
        <v>27</v>
      </c>
    </row>
    <row r="41" spans="1:4" x14ac:dyDescent="0.35">
      <c r="A41" s="70">
        <v>40452</v>
      </c>
      <c r="B41" s="11">
        <v>58.4</v>
      </c>
    </row>
    <row r="42" spans="1:4" x14ac:dyDescent="0.35">
      <c r="A42" s="70">
        <v>40483</v>
      </c>
      <c r="B42" s="11">
        <v>61.3</v>
      </c>
      <c r="C42" s="14">
        <f>B42-B41</f>
        <v>2.8999999999999986</v>
      </c>
    </row>
    <row r="43" spans="1:4" x14ac:dyDescent="0.35">
      <c r="A43" s="70">
        <v>40513</v>
      </c>
      <c r="B43" s="11">
        <v>62.1</v>
      </c>
      <c r="C43" s="14">
        <f t="shared" ref="C43:C83" si="0">B43-B42</f>
        <v>0.80000000000000426</v>
      </c>
      <c r="D43" s="1">
        <v>2.3E-2</v>
      </c>
    </row>
    <row r="44" spans="1:4" x14ac:dyDescent="0.35">
      <c r="A44" s="70">
        <v>40544</v>
      </c>
      <c r="B44" s="11">
        <v>59.4</v>
      </c>
      <c r="C44" s="14">
        <f t="shared" si="0"/>
        <v>-2.7000000000000028</v>
      </c>
    </row>
    <row r="45" spans="1:4" x14ac:dyDescent="0.35">
      <c r="A45" s="70">
        <v>40575</v>
      </c>
      <c r="B45" s="11">
        <v>61</v>
      </c>
      <c r="C45" s="14">
        <f t="shared" si="0"/>
        <v>1.6000000000000014</v>
      </c>
    </row>
    <row r="46" spans="1:4" x14ac:dyDescent="0.35">
      <c r="A46" s="70">
        <v>40603</v>
      </c>
      <c r="B46" s="11">
        <v>60</v>
      </c>
      <c r="C46" s="14">
        <f t="shared" si="0"/>
        <v>-1</v>
      </c>
      <c r="D46" s="1">
        <v>1.9E-2</v>
      </c>
    </row>
    <row r="47" spans="1:4" x14ac:dyDescent="0.35">
      <c r="A47" s="70">
        <v>40634</v>
      </c>
      <c r="B47" s="11">
        <v>59.2</v>
      </c>
      <c r="C47" s="14">
        <f t="shared" si="0"/>
        <v>-0.79999999999999716</v>
      </c>
    </row>
    <row r="48" spans="1:4" x14ac:dyDescent="0.35">
      <c r="A48" s="70">
        <v>40664</v>
      </c>
      <c r="B48" s="11">
        <v>57.7</v>
      </c>
      <c r="C48" s="14">
        <f t="shared" si="0"/>
        <v>-1.5</v>
      </c>
    </row>
    <row r="49" spans="1:4" x14ac:dyDescent="0.35">
      <c r="A49" s="70">
        <v>40695</v>
      </c>
      <c r="B49" s="11">
        <v>56.1</v>
      </c>
      <c r="C49" s="14">
        <f t="shared" si="0"/>
        <v>-1.6000000000000014</v>
      </c>
      <c r="D49" s="1">
        <v>1.6E-2</v>
      </c>
    </row>
    <row r="50" spans="1:4" x14ac:dyDescent="0.35">
      <c r="A50" s="70">
        <v>40725</v>
      </c>
      <c r="B50" s="11">
        <v>58.2</v>
      </c>
      <c r="C50" s="14">
        <f t="shared" si="0"/>
        <v>2.1000000000000014</v>
      </c>
    </row>
    <row r="51" spans="1:4" x14ac:dyDescent="0.35">
      <c r="A51" s="70">
        <v>40756</v>
      </c>
      <c r="B51" s="11">
        <v>56.7</v>
      </c>
      <c r="C51" s="14">
        <f t="shared" si="0"/>
        <v>-1.5</v>
      </c>
    </row>
    <row r="52" spans="1:4" x14ac:dyDescent="0.35">
      <c r="A52" s="70">
        <v>40787</v>
      </c>
      <c r="B52" s="11">
        <v>49.8</v>
      </c>
      <c r="C52" s="14">
        <f t="shared" si="0"/>
        <v>-6.9000000000000057</v>
      </c>
      <c r="D52" s="1">
        <v>1.0999999999999999E-2</v>
      </c>
    </row>
    <row r="53" spans="1:4" x14ac:dyDescent="0.35">
      <c r="A53" s="70">
        <v>40817</v>
      </c>
      <c r="B53" s="11">
        <v>49.1</v>
      </c>
      <c r="C53" s="14">
        <f t="shared" si="0"/>
        <v>-0.69999999999999574</v>
      </c>
    </row>
    <row r="54" spans="1:4" x14ac:dyDescent="0.35">
      <c r="A54" s="70">
        <v>40848</v>
      </c>
      <c r="B54" s="11">
        <v>53.2</v>
      </c>
      <c r="C54" s="14">
        <f t="shared" si="0"/>
        <v>4.1000000000000014</v>
      </c>
    </row>
    <row r="55" spans="1:4" x14ac:dyDescent="0.35">
      <c r="A55" s="70">
        <v>40878</v>
      </c>
      <c r="B55" s="11">
        <v>54.2</v>
      </c>
      <c r="C55" s="14">
        <f t="shared" si="0"/>
        <v>1</v>
      </c>
      <c r="D55" s="1">
        <v>1.0999999999999999E-2</v>
      </c>
    </row>
    <row r="56" spans="1:4" x14ac:dyDescent="0.35">
      <c r="A56" s="70">
        <v>40909</v>
      </c>
      <c r="B56" s="11">
        <v>55.1</v>
      </c>
      <c r="C56" s="14">
        <f t="shared" si="0"/>
        <v>0.89999999999999858</v>
      </c>
    </row>
    <row r="57" spans="1:4" x14ac:dyDescent="0.35">
      <c r="A57" s="70">
        <v>40940</v>
      </c>
      <c r="B57" s="11">
        <v>53.4</v>
      </c>
      <c r="C57" s="14">
        <f t="shared" si="0"/>
        <v>-1.7000000000000028</v>
      </c>
    </row>
    <row r="58" spans="1:4" x14ac:dyDescent="0.35">
      <c r="A58" s="70">
        <v>40969</v>
      </c>
      <c r="B58" s="11">
        <v>54.1</v>
      </c>
      <c r="C58" s="14">
        <f t="shared" si="0"/>
        <v>0.70000000000000284</v>
      </c>
      <c r="D58" s="1">
        <v>1.2999999999999999E-2</v>
      </c>
    </row>
    <row r="59" spans="1:4" x14ac:dyDescent="0.35">
      <c r="A59" s="70">
        <v>41000</v>
      </c>
      <c r="B59" s="11">
        <v>52.3</v>
      </c>
      <c r="C59" s="14">
        <f t="shared" si="0"/>
        <v>-1.8000000000000043</v>
      </c>
    </row>
    <row r="60" spans="1:4" x14ac:dyDescent="0.35">
      <c r="A60" s="70">
        <v>41030</v>
      </c>
      <c r="B60" s="11">
        <v>52.8</v>
      </c>
      <c r="C60" s="14">
        <f t="shared" si="0"/>
        <v>0.5</v>
      </c>
    </row>
    <row r="61" spans="1:4" x14ac:dyDescent="0.35">
      <c r="A61" s="70">
        <v>41061</v>
      </c>
      <c r="B61" s="11">
        <v>54.7</v>
      </c>
      <c r="C61" s="14">
        <f t="shared" si="0"/>
        <v>1.9000000000000057</v>
      </c>
      <c r="D61" s="1">
        <v>1.4E-2</v>
      </c>
    </row>
    <row r="62" spans="1:4" x14ac:dyDescent="0.35">
      <c r="A62" s="70">
        <v>41091</v>
      </c>
      <c r="B62" s="11">
        <v>54.3</v>
      </c>
      <c r="C62" s="14">
        <f t="shared" si="0"/>
        <v>-0.40000000000000568</v>
      </c>
    </row>
    <row r="63" spans="1:4" x14ac:dyDescent="0.35">
      <c r="A63" s="70">
        <v>41122</v>
      </c>
      <c r="B63" s="11">
        <v>54.2</v>
      </c>
      <c r="C63" s="14">
        <f t="shared" si="0"/>
        <v>-9.9999999999994316E-2</v>
      </c>
    </row>
    <row r="64" spans="1:4" x14ac:dyDescent="0.35">
      <c r="A64" s="70">
        <v>41153</v>
      </c>
      <c r="B64" s="11">
        <v>55</v>
      </c>
      <c r="C64" s="14">
        <f t="shared" si="0"/>
        <v>0.79999999999999716</v>
      </c>
      <c r="D64" s="1">
        <v>7.0000000000000001E-3</v>
      </c>
    </row>
    <row r="65" spans="1:4" x14ac:dyDescent="0.35">
      <c r="A65" s="70">
        <v>41183</v>
      </c>
      <c r="B65" s="11">
        <v>55.8</v>
      </c>
      <c r="C65" s="14">
        <f t="shared" si="0"/>
        <v>0.79999999999999716</v>
      </c>
    </row>
    <row r="66" spans="1:4" x14ac:dyDescent="0.35">
      <c r="A66" s="70">
        <v>41214</v>
      </c>
      <c r="B66" s="11">
        <v>53.8</v>
      </c>
      <c r="C66" s="14">
        <f t="shared" si="0"/>
        <v>-2</v>
      </c>
    </row>
    <row r="67" spans="1:4" x14ac:dyDescent="0.35">
      <c r="A67" s="70">
        <v>41244</v>
      </c>
      <c r="B67" s="11">
        <v>52.1</v>
      </c>
      <c r="C67" s="14">
        <f t="shared" si="0"/>
        <v>-1.6999999999999957</v>
      </c>
      <c r="D67" s="1">
        <v>1.4999999999999999E-2</v>
      </c>
    </row>
    <row r="68" spans="1:4" x14ac:dyDescent="0.35">
      <c r="A68" s="70">
        <v>41275</v>
      </c>
      <c r="B68" s="11">
        <v>57.5</v>
      </c>
      <c r="C68" s="14">
        <f t="shared" si="0"/>
        <v>5.3999999999999986</v>
      </c>
    </row>
    <row r="69" spans="1:4" x14ac:dyDescent="0.35">
      <c r="A69" s="70">
        <v>41306</v>
      </c>
      <c r="B69" s="11">
        <v>54.2</v>
      </c>
      <c r="C69" s="14">
        <f t="shared" si="0"/>
        <v>-3.2999999999999972</v>
      </c>
    </row>
    <row r="70" spans="1:4" x14ac:dyDescent="0.35">
      <c r="A70" s="70">
        <v>41334</v>
      </c>
      <c r="B70" s="11">
        <v>51.4</v>
      </c>
      <c r="C70" s="14">
        <f t="shared" si="0"/>
        <v>-2.8000000000000043</v>
      </c>
      <c r="D70" s="1">
        <v>0.01</v>
      </c>
    </row>
    <row r="71" spans="1:4" x14ac:dyDescent="0.35">
      <c r="A71" s="70">
        <v>41365</v>
      </c>
      <c r="B71" s="11">
        <v>50.7</v>
      </c>
      <c r="C71" s="14">
        <f t="shared" si="0"/>
        <v>-0.69999999999999574</v>
      </c>
    </row>
    <row r="72" spans="1:4" x14ac:dyDescent="0.35">
      <c r="A72" s="70">
        <v>41395</v>
      </c>
      <c r="B72" s="11">
        <v>53.6</v>
      </c>
      <c r="C72" s="14">
        <f t="shared" si="0"/>
        <v>2.8999999999999986</v>
      </c>
    </row>
    <row r="73" spans="1:4" x14ac:dyDescent="0.35">
      <c r="A73" s="70">
        <v>41426</v>
      </c>
      <c r="B73" s="11">
        <v>51.7</v>
      </c>
      <c r="C73" s="14">
        <f t="shared" si="0"/>
        <v>-1.8999999999999986</v>
      </c>
      <c r="D73" s="1">
        <v>7.0000000000000001E-3</v>
      </c>
    </row>
    <row r="74" spans="1:4" x14ac:dyDescent="0.35">
      <c r="A74" s="70">
        <v>41456</v>
      </c>
      <c r="B74" s="11">
        <v>47.9</v>
      </c>
      <c r="C74" s="14">
        <f t="shared" si="0"/>
        <v>-3.8000000000000043</v>
      </c>
    </row>
    <row r="75" spans="1:4" x14ac:dyDescent="0.35">
      <c r="A75" s="70">
        <v>41487</v>
      </c>
      <c r="B75" s="11">
        <v>47.6</v>
      </c>
      <c r="C75" s="14">
        <f t="shared" si="0"/>
        <v>-0.29999999999999716</v>
      </c>
    </row>
    <row r="76" spans="1:4" x14ac:dyDescent="0.35">
      <c r="A76" s="70">
        <v>41518</v>
      </c>
      <c r="B76" s="11">
        <v>44.6</v>
      </c>
      <c r="C76" s="14">
        <f t="shared" si="0"/>
        <v>-3</v>
      </c>
      <c r="D76" s="1">
        <v>1.7999999999999999E-2</v>
      </c>
    </row>
    <row r="77" spans="1:4" x14ac:dyDescent="0.35">
      <c r="A77" s="70">
        <v>41548</v>
      </c>
      <c r="B77" s="11">
        <v>47.1</v>
      </c>
      <c r="C77" s="14">
        <f t="shared" si="0"/>
        <v>2.5</v>
      </c>
    </row>
    <row r="78" spans="1:4" x14ac:dyDescent="0.35">
      <c r="A78" s="70">
        <v>41579</v>
      </c>
      <c r="B78" s="11">
        <v>47.2</v>
      </c>
      <c r="C78" s="14">
        <f t="shared" si="0"/>
        <v>0.10000000000000142</v>
      </c>
    </row>
    <row r="79" spans="1:4" x14ac:dyDescent="0.35">
      <c r="A79" s="70">
        <v>41609</v>
      </c>
      <c r="B79" s="11">
        <v>47.9</v>
      </c>
      <c r="C79" s="14">
        <f t="shared" si="0"/>
        <v>0.69999999999999574</v>
      </c>
      <c r="D79" s="1">
        <v>0.01</v>
      </c>
    </row>
    <row r="80" spans="1:4" x14ac:dyDescent="0.35">
      <c r="A80" s="70">
        <v>41640</v>
      </c>
      <c r="B80" s="11">
        <v>48.3</v>
      </c>
      <c r="C80" s="14">
        <f t="shared" si="0"/>
        <v>0.39999999999999858</v>
      </c>
      <c r="D80"/>
    </row>
    <row r="81" spans="1:9" x14ac:dyDescent="0.35">
      <c r="A81" s="70">
        <v>41671</v>
      </c>
      <c r="B81" s="11">
        <v>48.8</v>
      </c>
      <c r="C81" s="14">
        <f t="shared" si="0"/>
        <v>0.5</v>
      </c>
      <c r="D81"/>
    </row>
    <row r="82" spans="1:9" x14ac:dyDescent="0.35">
      <c r="A82" s="70">
        <v>41699</v>
      </c>
      <c r="B82" s="11">
        <v>47.5</v>
      </c>
      <c r="C82" s="14">
        <f t="shared" si="0"/>
        <v>-1.2999999999999972</v>
      </c>
      <c r="D82" s="36">
        <v>2.1000000000000001E-2</v>
      </c>
    </row>
    <row r="83" spans="1:9" x14ac:dyDescent="0.35">
      <c r="A83" s="70">
        <v>41730</v>
      </c>
      <c r="B83" s="11">
        <v>48.5</v>
      </c>
      <c r="C83" s="14">
        <f t="shared" si="0"/>
        <v>1</v>
      </c>
      <c r="D83"/>
    </row>
    <row r="84" spans="1:9" x14ac:dyDescent="0.35">
      <c r="A84" s="70">
        <v>41760</v>
      </c>
      <c r="B84" s="11">
        <v>50.7</v>
      </c>
      <c r="C84" s="14">
        <f t="shared" ref="C84:C87" si="1">B84-B83</f>
        <v>2.2000000000000028</v>
      </c>
    </row>
    <row r="85" spans="1:9" x14ac:dyDescent="0.35">
      <c r="A85" s="70">
        <v>41791</v>
      </c>
      <c r="B85" s="11">
        <v>54.4</v>
      </c>
      <c r="C85" s="14">
        <f t="shared" si="1"/>
        <v>3.6999999999999957</v>
      </c>
      <c r="D85" s="1">
        <v>2.4899999999999999E-2</v>
      </c>
      <c r="H85" s="41" t="s">
        <v>75</v>
      </c>
      <c r="I85" t="s">
        <v>42</v>
      </c>
    </row>
    <row r="86" spans="1:9" x14ac:dyDescent="0.35">
      <c r="A86" s="70">
        <v>41821</v>
      </c>
      <c r="B86" s="11">
        <v>52.2</v>
      </c>
      <c r="C86" s="14">
        <f t="shared" si="1"/>
        <v>-2.1999999999999957</v>
      </c>
    </row>
    <row r="87" spans="1:9" x14ac:dyDescent="0.35">
      <c r="A87" s="70">
        <v>41852</v>
      </c>
      <c r="B87" s="11">
        <v>50.6</v>
      </c>
      <c r="C87" s="14">
        <f t="shared" si="1"/>
        <v>-1.6000000000000014</v>
      </c>
    </row>
    <row r="88" spans="1:9" x14ac:dyDescent="0.35">
      <c r="A88" s="70">
        <v>41883</v>
      </c>
      <c r="B88" s="11">
        <v>51.6</v>
      </c>
      <c r="C88" s="14">
        <f>IFERROR(B88-B87,"")</f>
        <v>1</v>
      </c>
      <c r="D88" s="1" t="e">
        <f>IF(VLOOKUP(I85,Data!$A$30:$H$150,7,FALSE)=A87,VLOOKUP(I85,Data!$A$30:$H$150,2,FALSE)/100,#N/A)</f>
        <v>#N/A</v>
      </c>
    </row>
    <row r="89" spans="1:9" x14ac:dyDescent="0.35">
      <c r="A89" s="70">
        <v>41913</v>
      </c>
      <c r="B89" s="11">
        <v>50</v>
      </c>
      <c r="C89" s="14">
        <v>-1.6000000000000014</v>
      </c>
    </row>
    <row r="90" spans="1:9" x14ac:dyDescent="0.35">
      <c r="A90" s="70">
        <v>41944</v>
      </c>
      <c r="B90" s="11" t="str">
        <f>IF(A90=Data!$C$1,VLOOKUP($H$85,Data!$A$2:$C$36,3,FALSE),"N/A")</f>
        <v>N/A</v>
      </c>
      <c r="C90" s="14" t="str">
        <f t="shared" ref="C90:C121" si="2">IFERROR(B90-B89,"")</f>
        <v/>
      </c>
    </row>
    <row r="91" spans="1:9" x14ac:dyDescent="0.35">
      <c r="A91" s="70">
        <v>41974</v>
      </c>
      <c r="B91" s="11" t="s">
        <v>283</v>
      </c>
      <c r="C91" s="7" t="str">
        <f t="shared" si="2"/>
        <v/>
      </c>
    </row>
    <row r="92" spans="1:9" x14ac:dyDescent="0.35">
      <c r="A92" s="70">
        <v>42005</v>
      </c>
      <c r="B92" s="11" t="s">
        <v>283</v>
      </c>
      <c r="C92" s="7" t="str">
        <f t="shared" si="2"/>
        <v/>
      </c>
    </row>
    <row r="93" spans="1:9" x14ac:dyDescent="0.35">
      <c r="A93" s="70">
        <v>42036</v>
      </c>
      <c r="B93" s="11" t="s">
        <v>283</v>
      </c>
      <c r="C93" s="7" t="str">
        <f t="shared" si="2"/>
        <v/>
      </c>
    </row>
    <row r="94" spans="1:9" x14ac:dyDescent="0.35">
      <c r="A94" s="70">
        <v>42064</v>
      </c>
      <c r="B94" s="11" t="s">
        <v>283</v>
      </c>
      <c r="C94" s="7" t="str">
        <f t="shared" si="2"/>
        <v/>
      </c>
    </row>
    <row r="95" spans="1:9" x14ac:dyDescent="0.35">
      <c r="A95" s="70">
        <v>42095</v>
      </c>
      <c r="B95" s="11" t="s">
        <v>283</v>
      </c>
      <c r="C95" s="7" t="str">
        <f t="shared" si="2"/>
        <v/>
      </c>
    </row>
    <row r="96" spans="1:9" x14ac:dyDescent="0.35">
      <c r="A96" s="70">
        <v>42125</v>
      </c>
      <c r="B96" s="11" t="s">
        <v>283</v>
      </c>
      <c r="C96" s="7" t="str">
        <f t="shared" si="2"/>
        <v/>
      </c>
    </row>
    <row r="97" spans="1:3" x14ac:dyDescent="0.35">
      <c r="A97" s="70">
        <v>42156</v>
      </c>
      <c r="B97" s="11" t="s">
        <v>283</v>
      </c>
      <c r="C97" s="7" t="str">
        <f t="shared" si="2"/>
        <v/>
      </c>
    </row>
    <row r="98" spans="1:3" x14ac:dyDescent="0.35">
      <c r="A98" s="70">
        <v>42186</v>
      </c>
      <c r="B98" s="11" t="s">
        <v>283</v>
      </c>
      <c r="C98" s="7" t="str">
        <f t="shared" si="2"/>
        <v/>
      </c>
    </row>
    <row r="99" spans="1:3" x14ac:dyDescent="0.35">
      <c r="A99" s="70">
        <v>42217</v>
      </c>
      <c r="B99" s="11" t="s">
        <v>283</v>
      </c>
      <c r="C99" s="7" t="str">
        <f t="shared" si="2"/>
        <v/>
      </c>
    </row>
    <row r="100" spans="1:3" x14ac:dyDescent="0.35">
      <c r="A100" s="70">
        <v>42248</v>
      </c>
      <c r="B100" s="11" t="s">
        <v>283</v>
      </c>
      <c r="C100" s="7" t="str">
        <f t="shared" si="2"/>
        <v/>
      </c>
    </row>
    <row r="101" spans="1:3" x14ac:dyDescent="0.35">
      <c r="A101" s="70">
        <v>42278</v>
      </c>
      <c r="B101" s="11" t="s">
        <v>283</v>
      </c>
      <c r="C101" s="7" t="str">
        <f t="shared" si="2"/>
        <v/>
      </c>
    </row>
    <row r="102" spans="1:3" x14ac:dyDescent="0.35">
      <c r="A102" s="70">
        <v>42309</v>
      </c>
      <c r="B102" s="11" t="s">
        <v>283</v>
      </c>
      <c r="C102" s="7" t="str">
        <f t="shared" si="2"/>
        <v/>
      </c>
    </row>
    <row r="103" spans="1:3" x14ac:dyDescent="0.35">
      <c r="A103" s="70">
        <v>42339</v>
      </c>
      <c r="B103" s="11" t="s">
        <v>283</v>
      </c>
      <c r="C103" s="7" t="str">
        <f t="shared" si="2"/>
        <v/>
      </c>
    </row>
    <row r="104" spans="1:3" x14ac:dyDescent="0.35">
      <c r="A104" s="70">
        <v>42370</v>
      </c>
      <c r="B104" s="11" t="s">
        <v>283</v>
      </c>
      <c r="C104" s="7" t="str">
        <f t="shared" si="2"/>
        <v/>
      </c>
    </row>
    <row r="105" spans="1:3" x14ac:dyDescent="0.35">
      <c r="A105" s="70">
        <v>42401</v>
      </c>
      <c r="B105" s="11" t="s">
        <v>283</v>
      </c>
      <c r="C105" s="7" t="str">
        <f t="shared" si="2"/>
        <v/>
      </c>
    </row>
    <row r="106" spans="1:3" x14ac:dyDescent="0.35">
      <c r="A106" s="70">
        <v>42430</v>
      </c>
      <c r="B106" s="11" t="s">
        <v>283</v>
      </c>
      <c r="C106" s="7" t="str">
        <f t="shared" si="2"/>
        <v/>
      </c>
    </row>
    <row r="107" spans="1:3" x14ac:dyDescent="0.35">
      <c r="A107" s="70">
        <v>42461</v>
      </c>
      <c r="B107" s="11" t="s">
        <v>283</v>
      </c>
      <c r="C107" s="7" t="str">
        <f t="shared" si="2"/>
        <v/>
      </c>
    </row>
    <row r="108" spans="1:3" x14ac:dyDescent="0.35">
      <c r="A108" s="70">
        <v>42491</v>
      </c>
      <c r="B108" s="11" t="s">
        <v>283</v>
      </c>
      <c r="C108" s="7" t="str">
        <f t="shared" si="2"/>
        <v/>
      </c>
    </row>
    <row r="109" spans="1:3" x14ac:dyDescent="0.35">
      <c r="A109" s="70">
        <v>42522</v>
      </c>
      <c r="B109" s="11" t="s">
        <v>283</v>
      </c>
      <c r="C109" s="7" t="str">
        <f t="shared" si="2"/>
        <v/>
      </c>
    </row>
    <row r="110" spans="1:3" x14ac:dyDescent="0.35">
      <c r="A110" s="70">
        <v>42552</v>
      </c>
      <c r="B110" s="11" t="s">
        <v>283</v>
      </c>
      <c r="C110" s="7" t="str">
        <f t="shared" si="2"/>
        <v/>
      </c>
    </row>
    <row r="111" spans="1:3" x14ac:dyDescent="0.35">
      <c r="A111" s="70">
        <v>42583</v>
      </c>
      <c r="B111" s="11" t="s">
        <v>283</v>
      </c>
      <c r="C111" s="7" t="str">
        <f t="shared" si="2"/>
        <v/>
      </c>
    </row>
    <row r="112" spans="1:3" x14ac:dyDescent="0.35">
      <c r="A112" s="70">
        <v>42614</v>
      </c>
      <c r="B112" s="11" t="s">
        <v>283</v>
      </c>
      <c r="C112" s="7" t="str">
        <f t="shared" si="2"/>
        <v/>
      </c>
    </row>
    <row r="113" spans="1:3" x14ac:dyDescent="0.35">
      <c r="A113" s="70">
        <v>42644</v>
      </c>
      <c r="B113" s="11" t="s">
        <v>283</v>
      </c>
      <c r="C113" s="7" t="str">
        <f t="shared" si="2"/>
        <v/>
      </c>
    </row>
    <row r="114" spans="1:3" x14ac:dyDescent="0.35">
      <c r="A114" s="70">
        <v>42675</v>
      </c>
      <c r="B114" s="11" t="s">
        <v>283</v>
      </c>
      <c r="C114" s="7" t="str">
        <f t="shared" si="2"/>
        <v/>
      </c>
    </row>
    <row r="115" spans="1:3" x14ac:dyDescent="0.35">
      <c r="A115" s="70">
        <v>42705</v>
      </c>
      <c r="B115" s="11" t="s">
        <v>283</v>
      </c>
      <c r="C115" s="7" t="str">
        <f t="shared" si="2"/>
        <v/>
      </c>
    </row>
    <row r="116" spans="1:3" x14ac:dyDescent="0.35">
      <c r="A116" s="70">
        <v>42736</v>
      </c>
      <c r="B116" s="11" t="s">
        <v>283</v>
      </c>
      <c r="C116" s="7" t="str">
        <f t="shared" si="2"/>
        <v/>
      </c>
    </row>
    <row r="117" spans="1:3" x14ac:dyDescent="0.35">
      <c r="A117" s="70">
        <v>42767</v>
      </c>
      <c r="B117" s="11" t="s">
        <v>283</v>
      </c>
      <c r="C117" s="7" t="str">
        <f t="shared" si="2"/>
        <v/>
      </c>
    </row>
    <row r="118" spans="1:3" x14ac:dyDescent="0.35">
      <c r="A118" s="70">
        <v>42795</v>
      </c>
      <c r="B118" s="11" t="s">
        <v>283</v>
      </c>
      <c r="C118" s="7" t="str">
        <f t="shared" si="2"/>
        <v/>
      </c>
    </row>
    <row r="119" spans="1:3" x14ac:dyDescent="0.35">
      <c r="A119" s="70">
        <v>42826</v>
      </c>
      <c r="B119" s="11" t="s">
        <v>283</v>
      </c>
      <c r="C119" s="7" t="str">
        <f t="shared" si="2"/>
        <v/>
      </c>
    </row>
    <row r="120" spans="1:3" x14ac:dyDescent="0.35">
      <c r="A120" s="70">
        <v>42856</v>
      </c>
      <c r="B120" s="11" t="s">
        <v>283</v>
      </c>
      <c r="C120" s="7" t="str">
        <f t="shared" si="2"/>
        <v/>
      </c>
    </row>
    <row r="121" spans="1:3" x14ac:dyDescent="0.35">
      <c r="A121" s="70">
        <v>42887</v>
      </c>
      <c r="B121" s="11" t="s">
        <v>283</v>
      </c>
      <c r="C121" s="7" t="str">
        <f t="shared" si="2"/>
        <v/>
      </c>
    </row>
    <row r="122" spans="1:3" x14ac:dyDescent="0.35">
      <c r="A122" s="70">
        <v>42917</v>
      </c>
      <c r="B122" s="11" t="s">
        <v>283</v>
      </c>
      <c r="C122" s="7" t="str">
        <f t="shared" ref="C122:C153" si="3">IFERROR(B122-B121,"")</f>
        <v/>
      </c>
    </row>
    <row r="123" spans="1:3" x14ac:dyDescent="0.35">
      <c r="A123" s="70">
        <v>42948</v>
      </c>
      <c r="B123" s="11" t="s">
        <v>283</v>
      </c>
      <c r="C123" s="7" t="str">
        <f t="shared" si="3"/>
        <v/>
      </c>
    </row>
    <row r="124" spans="1:3" x14ac:dyDescent="0.35">
      <c r="A124" s="70">
        <v>42979</v>
      </c>
      <c r="B124" s="11" t="s">
        <v>283</v>
      </c>
      <c r="C124" s="7" t="str">
        <f t="shared" si="3"/>
        <v/>
      </c>
    </row>
    <row r="125" spans="1:3" x14ac:dyDescent="0.35">
      <c r="A125" s="70">
        <v>43009</v>
      </c>
      <c r="B125" s="11" t="s">
        <v>283</v>
      </c>
      <c r="C125" s="7" t="str">
        <f t="shared" si="3"/>
        <v/>
      </c>
    </row>
    <row r="126" spans="1:3" x14ac:dyDescent="0.35">
      <c r="A126" s="70">
        <v>43040</v>
      </c>
      <c r="B126" s="11" t="s">
        <v>283</v>
      </c>
      <c r="C126" s="7" t="str">
        <f t="shared" si="3"/>
        <v/>
      </c>
    </row>
    <row r="127" spans="1:3" x14ac:dyDescent="0.35">
      <c r="A127" s="70">
        <v>43070</v>
      </c>
      <c r="B127" s="11" t="s">
        <v>283</v>
      </c>
      <c r="C127" s="7" t="str">
        <f t="shared" si="3"/>
        <v/>
      </c>
    </row>
    <row r="128" spans="1:3" x14ac:dyDescent="0.35">
      <c r="A128" s="70">
        <v>43101</v>
      </c>
      <c r="B128" s="11" t="s">
        <v>283</v>
      </c>
      <c r="C128" s="7" t="str">
        <f t="shared" si="3"/>
        <v/>
      </c>
    </row>
    <row r="129" spans="1:3" x14ac:dyDescent="0.35">
      <c r="A129" s="70">
        <v>43132</v>
      </c>
      <c r="B129" s="11" t="s">
        <v>283</v>
      </c>
      <c r="C129" s="7" t="str">
        <f t="shared" si="3"/>
        <v/>
      </c>
    </row>
    <row r="130" spans="1:3" x14ac:dyDescent="0.35">
      <c r="A130" s="70">
        <v>43160</v>
      </c>
      <c r="B130" s="11" t="s">
        <v>283</v>
      </c>
      <c r="C130" s="7" t="str">
        <f t="shared" si="3"/>
        <v/>
      </c>
    </row>
    <row r="131" spans="1:3" x14ac:dyDescent="0.35">
      <c r="A131" s="70">
        <v>43191</v>
      </c>
      <c r="B131" s="11" t="s">
        <v>283</v>
      </c>
      <c r="C131" s="7" t="str">
        <f t="shared" si="3"/>
        <v/>
      </c>
    </row>
    <row r="132" spans="1:3" x14ac:dyDescent="0.35">
      <c r="A132" s="70">
        <v>43221</v>
      </c>
      <c r="B132" s="11" t="s">
        <v>283</v>
      </c>
      <c r="C132" s="7" t="str">
        <f t="shared" si="3"/>
        <v/>
      </c>
    </row>
    <row r="133" spans="1:3" x14ac:dyDescent="0.35">
      <c r="A133" s="70">
        <v>43252</v>
      </c>
      <c r="B133" s="11" t="s">
        <v>283</v>
      </c>
      <c r="C133" s="7" t="str">
        <f t="shared" si="3"/>
        <v/>
      </c>
    </row>
    <row r="134" spans="1:3" x14ac:dyDescent="0.35">
      <c r="A134" s="70">
        <v>43282</v>
      </c>
      <c r="B134" s="11" t="s">
        <v>283</v>
      </c>
      <c r="C134" s="7" t="str">
        <f t="shared" si="3"/>
        <v/>
      </c>
    </row>
    <row r="135" spans="1:3" x14ac:dyDescent="0.35">
      <c r="A135" s="70">
        <v>43313</v>
      </c>
      <c r="B135" s="11" t="s">
        <v>283</v>
      </c>
      <c r="C135" s="7" t="str">
        <f t="shared" si="3"/>
        <v/>
      </c>
    </row>
    <row r="136" spans="1:3" x14ac:dyDescent="0.35">
      <c r="A136" s="70">
        <v>43344</v>
      </c>
      <c r="B136" s="11" t="s">
        <v>283</v>
      </c>
      <c r="C136" s="7" t="str">
        <f t="shared" si="3"/>
        <v/>
      </c>
    </row>
    <row r="137" spans="1:3" x14ac:dyDescent="0.35">
      <c r="A137" s="70">
        <v>43374</v>
      </c>
      <c r="B137" s="11" t="s">
        <v>283</v>
      </c>
      <c r="C137" s="7" t="str">
        <f t="shared" si="3"/>
        <v/>
      </c>
    </row>
    <row r="138" spans="1:3" x14ac:dyDescent="0.35">
      <c r="A138" s="70">
        <v>43405</v>
      </c>
      <c r="B138" s="11" t="s">
        <v>283</v>
      </c>
      <c r="C138" s="7" t="str">
        <f t="shared" si="3"/>
        <v/>
      </c>
    </row>
    <row r="139" spans="1:3" x14ac:dyDescent="0.35">
      <c r="A139" s="70">
        <v>43435</v>
      </c>
      <c r="B139" s="11" t="s">
        <v>283</v>
      </c>
      <c r="C139" s="7" t="str">
        <f t="shared" si="3"/>
        <v/>
      </c>
    </row>
    <row r="140" spans="1:3" x14ac:dyDescent="0.35">
      <c r="A140" s="70">
        <v>43466</v>
      </c>
      <c r="B140" s="11" t="s">
        <v>283</v>
      </c>
      <c r="C140" s="7" t="str">
        <f t="shared" si="3"/>
        <v/>
      </c>
    </row>
    <row r="141" spans="1:3" x14ac:dyDescent="0.35">
      <c r="A141" s="70">
        <v>43497</v>
      </c>
      <c r="B141" s="11" t="s">
        <v>283</v>
      </c>
      <c r="C141" s="7" t="str">
        <f t="shared" si="3"/>
        <v/>
      </c>
    </row>
    <row r="142" spans="1:3" x14ac:dyDescent="0.35">
      <c r="A142" s="70">
        <v>43525</v>
      </c>
      <c r="B142" s="11" t="s">
        <v>283</v>
      </c>
      <c r="C142" s="7" t="str">
        <f t="shared" si="3"/>
        <v/>
      </c>
    </row>
    <row r="143" spans="1:3" x14ac:dyDescent="0.35">
      <c r="A143" s="70">
        <v>43556</v>
      </c>
      <c r="B143" s="11" t="s">
        <v>283</v>
      </c>
      <c r="C143" s="7" t="str">
        <f t="shared" si="3"/>
        <v/>
      </c>
    </row>
    <row r="144" spans="1:3" x14ac:dyDescent="0.35">
      <c r="A144" s="70">
        <v>43586</v>
      </c>
      <c r="B144" s="11" t="s">
        <v>283</v>
      </c>
      <c r="C144" s="7" t="str">
        <f t="shared" si="3"/>
        <v/>
      </c>
    </row>
    <row r="145" spans="1:3" x14ac:dyDescent="0.35">
      <c r="A145" s="70">
        <v>43617</v>
      </c>
      <c r="B145" s="11" t="s">
        <v>283</v>
      </c>
      <c r="C145" s="7" t="str">
        <f t="shared" si="3"/>
        <v/>
      </c>
    </row>
    <row r="146" spans="1:3" x14ac:dyDescent="0.35">
      <c r="A146" s="70">
        <v>43647</v>
      </c>
      <c r="B146" s="11" t="s">
        <v>283</v>
      </c>
      <c r="C146" s="7" t="str">
        <f t="shared" si="3"/>
        <v/>
      </c>
    </row>
    <row r="147" spans="1:3" x14ac:dyDescent="0.35">
      <c r="A147" s="70">
        <v>43678</v>
      </c>
      <c r="B147" s="11" t="s">
        <v>283</v>
      </c>
      <c r="C147" s="7" t="str">
        <f t="shared" si="3"/>
        <v/>
      </c>
    </row>
    <row r="148" spans="1:3" x14ac:dyDescent="0.35">
      <c r="A148" s="70">
        <v>43709</v>
      </c>
      <c r="B148" s="11" t="s">
        <v>283</v>
      </c>
      <c r="C148" s="7" t="str">
        <f t="shared" si="3"/>
        <v/>
      </c>
    </row>
    <row r="149" spans="1:3" x14ac:dyDescent="0.35">
      <c r="A149" s="70">
        <v>43739</v>
      </c>
      <c r="B149" s="11" t="s">
        <v>283</v>
      </c>
      <c r="C149" s="7" t="str">
        <f t="shared" si="3"/>
        <v/>
      </c>
    </row>
    <row r="150" spans="1:3" x14ac:dyDescent="0.35">
      <c r="A150" s="70">
        <v>43770</v>
      </c>
      <c r="B150" s="11" t="s">
        <v>283</v>
      </c>
      <c r="C150" s="7" t="str">
        <f t="shared" si="3"/>
        <v/>
      </c>
    </row>
    <row r="151" spans="1:3" x14ac:dyDescent="0.35">
      <c r="A151" s="70">
        <v>43800</v>
      </c>
      <c r="B151" s="11" t="s">
        <v>283</v>
      </c>
      <c r="C151" s="7" t="str">
        <f t="shared" si="3"/>
        <v/>
      </c>
    </row>
    <row r="152" spans="1:3" x14ac:dyDescent="0.35">
      <c r="A152" s="70">
        <v>43831</v>
      </c>
      <c r="B152" s="11" t="s">
        <v>283</v>
      </c>
      <c r="C152" s="7" t="str">
        <f t="shared" si="3"/>
        <v/>
      </c>
    </row>
    <row r="153" spans="1:3" x14ac:dyDescent="0.35">
      <c r="A153" s="70">
        <v>43862</v>
      </c>
      <c r="B153" s="11" t="s">
        <v>283</v>
      </c>
      <c r="C153" s="7" t="str">
        <f t="shared" si="3"/>
        <v/>
      </c>
    </row>
    <row r="154" spans="1:3" x14ac:dyDescent="0.35">
      <c r="A154" s="70">
        <v>43891</v>
      </c>
      <c r="B154" s="11" t="s">
        <v>283</v>
      </c>
      <c r="C154" s="7" t="str">
        <f t="shared" ref="C154:C185" si="4">IFERROR(B154-B153,"")</f>
        <v/>
      </c>
    </row>
    <row r="155" spans="1:3" x14ac:dyDescent="0.35">
      <c r="A155" s="70">
        <v>43922</v>
      </c>
      <c r="B155" s="11" t="s">
        <v>283</v>
      </c>
      <c r="C155" s="7" t="str">
        <f t="shared" si="4"/>
        <v/>
      </c>
    </row>
    <row r="156" spans="1:3" x14ac:dyDescent="0.35">
      <c r="A156" s="70">
        <v>43952</v>
      </c>
      <c r="B156" s="11" t="s">
        <v>283</v>
      </c>
      <c r="C156" s="7" t="str">
        <f t="shared" si="4"/>
        <v/>
      </c>
    </row>
    <row r="157" spans="1:3" x14ac:dyDescent="0.35">
      <c r="A157" s="70">
        <v>43983</v>
      </c>
      <c r="B157" s="11" t="s">
        <v>283</v>
      </c>
      <c r="C157" s="7" t="str">
        <f t="shared" si="4"/>
        <v/>
      </c>
    </row>
    <row r="158" spans="1:3" x14ac:dyDescent="0.35">
      <c r="A158" s="70">
        <v>44013</v>
      </c>
      <c r="B158" s="11" t="s">
        <v>283</v>
      </c>
      <c r="C158" s="7" t="str">
        <f t="shared" si="4"/>
        <v/>
      </c>
    </row>
    <row r="159" spans="1:3" x14ac:dyDescent="0.35">
      <c r="A159" s="70">
        <v>44044</v>
      </c>
      <c r="B159" s="11" t="s">
        <v>283</v>
      </c>
      <c r="C159" s="7" t="str">
        <f t="shared" si="4"/>
        <v/>
      </c>
    </row>
    <row r="160" spans="1:3" x14ac:dyDescent="0.35">
      <c r="A160" s="70">
        <v>44075</v>
      </c>
      <c r="B160" s="11" t="s">
        <v>283</v>
      </c>
      <c r="C160" s="7" t="str">
        <f t="shared" si="4"/>
        <v/>
      </c>
    </row>
    <row r="161" spans="1:3" x14ac:dyDescent="0.35">
      <c r="A161" s="70">
        <v>44105</v>
      </c>
      <c r="B161" s="11" t="s">
        <v>283</v>
      </c>
      <c r="C161" s="7" t="str">
        <f t="shared" si="4"/>
        <v/>
      </c>
    </row>
    <row r="162" spans="1:3" x14ac:dyDescent="0.35">
      <c r="A162" s="70">
        <v>44136</v>
      </c>
      <c r="B162" s="11" t="s">
        <v>283</v>
      </c>
      <c r="C162" s="7" t="str">
        <f t="shared" si="4"/>
        <v/>
      </c>
    </row>
    <row r="163" spans="1:3" x14ac:dyDescent="0.35">
      <c r="A163" s="70">
        <v>44166</v>
      </c>
      <c r="B163" s="11" t="s">
        <v>283</v>
      </c>
      <c r="C163" s="7" t="str">
        <f t="shared" si="4"/>
        <v/>
      </c>
    </row>
    <row r="164" spans="1:3" x14ac:dyDescent="0.35">
      <c r="A164" s="70">
        <v>44197</v>
      </c>
      <c r="B164" s="11" t="s">
        <v>283</v>
      </c>
      <c r="C164" s="7" t="str">
        <f t="shared" si="4"/>
        <v/>
      </c>
    </row>
    <row r="165" spans="1:3" x14ac:dyDescent="0.35">
      <c r="A165" s="70">
        <v>44228</v>
      </c>
      <c r="B165" s="11" t="s">
        <v>283</v>
      </c>
      <c r="C165" s="7" t="str">
        <f t="shared" si="4"/>
        <v/>
      </c>
    </row>
    <row r="166" spans="1:3" x14ac:dyDescent="0.35">
      <c r="A166" s="70">
        <v>44256</v>
      </c>
      <c r="B166" s="11" t="s">
        <v>283</v>
      </c>
      <c r="C166" s="7" t="str">
        <f t="shared" si="4"/>
        <v/>
      </c>
    </row>
    <row r="167" spans="1:3" x14ac:dyDescent="0.35">
      <c r="A167" s="70">
        <v>44287</v>
      </c>
      <c r="B167" s="11" t="s">
        <v>283</v>
      </c>
      <c r="C167" s="7" t="str">
        <f t="shared" si="4"/>
        <v/>
      </c>
    </row>
    <row r="168" spans="1:3" x14ac:dyDescent="0.35">
      <c r="A168" s="70">
        <v>44317</v>
      </c>
      <c r="B168" s="11" t="s">
        <v>283</v>
      </c>
      <c r="C168" s="7" t="str">
        <f t="shared" si="4"/>
        <v/>
      </c>
    </row>
    <row r="169" spans="1:3" x14ac:dyDescent="0.35">
      <c r="A169" s="70">
        <v>44348</v>
      </c>
      <c r="B169" s="11" t="s">
        <v>283</v>
      </c>
      <c r="C169" s="7" t="str">
        <f t="shared" si="4"/>
        <v/>
      </c>
    </row>
    <row r="170" spans="1:3" x14ac:dyDescent="0.35">
      <c r="A170" s="70">
        <v>44378</v>
      </c>
      <c r="B170" s="11" t="s">
        <v>283</v>
      </c>
      <c r="C170" s="7" t="str">
        <f t="shared" si="4"/>
        <v/>
      </c>
    </row>
    <row r="171" spans="1:3" x14ac:dyDescent="0.35">
      <c r="A171" s="70">
        <v>44409</v>
      </c>
      <c r="B171" s="11" t="s">
        <v>283</v>
      </c>
      <c r="C171" s="7" t="str">
        <f t="shared" si="4"/>
        <v/>
      </c>
    </row>
    <row r="172" spans="1:3" x14ac:dyDescent="0.35">
      <c r="A172" s="70">
        <v>44440</v>
      </c>
      <c r="B172" s="11" t="s">
        <v>283</v>
      </c>
      <c r="C172" s="7" t="str">
        <f t="shared" si="4"/>
        <v/>
      </c>
    </row>
    <row r="173" spans="1:3" x14ac:dyDescent="0.35">
      <c r="A173" s="70">
        <v>44470</v>
      </c>
      <c r="B173" s="11" t="s">
        <v>283</v>
      </c>
      <c r="C173" s="7" t="str">
        <f t="shared" si="4"/>
        <v/>
      </c>
    </row>
    <row r="174" spans="1:3" x14ac:dyDescent="0.35">
      <c r="A174" s="70">
        <v>44501</v>
      </c>
      <c r="B174" s="11" t="s">
        <v>283</v>
      </c>
      <c r="C174" s="7" t="str">
        <f t="shared" si="4"/>
        <v/>
      </c>
    </row>
    <row r="175" spans="1:3" x14ac:dyDescent="0.35">
      <c r="A175" s="70">
        <v>44531</v>
      </c>
      <c r="B175" s="11" t="s">
        <v>283</v>
      </c>
      <c r="C175" s="7" t="str">
        <f t="shared" si="4"/>
        <v/>
      </c>
    </row>
    <row r="176" spans="1:3" x14ac:dyDescent="0.35">
      <c r="A176" s="70">
        <v>44562</v>
      </c>
      <c r="B176" s="11" t="s">
        <v>283</v>
      </c>
      <c r="C176" s="7" t="str">
        <f t="shared" si="4"/>
        <v/>
      </c>
    </row>
    <row r="177" spans="1:3" x14ac:dyDescent="0.35">
      <c r="A177" s="70">
        <v>44593</v>
      </c>
      <c r="B177" s="11" t="s">
        <v>283</v>
      </c>
      <c r="C177" s="7" t="str">
        <f t="shared" si="4"/>
        <v/>
      </c>
    </row>
    <row r="178" spans="1:3" x14ac:dyDescent="0.35">
      <c r="A178" s="70">
        <v>44621</v>
      </c>
      <c r="B178" s="11" t="s">
        <v>283</v>
      </c>
      <c r="C178" s="7" t="str">
        <f t="shared" si="4"/>
        <v/>
      </c>
    </row>
    <row r="179" spans="1:3" x14ac:dyDescent="0.35">
      <c r="A179" s="70">
        <v>44652</v>
      </c>
      <c r="B179" s="11" t="s">
        <v>283</v>
      </c>
      <c r="C179" s="7" t="str">
        <f t="shared" si="4"/>
        <v/>
      </c>
    </row>
    <row r="180" spans="1:3" x14ac:dyDescent="0.35">
      <c r="A180" s="70">
        <v>44682</v>
      </c>
      <c r="B180" s="11" t="s">
        <v>283</v>
      </c>
      <c r="C180" s="7" t="str">
        <f t="shared" si="4"/>
        <v/>
      </c>
    </row>
    <row r="181" spans="1:3" x14ac:dyDescent="0.35">
      <c r="A181" s="70">
        <v>44713</v>
      </c>
      <c r="B181" s="11" t="s">
        <v>283</v>
      </c>
      <c r="C181" s="7" t="str">
        <f t="shared" si="4"/>
        <v/>
      </c>
    </row>
    <row r="182" spans="1:3" x14ac:dyDescent="0.35">
      <c r="A182" s="70">
        <v>44743</v>
      </c>
      <c r="B182" s="11" t="s">
        <v>283</v>
      </c>
      <c r="C182" s="7" t="str">
        <f t="shared" si="4"/>
        <v/>
      </c>
    </row>
    <row r="183" spans="1:3" x14ac:dyDescent="0.35">
      <c r="A183" s="70">
        <v>44774</v>
      </c>
      <c r="B183" s="11" t="s">
        <v>283</v>
      </c>
      <c r="C183" s="7" t="str">
        <f t="shared" si="4"/>
        <v/>
      </c>
    </row>
    <row r="184" spans="1:3" x14ac:dyDescent="0.35">
      <c r="A184" s="70">
        <v>44805</v>
      </c>
      <c r="B184" s="11" t="s">
        <v>283</v>
      </c>
      <c r="C184" s="7" t="str">
        <f t="shared" si="4"/>
        <v/>
      </c>
    </row>
    <row r="185" spans="1:3" x14ac:dyDescent="0.35">
      <c r="A185" s="70">
        <v>44835</v>
      </c>
      <c r="B185" s="11" t="s">
        <v>283</v>
      </c>
      <c r="C185" s="7" t="str">
        <f t="shared" si="4"/>
        <v/>
      </c>
    </row>
    <row r="186" spans="1:3" x14ac:dyDescent="0.35">
      <c r="A186" s="70">
        <v>44866</v>
      </c>
      <c r="B186" s="11" t="s">
        <v>283</v>
      </c>
      <c r="C186" s="7" t="str">
        <f t="shared" ref="C186:C217" si="5">IFERROR(B186-B185,"")</f>
        <v/>
      </c>
    </row>
    <row r="187" spans="1:3" x14ac:dyDescent="0.35">
      <c r="A187" s="70">
        <v>44896</v>
      </c>
      <c r="B187" s="11" t="s">
        <v>283</v>
      </c>
      <c r="C187" s="7" t="str">
        <f t="shared" si="5"/>
        <v/>
      </c>
    </row>
    <row r="188" spans="1:3" x14ac:dyDescent="0.35">
      <c r="A188" s="70">
        <v>44927</v>
      </c>
      <c r="B188" s="11" t="s">
        <v>283</v>
      </c>
      <c r="C188" s="7" t="str">
        <f t="shared" si="5"/>
        <v/>
      </c>
    </row>
    <row r="189" spans="1:3" x14ac:dyDescent="0.35">
      <c r="A189" s="70">
        <v>44958</v>
      </c>
      <c r="B189" s="11" t="s">
        <v>283</v>
      </c>
      <c r="C189" s="7" t="str">
        <f t="shared" si="5"/>
        <v/>
      </c>
    </row>
    <row r="190" spans="1:3" x14ac:dyDescent="0.35">
      <c r="A190" s="70">
        <v>44986</v>
      </c>
      <c r="B190" s="11" t="s">
        <v>283</v>
      </c>
      <c r="C190" s="7" t="str">
        <f t="shared" si="5"/>
        <v/>
      </c>
    </row>
    <row r="191" spans="1:3" x14ac:dyDescent="0.35">
      <c r="A191" s="70">
        <v>45017</v>
      </c>
      <c r="B191" s="11" t="s">
        <v>283</v>
      </c>
      <c r="C191" s="7" t="str">
        <f t="shared" si="5"/>
        <v/>
      </c>
    </row>
    <row r="192" spans="1:3" x14ac:dyDescent="0.35">
      <c r="A192" s="70">
        <v>45047</v>
      </c>
      <c r="B192" s="11" t="s">
        <v>283</v>
      </c>
      <c r="C192" s="7" t="str">
        <f t="shared" si="5"/>
        <v/>
      </c>
    </row>
    <row r="193" spans="1:3" x14ac:dyDescent="0.35">
      <c r="A193" s="70">
        <v>45078</v>
      </c>
      <c r="B193" s="11" t="s">
        <v>283</v>
      </c>
      <c r="C193" s="7" t="str">
        <f t="shared" si="5"/>
        <v/>
      </c>
    </row>
    <row r="194" spans="1:3" x14ac:dyDescent="0.35">
      <c r="A194" s="70">
        <v>45108</v>
      </c>
      <c r="B194" s="11" t="s">
        <v>283</v>
      </c>
      <c r="C194" s="7" t="str">
        <f t="shared" si="5"/>
        <v/>
      </c>
    </row>
    <row r="195" spans="1:3" x14ac:dyDescent="0.35">
      <c r="A195" s="70">
        <v>45139</v>
      </c>
      <c r="B195" s="11" t="s">
        <v>283</v>
      </c>
      <c r="C195" s="7" t="str">
        <f t="shared" si="5"/>
        <v/>
      </c>
    </row>
    <row r="196" spans="1:3" x14ac:dyDescent="0.35">
      <c r="A196" s="70">
        <v>45170</v>
      </c>
      <c r="B196" s="11" t="s">
        <v>283</v>
      </c>
      <c r="C196" s="7" t="str">
        <f t="shared" si="5"/>
        <v/>
      </c>
    </row>
    <row r="197" spans="1:3" x14ac:dyDescent="0.35">
      <c r="A197" s="70">
        <v>45200</v>
      </c>
      <c r="B197" s="11" t="s">
        <v>283</v>
      </c>
      <c r="C197" s="7" t="str">
        <f t="shared" si="5"/>
        <v/>
      </c>
    </row>
    <row r="198" spans="1:3" x14ac:dyDescent="0.35">
      <c r="A198" s="70">
        <v>45231</v>
      </c>
      <c r="B198" s="11" t="s">
        <v>283</v>
      </c>
      <c r="C198" s="7" t="str">
        <f t="shared" si="5"/>
        <v/>
      </c>
    </row>
    <row r="199" spans="1:3" x14ac:dyDescent="0.35">
      <c r="A199" s="70">
        <v>45261</v>
      </c>
      <c r="B199" s="11" t="s">
        <v>283</v>
      </c>
      <c r="C199" s="7" t="str">
        <f t="shared" si="5"/>
        <v/>
      </c>
    </row>
    <row r="200" spans="1:3" x14ac:dyDescent="0.35">
      <c r="A200" s="70">
        <v>45292</v>
      </c>
      <c r="B200" s="11" t="s">
        <v>283</v>
      </c>
      <c r="C200" s="7" t="str">
        <f t="shared" si="5"/>
        <v/>
      </c>
    </row>
    <row r="201" spans="1:3" x14ac:dyDescent="0.35">
      <c r="A201" s="70">
        <v>45323</v>
      </c>
      <c r="B201" s="11" t="s">
        <v>283</v>
      </c>
      <c r="C201" s="7" t="str">
        <f t="shared" si="5"/>
        <v/>
      </c>
    </row>
    <row r="202" spans="1:3" x14ac:dyDescent="0.35">
      <c r="A202" s="70">
        <v>45352</v>
      </c>
      <c r="B202" s="11" t="s">
        <v>283</v>
      </c>
      <c r="C202" s="7" t="str">
        <f t="shared" si="5"/>
        <v/>
      </c>
    </row>
    <row r="203" spans="1:3" x14ac:dyDescent="0.35">
      <c r="A203" s="70">
        <v>45383</v>
      </c>
      <c r="B203" s="11" t="s">
        <v>283</v>
      </c>
      <c r="C203" s="7" t="str">
        <f t="shared" si="5"/>
        <v/>
      </c>
    </row>
    <row r="204" spans="1:3" x14ac:dyDescent="0.35">
      <c r="A204" s="70">
        <v>45413</v>
      </c>
      <c r="B204" s="11" t="s">
        <v>283</v>
      </c>
      <c r="C204" s="7" t="str">
        <f t="shared" si="5"/>
        <v/>
      </c>
    </row>
    <row r="205" spans="1:3" x14ac:dyDescent="0.35">
      <c r="A205" s="70">
        <v>45444</v>
      </c>
      <c r="B205" s="11" t="s">
        <v>283</v>
      </c>
      <c r="C205" s="7" t="str">
        <f t="shared" si="5"/>
        <v/>
      </c>
    </row>
    <row r="206" spans="1:3" x14ac:dyDescent="0.35">
      <c r="A206" s="70">
        <v>45474</v>
      </c>
      <c r="B206" s="11" t="s">
        <v>283</v>
      </c>
      <c r="C206" s="7" t="str">
        <f t="shared" si="5"/>
        <v/>
      </c>
    </row>
    <row r="207" spans="1:3" x14ac:dyDescent="0.35">
      <c r="A207" s="70">
        <v>45505</v>
      </c>
      <c r="B207" s="11" t="s">
        <v>283</v>
      </c>
      <c r="C207" s="7" t="str">
        <f t="shared" si="5"/>
        <v/>
      </c>
    </row>
    <row r="208" spans="1:3" x14ac:dyDescent="0.35">
      <c r="A208" s="70">
        <v>45536</v>
      </c>
      <c r="B208" s="11" t="s">
        <v>283</v>
      </c>
      <c r="C208" s="7" t="str">
        <f t="shared" si="5"/>
        <v/>
      </c>
    </row>
    <row r="209" spans="1:3" x14ac:dyDescent="0.35">
      <c r="A209" s="70">
        <v>45566</v>
      </c>
      <c r="B209" s="11" t="s">
        <v>283</v>
      </c>
      <c r="C209" s="7" t="str">
        <f t="shared" si="5"/>
        <v/>
      </c>
    </row>
    <row r="210" spans="1:3" x14ac:dyDescent="0.35">
      <c r="A210" s="70">
        <v>45597</v>
      </c>
      <c r="B210" s="11" t="s">
        <v>283</v>
      </c>
      <c r="C210" s="7" t="str">
        <f t="shared" si="5"/>
        <v/>
      </c>
    </row>
    <row r="211" spans="1:3" x14ac:dyDescent="0.35">
      <c r="A211" s="70">
        <v>45627</v>
      </c>
      <c r="B211" s="11" t="s">
        <v>283</v>
      </c>
      <c r="C211" s="7" t="str">
        <f t="shared" si="5"/>
        <v/>
      </c>
    </row>
    <row r="212" spans="1:3" x14ac:dyDescent="0.35">
      <c r="A212" s="70">
        <v>45658</v>
      </c>
      <c r="B212" s="11" t="s">
        <v>283</v>
      </c>
      <c r="C212" s="7" t="str">
        <f t="shared" si="5"/>
        <v/>
      </c>
    </row>
    <row r="213" spans="1:3" x14ac:dyDescent="0.35">
      <c r="A213" s="70">
        <v>45689</v>
      </c>
      <c r="B213" s="11" t="s">
        <v>283</v>
      </c>
      <c r="C213" s="7" t="str">
        <f t="shared" si="5"/>
        <v/>
      </c>
    </row>
    <row r="214" spans="1:3" x14ac:dyDescent="0.35">
      <c r="A214" s="70">
        <v>45717</v>
      </c>
      <c r="B214" s="11" t="s">
        <v>283</v>
      </c>
      <c r="C214" s="7" t="str">
        <f t="shared" si="5"/>
        <v/>
      </c>
    </row>
    <row r="215" spans="1:3" x14ac:dyDescent="0.35">
      <c r="A215" s="70">
        <v>45748</v>
      </c>
      <c r="B215" s="11" t="s">
        <v>283</v>
      </c>
      <c r="C215" s="7" t="str">
        <f t="shared" si="5"/>
        <v/>
      </c>
    </row>
    <row r="216" spans="1:3" x14ac:dyDescent="0.35">
      <c r="A216" s="70">
        <v>45778</v>
      </c>
      <c r="B216" s="11" t="s">
        <v>283</v>
      </c>
      <c r="C216" s="7" t="str">
        <f t="shared" si="5"/>
        <v/>
      </c>
    </row>
    <row r="217" spans="1:3" x14ac:dyDescent="0.35">
      <c r="A217" s="70">
        <v>45809</v>
      </c>
      <c r="B217" s="11" t="s">
        <v>283</v>
      </c>
      <c r="C217" s="7" t="str">
        <f t="shared" si="5"/>
        <v/>
      </c>
    </row>
    <row r="218" spans="1:3" x14ac:dyDescent="0.35">
      <c r="A218" s="70">
        <v>45839</v>
      </c>
      <c r="B218" s="11" t="s">
        <v>283</v>
      </c>
      <c r="C218" s="7" t="str">
        <f t="shared" ref="C218:C228" si="6">IFERROR(B218-B217,"")</f>
        <v/>
      </c>
    </row>
    <row r="219" spans="1:3" x14ac:dyDescent="0.35">
      <c r="A219" s="70">
        <v>45870</v>
      </c>
      <c r="B219" s="11" t="s">
        <v>283</v>
      </c>
      <c r="C219" s="7" t="str">
        <f t="shared" si="6"/>
        <v/>
      </c>
    </row>
    <row r="220" spans="1:3" x14ac:dyDescent="0.35">
      <c r="A220" s="70">
        <v>45901</v>
      </c>
      <c r="B220" s="11" t="s">
        <v>283</v>
      </c>
      <c r="C220" s="7" t="str">
        <f t="shared" si="6"/>
        <v/>
      </c>
    </row>
    <row r="221" spans="1:3" x14ac:dyDescent="0.35">
      <c r="A221" s="70">
        <v>45931</v>
      </c>
      <c r="B221" s="11" t="s">
        <v>283</v>
      </c>
      <c r="C221" s="7" t="str">
        <f t="shared" si="6"/>
        <v/>
      </c>
    </row>
    <row r="222" spans="1:3" x14ac:dyDescent="0.35">
      <c r="A222" s="70">
        <v>45962</v>
      </c>
      <c r="B222" s="11" t="s">
        <v>283</v>
      </c>
      <c r="C222" s="7" t="str">
        <f t="shared" si="6"/>
        <v/>
      </c>
    </row>
    <row r="223" spans="1:3" x14ac:dyDescent="0.35">
      <c r="A223" s="70">
        <v>45992</v>
      </c>
      <c r="B223" s="11" t="s">
        <v>283</v>
      </c>
      <c r="C223" s="7" t="str">
        <f t="shared" si="6"/>
        <v/>
      </c>
    </row>
    <row r="224" spans="1:3" x14ac:dyDescent="0.35">
      <c r="A224" s="70">
        <v>46023</v>
      </c>
      <c r="B224" s="11" t="s">
        <v>283</v>
      </c>
      <c r="C224" s="7" t="str">
        <f t="shared" si="6"/>
        <v/>
      </c>
    </row>
    <row r="225" spans="1:3" x14ac:dyDescent="0.35">
      <c r="A225" s="70">
        <v>46054</v>
      </c>
      <c r="B225" s="11" t="s">
        <v>283</v>
      </c>
      <c r="C225" s="7" t="str">
        <f t="shared" si="6"/>
        <v/>
      </c>
    </row>
    <row r="226" spans="1:3" x14ac:dyDescent="0.35">
      <c r="A226" s="70">
        <v>46082</v>
      </c>
      <c r="B226" s="11" t="s">
        <v>283</v>
      </c>
      <c r="C226" s="7" t="str">
        <f t="shared" si="6"/>
        <v/>
      </c>
    </row>
    <row r="227" spans="1:3" x14ac:dyDescent="0.35">
      <c r="A227" s="70">
        <v>46113</v>
      </c>
      <c r="B227" s="11" t="s">
        <v>283</v>
      </c>
      <c r="C227" s="7" t="str">
        <f t="shared" si="6"/>
        <v/>
      </c>
    </row>
    <row r="228" spans="1:3" x14ac:dyDescent="0.35">
      <c r="A228" s="70">
        <v>46143</v>
      </c>
      <c r="B228" s="11">
        <v>59.8</v>
      </c>
      <c r="C228" s="7" t="str">
        <f t="shared" si="6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0:I228"/>
  <sheetViews>
    <sheetView topLeftCell="A40" zoomScale="70" zoomScaleNormal="70" workbookViewId="0">
      <pane xSplit="1" ySplit="1" topLeftCell="B71" activePane="bottomRight" state="frozen"/>
      <selection activeCell="D88" sqref="D88"/>
      <selection pane="topRight" activeCell="D88" sqref="D88"/>
      <selection pane="bottomLeft" activeCell="D88" sqref="D88"/>
      <selection pane="bottomRight" activeCell="A40" sqref="A40:D90"/>
    </sheetView>
  </sheetViews>
  <sheetFormatPr defaultRowHeight="14.5" x14ac:dyDescent="0.35"/>
  <cols>
    <col min="1" max="1" width="9.7265625" style="7" customWidth="1"/>
    <col min="2" max="2" width="24.81640625" style="7" customWidth="1"/>
    <col min="3" max="3" width="12.26953125" style="7" customWidth="1"/>
    <col min="4" max="4" width="31" style="1" customWidth="1"/>
  </cols>
  <sheetData>
    <row r="40" spans="1:4" x14ac:dyDescent="0.35">
      <c r="A40" s="69" t="s">
        <v>0</v>
      </c>
      <c r="B40" s="7" t="s">
        <v>16</v>
      </c>
      <c r="C40" s="7" t="s">
        <v>1</v>
      </c>
      <c r="D40" s="1" t="s">
        <v>28</v>
      </c>
    </row>
    <row r="41" spans="1:4" x14ac:dyDescent="0.35">
      <c r="A41" s="70">
        <v>40452</v>
      </c>
      <c r="B41" s="11">
        <v>54.7</v>
      </c>
    </row>
    <row r="42" spans="1:4" x14ac:dyDescent="0.35">
      <c r="A42" s="70">
        <v>40483</v>
      </c>
      <c r="B42" s="11">
        <v>54.1</v>
      </c>
      <c r="C42" s="14">
        <f>B42-B41</f>
        <v>-0.60000000000000142</v>
      </c>
    </row>
    <row r="43" spans="1:4" x14ac:dyDescent="0.35">
      <c r="A43" s="70">
        <v>40513</v>
      </c>
      <c r="B43" s="11">
        <v>53.4</v>
      </c>
      <c r="C43" s="14">
        <f t="shared" ref="C43:C83" si="0">B43-B42</f>
        <v>-0.70000000000000284</v>
      </c>
      <c r="D43" s="1">
        <v>0.01</v>
      </c>
    </row>
    <row r="44" spans="1:4" x14ac:dyDescent="0.35">
      <c r="A44" s="70">
        <v>40544</v>
      </c>
      <c r="B44" s="11">
        <v>52.4</v>
      </c>
      <c r="C44" s="14">
        <f t="shared" si="0"/>
        <v>-1</v>
      </c>
    </row>
    <row r="45" spans="1:4" x14ac:dyDescent="0.35">
      <c r="A45" s="70">
        <v>40575</v>
      </c>
      <c r="B45" s="11">
        <v>53.4</v>
      </c>
      <c r="C45" s="14">
        <f t="shared" si="0"/>
        <v>1</v>
      </c>
    </row>
    <row r="46" spans="1:4" x14ac:dyDescent="0.35">
      <c r="A46" s="70">
        <v>40603</v>
      </c>
      <c r="B46" s="11">
        <v>53.3</v>
      </c>
      <c r="C46" s="14">
        <f t="shared" si="0"/>
        <v>-0.10000000000000142</v>
      </c>
      <c r="D46" s="1">
        <v>8.9999999999999993E-3</v>
      </c>
    </row>
    <row r="47" spans="1:4" x14ac:dyDescent="0.35">
      <c r="A47" s="70">
        <v>40634</v>
      </c>
      <c r="B47" s="11">
        <v>55.8</v>
      </c>
      <c r="C47" s="14">
        <f t="shared" si="0"/>
        <v>2.5</v>
      </c>
    </row>
    <row r="48" spans="1:4" x14ac:dyDescent="0.35">
      <c r="A48" s="70">
        <v>40664</v>
      </c>
      <c r="B48" s="11">
        <v>57.6</v>
      </c>
      <c r="C48" s="14">
        <f t="shared" si="0"/>
        <v>1.8000000000000043</v>
      </c>
    </row>
    <row r="49" spans="1:4" x14ac:dyDescent="0.35">
      <c r="A49" s="70">
        <v>40695</v>
      </c>
      <c r="B49" s="11">
        <v>55.1</v>
      </c>
      <c r="C49" s="14">
        <f t="shared" si="0"/>
        <v>-2.5</v>
      </c>
      <c r="D49" s="1">
        <v>1.2999999999999999E-2</v>
      </c>
    </row>
    <row r="50" spans="1:4" x14ac:dyDescent="0.35">
      <c r="A50" s="70">
        <v>40725</v>
      </c>
      <c r="B50" s="11">
        <v>56.9</v>
      </c>
      <c r="C50" s="14">
        <f t="shared" si="0"/>
        <v>1.7999999999999972</v>
      </c>
    </row>
    <row r="51" spans="1:4" x14ac:dyDescent="0.35">
      <c r="A51" s="70">
        <v>40756</v>
      </c>
      <c r="B51" s="11">
        <v>55.1</v>
      </c>
      <c r="C51" s="14">
        <f t="shared" si="0"/>
        <v>-1.7999999999999972</v>
      </c>
    </row>
    <row r="52" spans="1:4" x14ac:dyDescent="0.35">
      <c r="A52" s="70">
        <v>40787</v>
      </c>
      <c r="B52" s="11">
        <v>53.3</v>
      </c>
      <c r="C52" s="14">
        <f t="shared" si="0"/>
        <v>-1.8000000000000043</v>
      </c>
      <c r="D52" s="1">
        <v>1.4E-2</v>
      </c>
    </row>
    <row r="53" spans="1:4" x14ac:dyDescent="0.35">
      <c r="A53" s="70">
        <v>40817</v>
      </c>
      <c r="B53" s="11">
        <v>53.5</v>
      </c>
      <c r="C53" s="14">
        <f t="shared" si="0"/>
        <v>0.20000000000000284</v>
      </c>
    </row>
    <row r="54" spans="1:4" x14ac:dyDescent="0.35">
      <c r="A54" s="70">
        <v>40848</v>
      </c>
      <c r="B54" s="11">
        <v>54.8</v>
      </c>
      <c r="C54" s="14">
        <f t="shared" si="0"/>
        <v>1.2999999999999972</v>
      </c>
    </row>
    <row r="55" spans="1:4" x14ac:dyDescent="0.35">
      <c r="A55" s="70">
        <v>40878</v>
      </c>
      <c r="B55" s="11">
        <v>53.8</v>
      </c>
      <c r="C55" s="14">
        <f t="shared" si="0"/>
        <v>-1</v>
      </c>
      <c r="D55" s="1">
        <v>1.4999999999999999E-2</v>
      </c>
    </row>
    <row r="56" spans="1:4" x14ac:dyDescent="0.35">
      <c r="A56" s="70">
        <v>40909</v>
      </c>
      <c r="B56" s="11">
        <v>56.5</v>
      </c>
      <c r="C56" s="14">
        <f t="shared" si="0"/>
        <v>2.7000000000000028</v>
      </c>
    </row>
    <row r="57" spans="1:4" x14ac:dyDescent="0.35">
      <c r="A57" s="70">
        <v>40940</v>
      </c>
      <c r="B57" s="11">
        <v>55.3</v>
      </c>
      <c r="C57" s="14">
        <f t="shared" si="0"/>
        <v>-1.2000000000000028</v>
      </c>
    </row>
    <row r="58" spans="1:4" x14ac:dyDescent="0.35">
      <c r="A58" s="70">
        <v>40969</v>
      </c>
      <c r="B58" s="11">
        <v>54.4</v>
      </c>
      <c r="C58" s="14">
        <f t="shared" si="0"/>
        <v>-0.89999999999999858</v>
      </c>
      <c r="D58" s="1">
        <v>8.0000000000000002E-3</v>
      </c>
    </row>
    <row r="59" spans="1:4" x14ac:dyDescent="0.35">
      <c r="A59" s="70">
        <v>41000</v>
      </c>
      <c r="B59" s="11">
        <v>52.6</v>
      </c>
      <c r="C59" s="14">
        <f t="shared" si="0"/>
        <v>-1.7999999999999972</v>
      </c>
    </row>
    <row r="60" spans="1:4" x14ac:dyDescent="0.35">
      <c r="A60" s="70">
        <v>41030</v>
      </c>
      <c r="B60" s="11">
        <v>54.9</v>
      </c>
      <c r="C60" s="14">
        <f t="shared" si="0"/>
        <v>2.2999999999999972</v>
      </c>
    </row>
    <row r="61" spans="1:4" x14ac:dyDescent="0.35">
      <c r="A61" s="70">
        <v>41061</v>
      </c>
      <c r="B61" s="11">
        <v>53.2</v>
      </c>
      <c r="C61" s="14">
        <f t="shared" si="0"/>
        <v>-1.6999999999999957</v>
      </c>
      <c r="D61" s="1">
        <v>6.0000000000000001E-3</v>
      </c>
    </row>
    <row r="62" spans="1:4" x14ac:dyDescent="0.35">
      <c r="A62" s="70">
        <v>41091</v>
      </c>
      <c r="B62" s="11">
        <v>52</v>
      </c>
      <c r="C62" s="14">
        <f t="shared" si="0"/>
        <v>-1.2000000000000028</v>
      </c>
    </row>
    <row r="63" spans="1:4" x14ac:dyDescent="0.35">
      <c r="A63" s="70">
        <v>41122</v>
      </c>
      <c r="B63" s="11">
        <v>52.6</v>
      </c>
      <c r="C63" s="14">
        <f t="shared" si="0"/>
        <v>0.60000000000000142</v>
      </c>
    </row>
    <row r="64" spans="1:4" x14ac:dyDescent="0.35">
      <c r="A64" s="70">
        <v>41153</v>
      </c>
      <c r="B64" s="11">
        <v>54.5</v>
      </c>
      <c r="C64" s="14">
        <f t="shared" si="0"/>
        <v>1.8999999999999986</v>
      </c>
      <c r="D64" s="1">
        <v>3.0000000000000001E-3</v>
      </c>
    </row>
    <row r="65" spans="1:4" x14ac:dyDescent="0.35">
      <c r="A65" s="70">
        <v>41183</v>
      </c>
      <c r="B65" s="11">
        <v>57.3</v>
      </c>
      <c r="C65" s="14">
        <f t="shared" si="0"/>
        <v>2.7999999999999972</v>
      </c>
    </row>
    <row r="66" spans="1:4" x14ac:dyDescent="0.35">
      <c r="A66" s="70">
        <v>41214</v>
      </c>
      <c r="B66" s="11">
        <v>57.1</v>
      </c>
      <c r="C66" s="14">
        <f t="shared" si="0"/>
        <v>-0.19999999999999574</v>
      </c>
    </row>
    <row r="67" spans="1:4" x14ac:dyDescent="0.35">
      <c r="A67" s="70">
        <v>41244</v>
      </c>
      <c r="B67" s="11">
        <v>56.1</v>
      </c>
      <c r="C67" s="14">
        <f t="shared" si="0"/>
        <v>-1</v>
      </c>
      <c r="D67" s="1">
        <v>-1E-3</v>
      </c>
    </row>
    <row r="68" spans="1:4" x14ac:dyDescent="0.35">
      <c r="A68" s="70">
        <v>41275</v>
      </c>
      <c r="B68" s="11">
        <v>55.7</v>
      </c>
      <c r="C68" s="14">
        <f t="shared" si="0"/>
        <v>-0.39999999999999858</v>
      </c>
    </row>
    <row r="69" spans="1:4" x14ac:dyDescent="0.35">
      <c r="A69" s="70">
        <v>41306</v>
      </c>
      <c r="B69" s="11">
        <v>56.1</v>
      </c>
      <c r="C69" s="14">
        <f t="shared" si="0"/>
        <v>0.39999999999999858</v>
      </c>
    </row>
    <row r="70" spans="1:4" x14ac:dyDescent="0.35">
      <c r="A70" s="70">
        <v>41334</v>
      </c>
      <c r="B70" s="11">
        <v>54.6</v>
      </c>
      <c r="C70" s="14">
        <f t="shared" si="0"/>
        <v>-1.5</v>
      </c>
      <c r="D70" s="1">
        <v>2E-3</v>
      </c>
    </row>
    <row r="71" spans="1:4" x14ac:dyDescent="0.35">
      <c r="A71" s="70">
        <v>41365</v>
      </c>
      <c r="B71" s="11">
        <v>53</v>
      </c>
      <c r="C71" s="14">
        <f t="shared" si="0"/>
        <v>-1.6000000000000014</v>
      </c>
    </row>
    <row r="72" spans="1:4" x14ac:dyDescent="0.35">
      <c r="A72" s="70">
        <v>41395</v>
      </c>
      <c r="B72" s="11">
        <v>51.4</v>
      </c>
      <c r="C72" s="14">
        <f t="shared" si="0"/>
        <v>-1.6000000000000014</v>
      </c>
    </row>
    <row r="73" spans="1:4" x14ac:dyDescent="0.35">
      <c r="A73" s="70">
        <v>41426</v>
      </c>
      <c r="B73" s="11">
        <v>48.8</v>
      </c>
      <c r="C73" s="14">
        <f t="shared" si="0"/>
        <v>-2.6000000000000014</v>
      </c>
      <c r="D73" s="1">
        <v>4.0000000000000001E-3</v>
      </c>
    </row>
    <row r="74" spans="1:4" x14ac:dyDescent="0.35">
      <c r="A74" s="70">
        <v>41456</v>
      </c>
      <c r="B74" s="11">
        <v>48.7</v>
      </c>
      <c r="C74" s="14">
        <f t="shared" si="0"/>
        <v>-9.9999999999994316E-2</v>
      </c>
    </row>
    <row r="75" spans="1:4" x14ac:dyDescent="0.35">
      <c r="A75" s="70">
        <v>41487</v>
      </c>
      <c r="B75" s="11">
        <v>51.8</v>
      </c>
      <c r="C75" s="14">
        <f t="shared" si="0"/>
        <v>3.0999999999999943</v>
      </c>
    </row>
    <row r="76" spans="1:4" x14ac:dyDescent="0.35">
      <c r="A76" s="70">
        <v>41518</v>
      </c>
      <c r="B76" s="11">
        <v>51.5</v>
      </c>
      <c r="C76" s="14">
        <f t="shared" si="0"/>
        <v>-0.29999999999999716</v>
      </c>
      <c r="D76" s="1">
        <v>6.0000000000000001E-3</v>
      </c>
    </row>
    <row r="77" spans="1:4" x14ac:dyDescent="0.35">
      <c r="A77" s="70">
        <v>41548</v>
      </c>
      <c r="B77" s="11">
        <v>52.5</v>
      </c>
      <c r="C77" s="14">
        <f t="shared" si="0"/>
        <v>1</v>
      </c>
    </row>
    <row r="78" spans="1:4" x14ac:dyDescent="0.35">
      <c r="A78" s="70">
        <v>41579</v>
      </c>
      <c r="B78" s="11">
        <v>52.9</v>
      </c>
      <c r="C78" s="14">
        <f t="shared" si="0"/>
        <v>0.39999999999999858</v>
      </c>
    </row>
    <row r="79" spans="1:4" x14ac:dyDescent="0.35">
      <c r="A79" s="70">
        <v>41609</v>
      </c>
      <c r="B79" s="11">
        <v>51.4</v>
      </c>
      <c r="C79" s="14">
        <f t="shared" si="0"/>
        <v>-1.5</v>
      </c>
      <c r="D79" s="1">
        <v>8.9999999999999993E-3</v>
      </c>
    </row>
    <row r="80" spans="1:4" x14ac:dyDescent="0.35">
      <c r="A80" s="70">
        <v>41640</v>
      </c>
      <c r="B80" s="11">
        <v>50.2</v>
      </c>
      <c r="C80" s="14">
        <f t="shared" si="0"/>
        <v>-1.1999999999999957</v>
      </c>
    </row>
    <row r="81" spans="1:9" x14ac:dyDescent="0.35">
      <c r="A81" s="70">
        <v>41671</v>
      </c>
      <c r="B81" s="11">
        <v>50.8</v>
      </c>
      <c r="C81" s="14">
        <f t="shared" si="0"/>
        <v>0.59999999999999432</v>
      </c>
    </row>
    <row r="82" spans="1:9" x14ac:dyDescent="0.35">
      <c r="A82" s="70">
        <v>41699</v>
      </c>
      <c r="B82" s="11">
        <v>47.7</v>
      </c>
      <c r="C82" s="14">
        <f t="shared" si="0"/>
        <v>-3.0999999999999943</v>
      </c>
      <c r="D82" s="1">
        <v>-5.0000000000000001E-3</v>
      </c>
    </row>
    <row r="83" spans="1:9" x14ac:dyDescent="0.35">
      <c r="A83" s="70">
        <v>41730</v>
      </c>
      <c r="B83" s="11">
        <v>46.8</v>
      </c>
      <c r="C83" s="14">
        <f t="shared" si="0"/>
        <v>-0.90000000000000568</v>
      </c>
    </row>
    <row r="84" spans="1:9" x14ac:dyDescent="0.35">
      <c r="A84" s="70">
        <v>41760</v>
      </c>
      <c r="B84" s="11">
        <v>46.1</v>
      </c>
      <c r="C84" s="14">
        <f t="shared" ref="C84:C87" si="1">B84-B83</f>
        <v>-0.69999999999999574</v>
      </c>
    </row>
    <row r="85" spans="1:9" x14ac:dyDescent="0.35">
      <c r="A85" s="70">
        <v>41791</v>
      </c>
      <c r="B85" s="11">
        <v>49.8</v>
      </c>
      <c r="C85" s="14">
        <f t="shared" si="1"/>
        <v>3.6999999999999957</v>
      </c>
      <c r="D85" s="1">
        <v>2.5000000000000001E-3</v>
      </c>
      <c r="H85" s="41" t="s">
        <v>76</v>
      </c>
      <c r="I85" t="s">
        <v>41</v>
      </c>
    </row>
    <row r="86" spans="1:9" x14ac:dyDescent="0.35">
      <c r="A86" s="70">
        <v>41821</v>
      </c>
      <c r="B86" s="11">
        <v>49.7</v>
      </c>
      <c r="C86" s="14">
        <f t="shared" si="1"/>
        <v>-9.9999999999994316E-2</v>
      </c>
    </row>
    <row r="87" spans="1:9" x14ac:dyDescent="0.35">
      <c r="A87" s="70">
        <v>41852</v>
      </c>
      <c r="B87" s="11">
        <v>50.3</v>
      </c>
      <c r="C87" s="14">
        <f t="shared" si="1"/>
        <v>0.59999999999999432</v>
      </c>
    </row>
    <row r="88" spans="1:9" x14ac:dyDescent="0.35">
      <c r="A88" s="70">
        <v>41883</v>
      </c>
      <c r="B88" s="11">
        <v>50.5</v>
      </c>
      <c r="C88" s="14">
        <f>IFERROR(B88-B87,"")</f>
        <v>0.20000000000000284</v>
      </c>
      <c r="D88" s="1" t="e">
        <f>IF(VLOOKUP(I85,Data!$A$30:$H$150,7,FALSE)=A87,VLOOKUP(I85,Data!$A$30:$H$150,2,FALSE)/100,#N/A)</f>
        <v>#N/A</v>
      </c>
    </row>
    <row r="89" spans="1:9" x14ac:dyDescent="0.35">
      <c r="A89" s="70">
        <v>41913</v>
      </c>
      <c r="B89" s="11">
        <v>47.4</v>
      </c>
      <c r="C89" s="14">
        <f t="shared" ref="C89:C90" si="2">IFERROR(B89-B88,"")</f>
        <v>-3.1000000000000014</v>
      </c>
    </row>
    <row r="90" spans="1:9" x14ac:dyDescent="0.35">
      <c r="A90" s="70">
        <v>41944</v>
      </c>
      <c r="B90" s="11">
        <v>44.5</v>
      </c>
      <c r="C90" s="14">
        <f t="shared" si="2"/>
        <v>-2.8999999999999986</v>
      </c>
    </row>
    <row r="91" spans="1:9" x14ac:dyDescent="0.35">
      <c r="A91" s="70">
        <v>41974</v>
      </c>
      <c r="B91" s="11" t="s">
        <v>283</v>
      </c>
      <c r="C91" s="7" t="str">
        <f t="shared" ref="C91:C122" si="3">IFERROR(B91-B90,"")</f>
        <v/>
      </c>
    </row>
    <row r="92" spans="1:9" x14ac:dyDescent="0.35">
      <c r="A92" s="70">
        <v>42005</v>
      </c>
      <c r="B92" s="11" t="s">
        <v>283</v>
      </c>
      <c r="C92" s="7" t="str">
        <f t="shared" si="3"/>
        <v/>
      </c>
    </row>
    <row r="93" spans="1:9" x14ac:dyDescent="0.35">
      <c r="A93" s="70">
        <v>42036</v>
      </c>
      <c r="B93" s="11" t="s">
        <v>283</v>
      </c>
      <c r="C93" s="7" t="str">
        <f t="shared" si="3"/>
        <v/>
      </c>
    </row>
    <row r="94" spans="1:9" x14ac:dyDescent="0.35">
      <c r="A94" s="70">
        <v>42064</v>
      </c>
      <c r="B94" s="11" t="s">
        <v>283</v>
      </c>
      <c r="C94" s="7" t="str">
        <f t="shared" si="3"/>
        <v/>
      </c>
    </row>
    <row r="95" spans="1:9" x14ac:dyDescent="0.35">
      <c r="A95" s="70">
        <v>42095</v>
      </c>
      <c r="B95" s="11" t="s">
        <v>283</v>
      </c>
      <c r="C95" s="7" t="str">
        <f t="shared" si="3"/>
        <v/>
      </c>
    </row>
    <row r="96" spans="1:9" x14ac:dyDescent="0.35">
      <c r="A96" s="70">
        <v>42125</v>
      </c>
      <c r="B96" s="11" t="s">
        <v>283</v>
      </c>
      <c r="C96" s="7" t="str">
        <f t="shared" si="3"/>
        <v/>
      </c>
    </row>
    <row r="97" spans="1:3" x14ac:dyDescent="0.35">
      <c r="A97" s="70">
        <v>42156</v>
      </c>
      <c r="B97" s="11" t="s">
        <v>283</v>
      </c>
      <c r="C97" s="7" t="str">
        <f t="shared" si="3"/>
        <v/>
      </c>
    </row>
    <row r="98" spans="1:3" x14ac:dyDescent="0.35">
      <c r="A98" s="70">
        <v>42186</v>
      </c>
      <c r="B98" s="11" t="s">
        <v>283</v>
      </c>
      <c r="C98" s="7" t="str">
        <f t="shared" si="3"/>
        <v/>
      </c>
    </row>
    <row r="99" spans="1:3" x14ac:dyDescent="0.35">
      <c r="A99" s="70">
        <v>42217</v>
      </c>
      <c r="B99" s="11" t="s">
        <v>283</v>
      </c>
      <c r="C99" s="7" t="str">
        <f t="shared" si="3"/>
        <v/>
      </c>
    </row>
    <row r="100" spans="1:3" x14ac:dyDescent="0.35">
      <c r="A100" s="70">
        <v>42248</v>
      </c>
      <c r="B100" s="11" t="s">
        <v>283</v>
      </c>
      <c r="C100" s="7" t="str">
        <f t="shared" si="3"/>
        <v/>
      </c>
    </row>
    <row r="101" spans="1:3" x14ac:dyDescent="0.35">
      <c r="A101" s="70">
        <v>42278</v>
      </c>
      <c r="B101" s="11" t="s">
        <v>283</v>
      </c>
      <c r="C101" s="7" t="str">
        <f t="shared" si="3"/>
        <v/>
      </c>
    </row>
    <row r="102" spans="1:3" x14ac:dyDescent="0.35">
      <c r="A102" s="70">
        <v>42309</v>
      </c>
      <c r="B102" s="11" t="s">
        <v>283</v>
      </c>
      <c r="C102" s="7" t="str">
        <f t="shared" si="3"/>
        <v/>
      </c>
    </row>
    <row r="103" spans="1:3" x14ac:dyDescent="0.35">
      <c r="A103" s="70">
        <v>42339</v>
      </c>
      <c r="B103" s="11" t="s">
        <v>283</v>
      </c>
      <c r="C103" s="7" t="str">
        <f t="shared" si="3"/>
        <v/>
      </c>
    </row>
    <row r="104" spans="1:3" x14ac:dyDescent="0.35">
      <c r="A104" s="70">
        <v>42370</v>
      </c>
      <c r="B104" s="11" t="s">
        <v>283</v>
      </c>
      <c r="C104" s="7" t="str">
        <f t="shared" si="3"/>
        <v/>
      </c>
    </row>
    <row r="105" spans="1:3" x14ac:dyDescent="0.35">
      <c r="A105" s="70">
        <v>42401</v>
      </c>
      <c r="B105" s="11" t="s">
        <v>283</v>
      </c>
      <c r="C105" s="7" t="str">
        <f t="shared" si="3"/>
        <v/>
      </c>
    </row>
    <row r="106" spans="1:3" x14ac:dyDescent="0.35">
      <c r="A106" s="70">
        <v>42430</v>
      </c>
      <c r="B106" s="11" t="s">
        <v>283</v>
      </c>
      <c r="C106" s="7" t="str">
        <f t="shared" si="3"/>
        <v/>
      </c>
    </row>
    <row r="107" spans="1:3" x14ac:dyDescent="0.35">
      <c r="A107" s="70">
        <v>42461</v>
      </c>
      <c r="B107" s="11" t="s">
        <v>283</v>
      </c>
      <c r="C107" s="7" t="str">
        <f t="shared" si="3"/>
        <v/>
      </c>
    </row>
    <row r="108" spans="1:3" x14ac:dyDescent="0.35">
      <c r="A108" s="70">
        <v>42491</v>
      </c>
      <c r="B108" s="11" t="s">
        <v>283</v>
      </c>
      <c r="C108" s="7" t="str">
        <f t="shared" si="3"/>
        <v/>
      </c>
    </row>
    <row r="109" spans="1:3" x14ac:dyDescent="0.35">
      <c r="A109" s="70">
        <v>42522</v>
      </c>
      <c r="B109" s="11" t="s">
        <v>283</v>
      </c>
      <c r="C109" s="7" t="str">
        <f t="shared" si="3"/>
        <v/>
      </c>
    </row>
    <row r="110" spans="1:3" x14ac:dyDescent="0.35">
      <c r="A110" s="70">
        <v>42552</v>
      </c>
      <c r="B110" s="11" t="s">
        <v>283</v>
      </c>
      <c r="C110" s="7" t="str">
        <f t="shared" si="3"/>
        <v/>
      </c>
    </row>
    <row r="111" spans="1:3" x14ac:dyDescent="0.35">
      <c r="A111" s="70">
        <v>42583</v>
      </c>
      <c r="B111" s="11" t="s">
        <v>283</v>
      </c>
      <c r="C111" s="7" t="str">
        <f t="shared" si="3"/>
        <v/>
      </c>
    </row>
    <row r="112" spans="1:3" x14ac:dyDescent="0.35">
      <c r="A112" s="70">
        <v>42614</v>
      </c>
      <c r="B112" s="11" t="s">
        <v>283</v>
      </c>
      <c r="C112" s="7" t="str">
        <f t="shared" si="3"/>
        <v/>
      </c>
    </row>
    <row r="113" spans="1:3" x14ac:dyDescent="0.35">
      <c r="A113" s="70">
        <v>42644</v>
      </c>
      <c r="B113" s="11" t="s">
        <v>283</v>
      </c>
      <c r="C113" s="7" t="str">
        <f t="shared" si="3"/>
        <v/>
      </c>
    </row>
    <row r="114" spans="1:3" x14ac:dyDescent="0.35">
      <c r="A114" s="70">
        <v>42675</v>
      </c>
      <c r="B114" s="11" t="s">
        <v>283</v>
      </c>
      <c r="C114" s="7" t="str">
        <f t="shared" si="3"/>
        <v/>
      </c>
    </row>
    <row r="115" spans="1:3" x14ac:dyDescent="0.35">
      <c r="A115" s="70">
        <v>42705</v>
      </c>
      <c r="B115" s="11" t="s">
        <v>283</v>
      </c>
      <c r="C115" s="7" t="str">
        <f t="shared" si="3"/>
        <v/>
      </c>
    </row>
    <row r="116" spans="1:3" x14ac:dyDescent="0.35">
      <c r="A116" s="70">
        <v>42736</v>
      </c>
      <c r="B116" s="11" t="s">
        <v>283</v>
      </c>
      <c r="C116" s="7" t="str">
        <f t="shared" si="3"/>
        <v/>
      </c>
    </row>
    <row r="117" spans="1:3" x14ac:dyDescent="0.35">
      <c r="A117" s="70">
        <v>42767</v>
      </c>
      <c r="B117" s="11" t="s">
        <v>283</v>
      </c>
      <c r="C117" s="7" t="str">
        <f t="shared" si="3"/>
        <v/>
      </c>
    </row>
    <row r="118" spans="1:3" x14ac:dyDescent="0.35">
      <c r="A118" s="70">
        <v>42795</v>
      </c>
      <c r="B118" s="11" t="s">
        <v>283</v>
      </c>
      <c r="C118" s="7" t="str">
        <f t="shared" si="3"/>
        <v/>
      </c>
    </row>
    <row r="119" spans="1:3" x14ac:dyDescent="0.35">
      <c r="A119" s="70">
        <v>42826</v>
      </c>
      <c r="B119" s="11" t="s">
        <v>283</v>
      </c>
      <c r="C119" s="7" t="str">
        <f t="shared" si="3"/>
        <v/>
      </c>
    </row>
    <row r="120" spans="1:3" x14ac:dyDescent="0.35">
      <c r="A120" s="70">
        <v>42856</v>
      </c>
      <c r="B120" s="11" t="s">
        <v>283</v>
      </c>
      <c r="C120" s="7" t="str">
        <f t="shared" si="3"/>
        <v/>
      </c>
    </row>
    <row r="121" spans="1:3" x14ac:dyDescent="0.35">
      <c r="A121" s="70">
        <v>42887</v>
      </c>
      <c r="B121" s="11" t="s">
        <v>283</v>
      </c>
      <c r="C121" s="7" t="str">
        <f t="shared" si="3"/>
        <v/>
      </c>
    </row>
    <row r="122" spans="1:3" x14ac:dyDescent="0.35">
      <c r="A122" s="70">
        <v>42917</v>
      </c>
      <c r="B122" s="11" t="s">
        <v>283</v>
      </c>
      <c r="C122" s="7" t="str">
        <f t="shared" si="3"/>
        <v/>
      </c>
    </row>
    <row r="123" spans="1:3" x14ac:dyDescent="0.35">
      <c r="A123" s="70">
        <v>42948</v>
      </c>
      <c r="B123" s="11" t="s">
        <v>283</v>
      </c>
      <c r="C123" s="7" t="str">
        <f t="shared" ref="C123:C154" si="4">IFERROR(B123-B122,"")</f>
        <v/>
      </c>
    </row>
    <row r="124" spans="1:3" x14ac:dyDescent="0.35">
      <c r="A124" s="70">
        <v>42979</v>
      </c>
      <c r="B124" s="11" t="s">
        <v>283</v>
      </c>
      <c r="C124" s="7" t="str">
        <f t="shared" si="4"/>
        <v/>
      </c>
    </row>
    <row r="125" spans="1:3" x14ac:dyDescent="0.35">
      <c r="A125" s="70">
        <v>43009</v>
      </c>
      <c r="B125" s="11" t="s">
        <v>283</v>
      </c>
      <c r="C125" s="7" t="str">
        <f t="shared" si="4"/>
        <v/>
      </c>
    </row>
    <row r="126" spans="1:3" x14ac:dyDescent="0.35">
      <c r="A126" s="70">
        <v>43040</v>
      </c>
      <c r="B126" s="11" t="s">
        <v>283</v>
      </c>
      <c r="C126" s="7" t="str">
        <f t="shared" si="4"/>
        <v/>
      </c>
    </row>
    <row r="127" spans="1:3" x14ac:dyDescent="0.35">
      <c r="A127" s="70">
        <v>43070</v>
      </c>
      <c r="B127" s="11" t="s">
        <v>283</v>
      </c>
      <c r="C127" s="7" t="str">
        <f t="shared" si="4"/>
        <v/>
      </c>
    </row>
    <row r="128" spans="1:3" x14ac:dyDescent="0.35">
      <c r="A128" s="70">
        <v>43101</v>
      </c>
      <c r="B128" s="11" t="s">
        <v>283</v>
      </c>
      <c r="C128" s="7" t="str">
        <f t="shared" si="4"/>
        <v/>
      </c>
    </row>
    <row r="129" spans="1:3" x14ac:dyDescent="0.35">
      <c r="A129" s="70">
        <v>43132</v>
      </c>
      <c r="B129" s="11" t="s">
        <v>283</v>
      </c>
      <c r="C129" s="7" t="str">
        <f t="shared" si="4"/>
        <v/>
      </c>
    </row>
    <row r="130" spans="1:3" x14ac:dyDescent="0.35">
      <c r="A130" s="70">
        <v>43160</v>
      </c>
      <c r="B130" s="11" t="s">
        <v>283</v>
      </c>
      <c r="C130" s="7" t="str">
        <f t="shared" si="4"/>
        <v/>
      </c>
    </row>
    <row r="131" spans="1:3" x14ac:dyDescent="0.35">
      <c r="A131" s="70">
        <v>43191</v>
      </c>
      <c r="B131" s="11" t="s">
        <v>283</v>
      </c>
      <c r="C131" s="7" t="str">
        <f t="shared" si="4"/>
        <v/>
      </c>
    </row>
    <row r="132" spans="1:3" x14ac:dyDescent="0.35">
      <c r="A132" s="70">
        <v>43221</v>
      </c>
      <c r="B132" s="11" t="s">
        <v>283</v>
      </c>
      <c r="C132" s="7" t="str">
        <f t="shared" si="4"/>
        <v/>
      </c>
    </row>
    <row r="133" spans="1:3" x14ac:dyDescent="0.35">
      <c r="A133" s="70">
        <v>43252</v>
      </c>
      <c r="B133" s="11" t="s">
        <v>283</v>
      </c>
      <c r="C133" s="7" t="str">
        <f t="shared" si="4"/>
        <v/>
      </c>
    </row>
    <row r="134" spans="1:3" x14ac:dyDescent="0.35">
      <c r="A134" s="70">
        <v>43282</v>
      </c>
      <c r="B134" s="11" t="s">
        <v>283</v>
      </c>
      <c r="C134" s="7" t="str">
        <f t="shared" si="4"/>
        <v/>
      </c>
    </row>
    <row r="135" spans="1:3" x14ac:dyDescent="0.35">
      <c r="A135" s="70">
        <v>43313</v>
      </c>
      <c r="B135" s="11" t="s">
        <v>283</v>
      </c>
      <c r="C135" s="7" t="str">
        <f t="shared" si="4"/>
        <v/>
      </c>
    </row>
    <row r="136" spans="1:3" x14ac:dyDescent="0.35">
      <c r="A136" s="70">
        <v>43344</v>
      </c>
      <c r="B136" s="11" t="s">
        <v>283</v>
      </c>
      <c r="C136" s="7" t="str">
        <f t="shared" si="4"/>
        <v/>
      </c>
    </row>
    <row r="137" spans="1:3" x14ac:dyDescent="0.35">
      <c r="A137" s="70">
        <v>43374</v>
      </c>
      <c r="B137" s="11" t="s">
        <v>283</v>
      </c>
      <c r="C137" s="7" t="str">
        <f t="shared" si="4"/>
        <v/>
      </c>
    </row>
    <row r="138" spans="1:3" x14ac:dyDescent="0.35">
      <c r="A138" s="70">
        <v>43405</v>
      </c>
      <c r="B138" s="11" t="s">
        <v>283</v>
      </c>
      <c r="C138" s="7" t="str">
        <f t="shared" si="4"/>
        <v/>
      </c>
    </row>
    <row r="139" spans="1:3" x14ac:dyDescent="0.35">
      <c r="A139" s="70">
        <v>43435</v>
      </c>
      <c r="B139" s="11" t="s">
        <v>283</v>
      </c>
      <c r="C139" s="7" t="str">
        <f t="shared" si="4"/>
        <v/>
      </c>
    </row>
    <row r="140" spans="1:3" x14ac:dyDescent="0.35">
      <c r="A140" s="70">
        <v>43466</v>
      </c>
      <c r="B140" s="11" t="s">
        <v>283</v>
      </c>
      <c r="C140" s="7" t="str">
        <f t="shared" si="4"/>
        <v/>
      </c>
    </row>
    <row r="141" spans="1:3" x14ac:dyDescent="0.35">
      <c r="A141" s="70">
        <v>43497</v>
      </c>
      <c r="B141" s="11" t="s">
        <v>283</v>
      </c>
      <c r="C141" s="7" t="str">
        <f t="shared" si="4"/>
        <v/>
      </c>
    </row>
    <row r="142" spans="1:3" x14ac:dyDescent="0.35">
      <c r="A142" s="70">
        <v>43525</v>
      </c>
      <c r="B142" s="11" t="s">
        <v>283</v>
      </c>
      <c r="C142" s="7" t="str">
        <f t="shared" si="4"/>
        <v/>
      </c>
    </row>
    <row r="143" spans="1:3" x14ac:dyDescent="0.35">
      <c r="A143" s="70">
        <v>43556</v>
      </c>
      <c r="B143" s="11" t="s">
        <v>283</v>
      </c>
      <c r="C143" s="7" t="str">
        <f t="shared" si="4"/>
        <v/>
      </c>
    </row>
    <row r="144" spans="1:3" x14ac:dyDescent="0.35">
      <c r="A144" s="70">
        <v>43586</v>
      </c>
      <c r="B144" s="11" t="s">
        <v>283</v>
      </c>
      <c r="C144" s="7" t="str">
        <f t="shared" si="4"/>
        <v/>
      </c>
    </row>
    <row r="145" spans="1:3" x14ac:dyDescent="0.35">
      <c r="A145" s="70">
        <v>43617</v>
      </c>
      <c r="B145" s="11" t="s">
        <v>283</v>
      </c>
      <c r="C145" s="7" t="str">
        <f t="shared" si="4"/>
        <v/>
      </c>
    </row>
    <row r="146" spans="1:3" x14ac:dyDescent="0.35">
      <c r="A146" s="70">
        <v>43647</v>
      </c>
      <c r="B146" s="11" t="s">
        <v>283</v>
      </c>
      <c r="C146" s="7" t="str">
        <f t="shared" si="4"/>
        <v/>
      </c>
    </row>
    <row r="147" spans="1:3" x14ac:dyDescent="0.35">
      <c r="A147" s="70">
        <v>43678</v>
      </c>
      <c r="B147" s="11" t="s">
        <v>283</v>
      </c>
      <c r="C147" s="7" t="str">
        <f t="shared" si="4"/>
        <v/>
      </c>
    </row>
    <row r="148" spans="1:3" x14ac:dyDescent="0.35">
      <c r="A148" s="70">
        <v>43709</v>
      </c>
      <c r="B148" s="11" t="s">
        <v>283</v>
      </c>
      <c r="C148" s="7" t="str">
        <f t="shared" si="4"/>
        <v/>
      </c>
    </row>
    <row r="149" spans="1:3" x14ac:dyDescent="0.35">
      <c r="A149" s="70">
        <v>43739</v>
      </c>
      <c r="B149" s="11" t="s">
        <v>283</v>
      </c>
      <c r="C149" s="7" t="str">
        <f t="shared" si="4"/>
        <v/>
      </c>
    </row>
    <row r="150" spans="1:3" x14ac:dyDescent="0.35">
      <c r="A150" s="70">
        <v>43770</v>
      </c>
      <c r="B150" s="11" t="s">
        <v>283</v>
      </c>
      <c r="C150" s="7" t="str">
        <f t="shared" si="4"/>
        <v/>
      </c>
    </row>
    <row r="151" spans="1:3" x14ac:dyDescent="0.35">
      <c r="A151" s="70">
        <v>43800</v>
      </c>
      <c r="B151" s="11" t="s">
        <v>283</v>
      </c>
      <c r="C151" s="7" t="str">
        <f t="shared" si="4"/>
        <v/>
      </c>
    </row>
    <row r="152" spans="1:3" x14ac:dyDescent="0.35">
      <c r="A152" s="70">
        <v>43831</v>
      </c>
      <c r="B152" s="11" t="s">
        <v>283</v>
      </c>
      <c r="C152" s="7" t="str">
        <f t="shared" si="4"/>
        <v/>
      </c>
    </row>
    <row r="153" spans="1:3" x14ac:dyDescent="0.35">
      <c r="A153" s="70">
        <v>43862</v>
      </c>
      <c r="B153" s="11" t="s">
        <v>283</v>
      </c>
      <c r="C153" s="7" t="str">
        <f t="shared" si="4"/>
        <v/>
      </c>
    </row>
    <row r="154" spans="1:3" x14ac:dyDescent="0.35">
      <c r="A154" s="70">
        <v>43891</v>
      </c>
      <c r="B154" s="11" t="s">
        <v>283</v>
      </c>
      <c r="C154" s="7" t="str">
        <f t="shared" si="4"/>
        <v/>
      </c>
    </row>
    <row r="155" spans="1:3" x14ac:dyDescent="0.35">
      <c r="A155" s="70">
        <v>43922</v>
      </c>
      <c r="B155" s="11" t="s">
        <v>283</v>
      </c>
      <c r="C155" s="7" t="str">
        <f t="shared" ref="C155:C186" si="5">IFERROR(B155-B154,"")</f>
        <v/>
      </c>
    </row>
    <row r="156" spans="1:3" x14ac:dyDescent="0.35">
      <c r="A156" s="70">
        <v>43952</v>
      </c>
      <c r="B156" s="11" t="s">
        <v>283</v>
      </c>
      <c r="C156" s="7" t="str">
        <f t="shared" si="5"/>
        <v/>
      </c>
    </row>
    <row r="157" spans="1:3" x14ac:dyDescent="0.35">
      <c r="A157" s="70">
        <v>43983</v>
      </c>
      <c r="B157" s="11" t="s">
        <v>283</v>
      </c>
      <c r="C157" s="7" t="str">
        <f t="shared" si="5"/>
        <v/>
      </c>
    </row>
    <row r="158" spans="1:3" x14ac:dyDescent="0.35">
      <c r="A158" s="70">
        <v>44013</v>
      </c>
      <c r="B158" s="11" t="s">
        <v>283</v>
      </c>
      <c r="C158" s="7" t="str">
        <f t="shared" si="5"/>
        <v/>
      </c>
    </row>
    <row r="159" spans="1:3" x14ac:dyDescent="0.35">
      <c r="A159" s="70">
        <v>44044</v>
      </c>
      <c r="B159" s="11" t="s">
        <v>283</v>
      </c>
      <c r="C159" s="7" t="str">
        <f t="shared" si="5"/>
        <v/>
      </c>
    </row>
    <row r="160" spans="1:3" x14ac:dyDescent="0.35">
      <c r="A160" s="70">
        <v>44075</v>
      </c>
      <c r="B160" s="11" t="s">
        <v>283</v>
      </c>
      <c r="C160" s="7" t="str">
        <f t="shared" si="5"/>
        <v/>
      </c>
    </row>
    <row r="161" spans="1:3" x14ac:dyDescent="0.35">
      <c r="A161" s="70">
        <v>44105</v>
      </c>
      <c r="B161" s="11" t="s">
        <v>283</v>
      </c>
      <c r="C161" s="7" t="str">
        <f t="shared" si="5"/>
        <v/>
      </c>
    </row>
    <row r="162" spans="1:3" x14ac:dyDescent="0.35">
      <c r="A162" s="70">
        <v>44136</v>
      </c>
      <c r="B162" s="11" t="s">
        <v>283</v>
      </c>
      <c r="C162" s="7" t="str">
        <f t="shared" si="5"/>
        <v/>
      </c>
    </row>
    <row r="163" spans="1:3" x14ac:dyDescent="0.35">
      <c r="A163" s="70">
        <v>44166</v>
      </c>
      <c r="B163" s="11" t="s">
        <v>283</v>
      </c>
      <c r="C163" s="7" t="str">
        <f t="shared" si="5"/>
        <v/>
      </c>
    </row>
    <row r="164" spans="1:3" x14ac:dyDescent="0.35">
      <c r="A164" s="70">
        <v>44197</v>
      </c>
      <c r="B164" s="11" t="s">
        <v>283</v>
      </c>
      <c r="C164" s="7" t="str">
        <f t="shared" si="5"/>
        <v/>
      </c>
    </row>
    <row r="165" spans="1:3" x14ac:dyDescent="0.35">
      <c r="A165" s="70">
        <v>44228</v>
      </c>
      <c r="B165" s="11" t="s">
        <v>283</v>
      </c>
      <c r="C165" s="7" t="str">
        <f t="shared" si="5"/>
        <v/>
      </c>
    </row>
    <row r="166" spans="1:3" x14ac:dyDescent="0.35">
      <c r="A166" s="70">
        <v>44256</v>
      </c>
      <c r="B166" s="11" t="s">
        <v>283</v>
      </c>
      <c r="C166" s="7" t="str">
        <f t="shared" si="5"/>
        <v/>
      </c>
    </row>
    <row r="167" spans="1:3" x14ac:dyDescent="0.35">
      <c r="A167" s="70">
        <v>44287</v>
      </c>
      <c r="B167" s="11" t="s">
        <v>283</v>
      </c>
      <c r="C167" s="7" t="str">
        <f t="shared" si="5"/>
        <v/>
      </c>
    </row>
    <row r="168" spans="1:3" x14ac:dyDescent="0.35">
      <c r="A168" s="70">
        <v>44317</v>
      </c>
      <c r="B168" s="11" t="s">
        <v>283</v>
      </c>
      <c r="C168" s="7" t="str">
        <f t="shared" si="5"/>
        <v/>
      </c>
    </row>
    <row r="169" spans="1:3" x14ac:dyDescent="0.35">
      <c r="A169" s="70">
        <v>44348</v>
      </c>
      <c r="B169" s="11" t="s">
        <v>283</v>
      </c>
      <c r="C169" s="7" t="str">
        <f t="shared" si="5"/>
        <v/>
      </c>
    </row>
    <row r="170" spans="1:3" x14ac:dyDescent="0.35">
      <c r="A170" s="70">
        <v>44378</v>
      </c>
      <c r="B170" s="11" t="s">
        <v>283</v>
      </c>
      <c r="C170" s="7" t="str">
        <f t="shared" si="5"/>
        <v/>
      </c>
    </row>
    <row r="171" spans="1:3" x14ac:dyDescent="0.35">
      <c r="A171" s="70">
        <v>44409</v>
      </c>
      <c r="B171" s="11" t="s">
        <v>283</v>
      </c>
      <c r="C171" s="7" t="str">
        <f t="shared" si="5"/>
        <v/>
      </c>
    </row>
    <row r="172" spans="1:3" x14ac:dyDescent="0.35">
      <c r="A172" s="70">
        <v>44440</v>
      </c>
      <c r="B172" s="11" t="s">
        <v>283</v>
      </c>
      <c r="C172" s="7" t="str">
        <f t="shared" si="5"/>
        <v/>
      </c>
    </row>
    <row r="173" spans="1:3" x14ac:dyDescent="0.35">
      <c r="A173" s="70">
        <v>44470</v>
      </c>
      <c r="B173" s="11" t="s">
        <v>283</v>
      </c>
      <c r="C173" s="7" t="str">
        <f t="shared" si="5"/>
        <v/>
      </c>
    </row>
    <row r="174" spans="1:3" x14ac:dyDescent="0.35">
      <c r="A174" s="70">
        <v>44501</v>
      </c>
      <c r="B174" s="11" t="s">
        <v>283</v>
      </c>
      <c r="C174" s="7" t="str">
        <f t="shared" si="5"/>
        <v/>
      </c>
    </row>
    <row r="175" spans="1:3" x14ac:dyDescent="0.35">
      <c r="A175" s="70">
        <v>44531</v>
      </c>
      <c r="B175" s="11" t="s">
        <v>283</v>
      </c>
      <c r="C175" s="7" t="str">
        <f t="shared" si="5"/>
        <v/>
      </c>
    </row>
    <row r="176" spans="1:3" x14ac:dyDescent="0.35">
      <c r="A176" s="70">
        <v>44562</v>
      </c>
      <c r="B176" s="11" t="s">
        <v>283</v>
      </c>
      <c r="C176" s="7" t="str">
        <f t="shared" si="5"/>
        <v/>
      </c>
    </row>
    <row r="177" spans="1:3" x14ac:dyDescent="0.35">
      <c r="A177" s="70">
        <v>44593</v>
      </c>
      <c r="B177" s="11" t="s">
        <v>283</v>
      </c>
      <c r="C177" s="7" t="str">
        <f t="shared" si="5"/>
        <v/>
      </c>
    </row>
    <row r="178" spans="1:3" x14ac:dyDescent="0.35">
      <c r="A178" s="70">
        <v>44621</v>
      </c>
      <c r="B178" s="11" t="s">
        <v>283</v>
      </c>
      <c r="C178" s="7" t="str">
        <f t="shared" si="5"/>
        <v/>
      </c>
    </row>
    <row r="179" spans="1:3" x14ac:dyDescent="0.35">
      <c r="A179" s="70">
        <v>44652</v>
      </c>
      <c r="B179" s="11" t="s">
        <v>283</v>
      </c>
      <c r="C179" s="7" t="str">
        <f t="shared" si="5"/>
        <v/>
      </c>
    </row>
    <row r="180" spans="1:3" x14ac:dyDescent="0.35">
      <c r="A180" s="70">
        <v>44682</v>
      </c>
      <c r="B180" s="11" t="s">
        <v>283</v>
      </c>
      <c r="C180" s="7" t="str">
        <f t="shared" si="5"/>
        <v/>
      </c>
    </row>
    <row r="181" spans="1:3" x14ac:dyDescent="0.35">
      <c r="A181" s="70">
        <v>44713</v>
      </c>
      <c r="B181" s="11" t="s">
        <v>283</v>
      </c>
      <c r="C181" s="7" t="str">
        <f t="shared" si="5"/>
        <v/>
      </c>
    </row>
    <row r="182" spans="1:3" x14ac:dyDescent="0.35">
      <c r="A182" s="70">
        <v>44743</v>
      </c>
      <c r="B182" s="11" t="s">
        <v>283</v>
      </c>
      <c r="C182" s="7" t="str">
        <f t="shared" si="5"/>
        <v/>
      </c>
    </row>
    <row r="183" spans="1:3" x14ac:dyDescent="0.35">
      <c r="A183" s="70">
        <v>44774</v>
      </c>
      <c r="B183" s="11" t="s">
        <v>283</v>
      </c>
      <c r="C183" s="7" t="str">
        <f t="shared" si="5"/>
        <v/>
      </c>
    </row>
    <row r="184" spans="1:3" x14ac:dyDescent="0.35">
      <c r="A184" s="70">
        <v>44805</v>
      </c>
      <c r="B184" s="11" t="s">
        <v>283</v>
      </c>
      <c r="C184" s="7" t="str">
        <f t="shared" si="5"/>
        <v/>
      </c>
    </row>
    <row r="185" spans="1:3" x14ac:dyDescent="0.35">
      <c r="A185" s="70">
        <v>44835</v>
      </c>
      <c r="B185" s="11" t="s">
        <v>283</v>
      </c>
      <c r="C185" s="7" t="str">
        <f t="shared" si="5"/>
        <v/>
      </c>
    </row>
    <row r="186" spans="1:3" x14ac:dyDescent="0.35">
      <c r="A186" s="70">
        <v>44866</v>
      </c>
      <c r="B186" s="11" t="s">
        <v>283</v>
      </c>
      <c r="C186" s="7" t="str">
        <f t="shared" si="5"/>
        <v/>
      </c>
    </row>
    <row r="187" spans="1:3" x14ac:dyDescent="0.35">
      <c r="A187" s="70">
        <v>44896</v>
      </c>
      <c r="B187" s="11" t="s">
        <v>283</v>
      </c>
      <c r="C187" s="7" t="str">
        <f t="shared" ref="C187:C218" si="6">IFERROR(B187-B186,"")</f>
        <v/>
      </c>
    </row>
    <row r="188" spans="1:3" x14ac:dyDescent="0.35">
      <c r="A188" s="70">
        <v>44927</v>
      </c>
      <c r="B188" s="11" t="s">
        <v>283</v>
      </c>
      <c r="C188" s="7" t="str">
        <f t="shared" si="6"/>
        <v/>
      </c>
    </row>
    <row r="189" spans="1:3" x14ac:dyDescent="0.35">
      <c r="A189" s="70">
        <v>44958</v>
      </c>
      <c r="B189" s="11" t="s">
        <v>283</v>
      </c>
      <c r="C189" s="7" t="str">
        <f t="shared" si="6"/>
        <v/>
      </c>
    </row>
    <row r="190" spans="1:3" x14ac:dyDescent="0.35">
      <c r="A190" s="70">
        <v>44986</v>
      </c>
      <c r="B190" s="11" t="s">
        <v>283</v>
      </c>
      <c r="C190" s="7" t="str">
        <f t="shared" si="6"/>
        <v/>
      </c>
    </row>
    <row r="191" spans="1:3" x14ac:dyDescent="0.35">
      <c r="A191" s="70">
        <v>45017</v>
      </c>
      <c r="B191" s="11" t="s">
        <v>283</v>
      </c>
      <c r="C191" s="7" t="str">
        <f t="shared" si="6"/>
        <v/>
      </c>
    </row>
    <row r="192" spans="1:3" x14ac:dyDescent="0.35">
      <c r="A192" s="70">
        <v>45047</v>
      </c>
      <c r="B192" s="11" t="s">
        <v>283</v>
      </c>
      <c r="C192" s="7" t="str">
        <f t="shared" si="6"/>
        <v/>
      </c>
    </row>
    <row r="193" spans="1:3" x14ac:dyDescent="0.35">
      <c r="A193" s="70">
        <v>45078</v>
      </c>
      <c r="B193" s="11" t="s">
        <v>283</v>
      </c>
      <c r="C193" s="7" t="str">
        <f t="shared" si="6"/>
        <v/>
      </c>
    </row>
    <row r="194" spans="1:3" x14ac:dyDescent="0.35">
      <c r="A194" s="70">
        <v>45108</v>
      </c>
      <c r="B194" s="11" t="s">
        <v>283</v>
      </c>
      <c r="C194" s="7" t="str">
        <f t="shared" si="6"/>
        <v/>
      </c>
    </row>
    <row r="195" spans="1:3" x14ac:dyDescent="0.35">
      <c r="A195" s="70">
        <v>45139</v>
      </c>
      <c r="B195" s="11" t="s">
        <v>283</v>
      </c>
      <c r="C195" s="7" t="str">
        <f t="shared" si="6"/>
        <v/>
      </c>
    </row>
    <row r="196" spans="1:3" x14ac:dyDescent="0.35">
      <c r="A196" s="70">
        <v>45170</v>
      </c>
      <c r="B196" s="11" t="s">
        <v>283</v>
      </c>
      <c r="C196" s="7" t="str">
        <f t="shared" si="6"/>
        <v/>
      </c>
    </row>
    <row r="197" spans="1:3" x14ac:dyDescent="0.35">
      <c r="A197" s="70">
        <v>45200</v>
      </c>
      <c r="B197" s="11" t="s">
        <v>283</v>
      </c>
      <c r="C197" s="7" t="str">
        <f t="shared" si="6"/>
        <v/>
      </c>
    </row>
    <row r="198" spans="1:3" x14ac:dyDescent="0.35">
      <c r="A198" s="70">
        <v>45231</v>
      </c>
      <c r="B198" s="11" t="s">
        <v>283</v>
      </c>
      <c r="C198" s="7" t="str">
        <f t="shared" si="6"/>
        <v/>
      </c>
    </row>
    <row r="199" spans="1:3" x14ac:dyDescent="0.35">
      <c r="A199" s="70">
        <v>45261</v>
      </c>
      <c r="B199" s="11" t="s">
        <v>283</v>
      </c>
      <c r="C199" s="7" t="str">
        <f t="shared" si="6"/>
        <v/>
      </c>
    </row>
    <row r="200" spans="1:3" x14ac:dyDescent="0.35">
      <c r="A200" s="70">
        <v>45292</v>
      </c>
      <c r="B200" s="11" t="s">
        <v>283</v>
      </c>
      <c r="C200" s="7" t="str">
        <f t="shared" si="6"/>
        <v/>
      </c>
    </row>
    <row r="201" spans="1:3" x14ac:dyDescent="0.35">
      <c r="A201" s="70">
        <v>45323</v>
      </c>
      <c r="B201" s="11" t="s">
        <v>283</v>
      </c>
      <c r="C201" s="7" t="str">
        <f t="shared" si="6"/>
        <v/>
      </c>
    </row>
    <row r="202" spans="1:3" x14ac:dyDescent="0.35">
      <c r="A202" s="70">
        <v>45352</v>
      </c>
      <c r="B202" s="11" t="s">
        <v>283</v>
      </c>
      <c r="C202" s="7" t="str">
        <f t="shared" si="6"/>
        <v/>
      </c>
    </row>
    <row r="203" spans="1:3" x14ac:dyDescent="0.35">
      <c r="A203" s="70">
        <v>45383</v>
      </c>
      <c r="B203" s="11" t="s">
        <v>283</v>
      </c>
      <c r="C203" s="7" t="str">
        <f t="shared" si="6"/>
        <v/>
      </c>
    </row>
    <row r="204" spans="1:3" x14ac:dyDescent="0.35">
      <c r="A204" s="70">
        <v>45413</v>
      </c>
      <c r="B204" s="11" t="s">
        <v>283</v>
      </c>
      <c r="C204" s="7" t="str">
        <f t="shared" si="6"/>
        <v/>
      </c>
    </row>
    <row r="205" spans="1:3" x14ac:dyDescent="0.35">
      <c r="A205" s="70">
        <v>45444</v>
      </c>
      <c r="B205" s="11" t="s">
        <v>283</v>
      </c>
      <c r="C205" s="7" t="str">
        <f t="shared" si="6"/>
        <v/>
      </c>
    </row>
    <row r="206" spans="1:3" x14ac:dyDescent="0.35">
      <c r="A206" s="70">
        <v>45474</v>
      </c>
      <c r="B206" s="11" t="s">
        <v>283</v>
      </c>
      <c r="C206" s="7" t="str">
        <f t="shared" si="6"/>
        <v/>
      </c>
    </row>
    <row r="207" spans="1:3" x14ac:dyDescent="0.35">
      <c r="A207" s="70">
        <v>45505</v>
      </c>
      <c r="B207" s="11" t="s">
        <v>283</v>
      </c>
      <c r="C207" s="7" t="str">
        <f t="shared" si="6"/>
        <v/>
      </c>
    </row>
    <row r="208" spans="1:3" x14ac:dyDescent="0.35">
      <c r="A208" s="70">
        <v>45536</v>
      </c>
      <c r="B208" s="11" t="s">
        <v>283</v>
      </c>
      <c r="C208" s="7" t="str">
        <f t="shared" si="6"/>
        <v/>
      </c>
    </row>
    <row r="209" spans="1:3" x14ac:dyDescent="0.35">
      <c r="A209" s="70">
        <v>45566</v>
      </c>
      <c r="B209" s="11" t="s">
        <v>283</v>
      </c>
      <c r="C209" s="7" t="str">
        <f t="shared" si="6"/>
        <v/>
      </c>
    </row>
    <row r="210" spans="1:3" x14ac:dyDescent="0.35">
      <c r="A210" s="70">
        <v>45597</v>
      </c>
      <c r="B210" s="11" t="s">
        <v>283</v>
      </c>
      <c r="C210" s="7" t="str">
        <f t="shared" si="6"/>
        <v/>
      </c>
    </row>
    <row r="211" spans="1:3" x14ac:dyDescent="0.35">
      <c r="A211" s="70">
        <v>45627</v>
      </c>
      <c r="B211" s="11" t="s">
        <v>283</v>
      </c>
      <c r="C211" s="7" t="str">
        <f t="shared" si="6"/>
        <v/>
      </c>
    </row>
    <row r="212" spans="1:3" x14ac:dyDescent="0.35">
      <c r="A212" s="70">
        <v>45658</v>
      </c>
      <c r="B212" s="11" t="s">
        <v>283</v>
      </c>
      <c r="C212" s="7" t="str">
        <f t="shared" si="6"/>
        <v/>
      </c>
    </row>
    <row r="213" spans="1:3" x14ac:dyDescent="0.35">
      <c r="A213" s="70">
        <v>45689</v>
      </c>
      <c r="B213" s="11" t="s">
        <v>283</v>
      </c>
      <c r="C213" s="7" t="str">
        <f t="shared" si="6"/>
        <v/>
      </c>
    </row>
    <row r="214" spans="1:3" x14ac:dyDescent="0.35">
      <c r="A214" s="70">
        <v>45717</v>
      </c>
      <c r="B214" s="11" t="s">
        <v>283</v>
      </c>
      <c r="C214" s="7" t="str">
        <f t="shared" si="6"/>
        <v/>
      </c>
    </row>
    <row r="215" spans="1:3" x14ac:dyDescent="0.35">
      <c r="A215" s="70">
        <v>45748</v>
      </c>
      <c r="B215" s="11" t="s">
        <v>283</v>
      </c>
      <c r="C215" s="7" t="str">
        <f t="shared" si="6"/>
        <v/>
      </c>
    </row>
    <row r="216" spans="1:3" x14ac:dyDescent="0.35">
      <c r="A216" s="70">
        <v>45778</v>
      </c>
      <c r="B216" s="11" t="s">
        <v>283</v>
      </c>
      <c r="C216" s="7" t="str">
        <f t="shared" si="6"/>
        <v/>
      </c>
    </row>
    <row r="217" spans="1:3" x14ac:dyDescent="0.35">
      <c r="A217" s="70">
        <v>45809</v>
      </c>
      <c r="B217" s="11" t="s">
        <v>283</v>
      </c>
      <c r="C217" s="7" t="str">
        <f t="shared" si="6"/>
        <v/>
      </c>
    </row>
    <row r="218" spans="1:3" x14ac:dyDescent="0.35">
      <c r="A218" s="70">
        <v>45839</v>
      </c>
      <c r="B218" s="11" t="s">
        <v>283</v>
      </c>
      <c r="C218" s="7" t="str">
        <f t="shared" si="6"/>
        <v/>
      </c>
    </row>
    <row r="219" spans="1:3" x14ac:dyDescent="0.35">
      <c r="A219" s="70">
        <v>45870</v>
      </c>
      <c r="B219" s="11" t="s">
        <v>283</v>
      </c>
      <c r="C219" s="7" t="str">
        <f t="shared" ref="C219:C228" si="7">IFERROR(B219-B218,"")</f>
        <v/>
      </c>
    </row>
    <row r="220" spans="1:3" x14ac:dyDescent="0.35">
      <c r="A220" s="70">
        <v>45901</v>
      </c>
      <c r="B220" s="11" t="s">
        <v>283</v>
      </c>
      <c r="C220" s="7" t="str">
        <f t="shared" si="7"/>
        <v/>
      </c>
    </row>
    <row r="221" spans="1:3" x14ac:dyDescent="0.35">
      <c r="A221" s="70">
        <v>45931</v>
      </c>
      <c r="B221" s="11" t="s">
        <v>283</v>
      </c>
      <c r="C221" s="7" t="str">
        <f t="shared" si="7"/>
        <v/>
      </c>
    </row>
    <row r="222" spans="1:3" x14ac:dyDescent="0.35">
      <c r="A222" s="70">
        <v>45962</v>
      </c>
      <c r="B222" s="11" t="s">
        <v>283</v>
      </c>
      <c r="C222" s="7" t="str">
        <f t="shared" si="7"/>
        <v/>
      </c>
    </row>
    <row r="223" spans="1:3" x14ac:dyDescent="0.35">
      <c r="A223" s="70">
        <v>45992</v>
      </c>
      <c r="B223" s="11" t="s">
        <v>283</v>
      </c>
      <c r="C223" s="7" t="str">
        <f t="shared" si="7"/>
        <v/>
      </c>
    </row>
    <row r="224" spans="1:3" x14ac:dyDescent="0.35">
      <c r="A224" s="70">
        <v>46023</v>
      </c>
      <c r="B224" s="11" t="s">
        <v>283</v>
      </c>
      <c r="C224" s="7" t="str">
        <f t="shared" si="7"/>
        <v/>
      </c>
    </row>
    <row r="225" spans="1:3" x14ac:dyDescent="0.35">
      <c r="A225" s="70">
        <v>46054</v>
      </c>
      <c r="B225" s="11" t="s">
        <v>283</v>
      </c>
      <c r="C225" s="7" t="str">
        <f t="shared" si="7"/>
        <v/>
      </c>
    </row>
    <row r="226" spans="1:3" x14ac:dyDescent="0.35">
      <c r="A226" s="70">
        <v>46082</v>
      </c>
      <c r="B226" s="11" t="s">
        <v>283</v>
      </c>
      <c r="C226" s="7" t="str">
        <f t="shared" si="7"/>
        <v/>
      </c>
    </row>
    <row r="227" spans="1:3" x14ac:dyDescent="0.35">
      <c r="A227" s="70">
        <v>46113</v>
      </c>
      <c r="B227" s="11" t="s">
        <v>283</v>
      </c>
      <c r="C227" s="7" t="str">
        <f t="shared" si="7"/>
        <v/>
      </c>
    </row>
    <row r="228" spans="1:3" x14ac:dyDescent="0.35">
      <c r="A228" s="70">
        <v>46143</v>
      </c>
      <c r="B228" s="11">
        <v>48.7</v>
      </c>
      <c r="C228" s="7" t="str">
        <f t="shared" si="7"/>
        <v/>
      </c>
    </row>
  </sheetData>
  <conditionalFormatting sqref="B41:B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C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68"/>
  <sheetViews>
    <sheetView zoomScale="70" zoomScaleNormal="70" workbookViewId="0">
      <selection activeCell="C29" sqref="C29"/>
    </sheetView>
  </sheetViews>
  <sheetFormatPr defaultRowHeight="14.5" x14ac:dyDescent="0.35"/>
  <cols>
    <col min="1" max="1" width="8.7265625" customWidth="1"/>
    <col min="2" max="2" width="8.7265625" style="3" customWidth="1"/>
    <col min="3" max="3" width="8.7265625" style="2" customWidth="1"/>
    <col min="4" max="4" width="8.7265625" style="4" customWidth="1"/>
    <col min="5" max="16" width="8.7265625" customWidth="1"/>
  </cols>
  <sheetData>
    <row r="1" spans="1:16" x14ac:dyDescent="0.35">
      <c r="A1" s="30" t="s">
        <v>0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38</v>
      </c>
      <c r="K1" s="16" t="s">
        <v>39</v>
      </c>
      <c r="L1" s="16" t="s">
        <v>40</v>
      </c>
      <c r="M1" s="16" t="s">
        <v>41</v>
      </c>
      <c r="N1" s="16" t="s">
        <v>42</v>
      </c>
      <c r="O1" s="16" t="s">
        <v>43</v>
      </c>
      <c r="P1" s="16" t="s">
        <v>44</v>
      </c>
    </row>
    <row r="2" spans="1:16" x14ac:dyDescent="0.35">
      <c r="A2" s="34">
        <v>41091</v>
      </c>
      <c r="B2" s="35">
        <f>Global!B62</f>
        <v>49.2</v>
      </c>
      <c r="C2" s="11" t="str">
        <f>US!B63</f>
        <v>No data</v>
      </c>
      <c r="D2" s="11">
        <f>CH!B62</f>
        <v>53.1</v>
      </c>
      <c r="E2" s="11">
        <f>EZ!B62</f>
        <v>47.9</v>
      </c>
      <c r="F2" s="11">
        <f>JP!B62</f>
        <v>48.7</v>
      </c>
      <c r="G2" s="11">
        <f>DE!B62</f>
        <v>50.3</v>
      </c>
      <c r="H2" s="11">
        <f>FR!B62</f>
        <v>50</v>
      </c>
      <c r="I2" s="11">
        <f>UK!B62</f>
        <v>51.3</v>
      </c>
      <c r="J2" s="11">
        <f>IT!B62</f>
        <v>43</v>
      </c>
      <c r="K2" s="11">
        <f>ES!B62</f>
        <v>43.7</v>
      </c>
      <c r="L2" s="11">
        <f>BR!B62</f>
        <v>48.9</v>
      </c>
      <c r="M2" s="11">
        <f>RS!B62</f>
        <v>52</v>
      </c>
      <c r="N2" s="11">
        <f>IN!B62</f>
        <v>54.3</v>
      </c>
      <c r="O2" s="11">
        <f>AU!B62</f>
        <v>46.5</v>
      </c>
      <c r="P2" s="11">
        <f>IR!B62</f>
        <v>49.1</v>
      </c>
    </row>
    <row r="3" spans="1:16" x14ac:dyDescent="0.35">
      <c r="A3" s="34">
        <v>41122</v>
      </c>
      <c r="B3" s="35">
        <f>Global!B63</f>
        <v>52.4</v>
      </c>
      <c r="C3" s="11" t="str">
        <f>US!B64</f>
        <v>No data</v>
      </c>
      <c r="D3" s="11">
        <f>CH!B63</f>
        <v>52</v>
      </c>
      <c r="E3" s="11">
        <f>EZ!B63</f>
        <v>47.2</v>
      </c>
      <c r="F3" s="11">
        <f>JP!B63</f>
        <v>47.5</v>
      </c>
      <c r="G3" s="11">
        <f>DE!B63</f>
        <v>48.3</v>
      </c>
      <c r="H3" s="11">
        <f>FR!B63</f>
        <v>49.2</v>
      </c>
      <c r="I3" s="11">
        <f>UK!B63</f>
        <v>51</v>
      </c>
      <c r="J3" s="11">
        <f>IT!B63</f>
        <v>44</v>
      </c>
      <c r="K3" s="11">
        <f>ES!B63</f>
        <v>44</v>
      </c>
      <c r="L3" s="11">
        <f>BR!B63</f>
        <v>48.1</v>
      </c>
      <c r="M3" s="11">
        <f>RS!B63</f>
        <v>52.6</v>
      </c>
      <c r="N3" s="11">
        <f>IN!B63</f>
        <v>54.2</v>
      </c>
      <c r="O3" s="11">
        <f>AU!B63</f>
        <v>42.4</v>
      </c>
      <c r="P3" s="11">
        <f>IR!B63</f>
        <v>51.7</v>
      </c>
    </row>
    <row r="4" spans="1:16" x14ac:dyDescent="0.35">
      <c r="A4" s="34">
        <v>41153</v>
      </c>
      <c r="B4" s="35">
        <f>Global!B64</f>
        <v>53.1</v>
      </c>
      <c r="C4" s="11" t="str">
        <f>US!B65</f>
        <v>No data</v>
      </c>
      <c r="D4" s="11">
        <f>CH!B64</f>
        <v>54.3</v>
      </c>
      <c r="E4" s="11">
        <f>EZ!B64</f>
        <v>46.1</v>
      </c>
      <c r="F4" s="11">
        <f>JP!B64</f>
        <v>48.8</v>
      </c>
      <c r="G4" s="11">
        <f>DE!B64</f>
        <v>49.7</v>
      </c>
      <c r="H4" s="11">
        <f>FR!B64</f>
        <v>45</v>
      </c>
      <c r="I4" s="11">
        <f>UK!B64</f>
        <v>53.7</v>
      </c>
      <c r="J4" s="11">
        <f>IT!B64</f>
        <v>44.5</v>
      </c>
      <c r="K4" s="11">
        <f>ES!B64</f>
        <v>40.200000000000003</v>
      </c>
      <c r="L4" s="11">
        <f>BR!B64</f>
        <v>52.8</v>
      </c>
      <c r="M4" s="11">
        <f>RS!B64</f>
        <v>54.5</v>
      </c>
      <c r="N4" s="11">
        <f>IN!B64</f>
        <v>55</v>
      </c>
      <c r="O4" s="11">
        <f>AU!B64</f>
        <v>41.9</v>
      </c>
      <c r="P4" s="11">
        <f>IR!B64</f>
        <v>53.9</v>
      </c>
    </row>
    <row r="5" spans="1:16" x14ac:dyDescent="0.35">
      <c r="A5" s="34">
        <v>41183</v>
      </c>
      <c r="B5" s="35">
        <f>Global!B65</f>
        <v>53.6</v>
      </c>
      <c r="C5" s="11" t="str">
        <f>US!B66</f>
        <v>No data</v>
      </c>
      <c r="D5" s="11">
        <f>CH!B65</f>
        <v>53.5</v>
      </c>
      <c r="E5" s="11">
        <f>EZ!B65</f>
        <v>46</v>
      </c>
      <c r="F5" s="11">
        <f>JP!B65</f>
        <v>49.7</v>
      </c>
      <c r="G5" s="11">
        <f>DE!B65</f>
        <v>48.4</v>
      </c>
      <c r="H5" s="11">
        <f>FR!B65</f>
        <v>44.6</v>
      </c>
      <c r="I5" s="11">
        <f>UK!B65</f>
        <v>52.2</v>
      </c>
      <c r="J5" s="11">
        <f>IT!B65</f>
        <v>46</v>
      </c>
      <c r="K5" s="11">
        <f>ES!B65</f>
        <v>41.2</v>
      </c>
      <c r="L5" s="11">
        <f>BR!B65</f>
        <v>50.4</v>
      </c>
      <c r="M5" s="11">
        <f>RS!B65</f>
        <v>57.3</v>
      </c>
      <c r="N5" s="11">
        <f>IN!B65</f>
        <v>55.8</v>
      </c>
      <c r="O5" s="11">
        <f>AU!B65</f>
        <v>42.8</v>
      </c>
      <c r="P5" s="11">
        <f>IR!B65</f>
        <v>56.1</v>
      </c>
    </row>
    <row r="6" spans="1:16" x14ac:dyDescent="0.35">
      <c r="A6" s="34">
        <v>41214</v>
      </c>
      <c r="B6" s="35">
        <f>Global!B66</f>
        <v>54.8</v>
      </c>
      <c r="C6" s="11" t="str">
        <f>US!B67</f>
        <v>No data</v>
      </c>
      <c r="D6" s="11">
        <f>CH!B66</f>
        <v>52.1</v>
      </c>
      <c r="E6" s="11">
        <f>EZ!B66</f>
        <v>46.7</v>
      </c>
      <c r="F6" s="11">
        <f>JP!B66</f>
        <v>49.1</v>
      </c>
      <c r="G6" s="11">
        <f>DE!B66</f>
        <v>49.7</v>
      </c>
      <c r="H6" s="11">
        <f>FR!B66</f>
        <v>45.8</v>
      </c>
      <c r="I6" s="11">
        <f>UK!B66</f>
        <v>50.6</v>
      </c>
      <c r="J6" s="11">
        <f>IT!B66</f>
        <v>44.6</v>
      </c>
      <c r="K6" s="11">
        <f>ES!B66</f>
        <v>42.4</v>
      </c>
      <c r="L6" s="11">
        <f>BR!B66</f>
        <v>52.5</v>
      </c>
      <c r="M6" s="11">
        <f>RS!B66</f>
        <v>57.1</v>
      </c>
      <c r="N6" s="11">
        <f>IN!B66</f>
        <v>53.8</v>
      </c>
      <c r="O6" s="11">
        <f>AU!B66</f>
        <v>47.1</v>
      </c>
      <c r="P6" s="11">
        <f>IR!B66</f>
        <v>56.1</v>
      </c>
    </row>
    <row r="7" spans="1:16" x14ac:dyDescent="0.35">
      <c r="A7" s="34">
        <v>41244</v>
      </c>
      <c r="B7" s="35">
        <f>Global!B67</f>
        <v>54.8</v>
      </c>
      <c r="C7" s="11" t="str">
        <f>US!B68</f>
        <v>No data</v>
      </c>
      <c r="D7" s="11">
        <f>CH!B67</f>
        <v>53.5</v>
      </c>
      <c r="E7" s="11">
        <f>EZ!B67</f>
        <v>47.2</v>
      </c>
      <c r="F7" s="11">
        <f>JP!B67</f>
        <v>50.1</v>
      </c>
      <c r="G7" s="11">
        <f>DE!B67</f>
        <v>55.7</v>
      </c>
      <c r="H7" s="11">
        <f>FR!B67</f>
        <v>44.1</v>
      </c>
      <c r="I7" s="11">
        <f>UK!B67</f>
        <v>50.2</v>
      </c>
      <c r="J7" s="11">
        <f>IT!B67</f>
        <v>43.1</v>
      </c>
      <c r="K7" s="11">
        <f>ES!B67</f>
        <v>44.1</v>
      </c>
      <c r="L7" s="11">
        <f>BR!B67</f>
        <v>53.2</v>
      </c>
      <c r="M7" s="11">
        <f>RS!B67</f>
        <v>56.1</v>
      </c>
      <c r="N7" s="11">
        <f>IN!B67</f>
        <v>52.1</v>
      </c>
      <c r="O7" s="11">
        <f>AU!B67</f>
        <v>46.3</v>
      </c>
      <c r="P7" s="11">
        <f>IR!B67</f>
        <v>56.5</v>
      </c>
    </row>
    <row r="8" spans="1:16" x14ac:dyDescent="0.35">
      <c r="A8" s="34">
        <v>41275</v>
      </c>
      <c r="B8" s="35">
        <f>Global!B68</f>
        <v>53.6</v>
      </c>
      <c r="C8" s="11" t="str">
        <f>US!B69</f>
        <v>No data</v>
      </c>
      <c r="D8" s="11">
        <f>CH!B68</f>
        <v>54</v>
      </c>
      <c r="E8" s="11">
        <f>EZ!B68</f>
        <v>48.6</v>
      </c>
      <c r="F8" s="11">
        <f>JP!B68</f>
        <v>50.4</v>
      </c>
      <c r="G8" s="11">
        <f>DE!B68</f>
        <v>54.7</v>
      </c>
      <c r="H8" s="11">
        <f>FR!B68</f>
        <v>43.6</v>
      </c>
      <c r="I8" s="11">
        <f>UK!B68</f>
        <v>51.5</v>
      </c>
      <c r="J8" s="11">
        <f>IT!B68</f>
        <v>43.9</v>
      </c>
      <c r="K8" s="11">
        <f>ES!B68</f>
        <v>47</v>
      </c>
      <c r="L8" s="11">
        <f>BR!B68</f>
        <v>54.5</v>
      </c>
      <c r="M8" s="11">
        <f>RS!B68</f>
        <v>55.7</v>
      </c>
      <c r="N8" s="11">
        <f>IN!B68</f>
        <v>57.5</v>
      </c>
      <c r="O8" s="11">
        <f>AU!B68</f>
        <v>45.4</v>
      </c>
      <c r="P8" s="11">
        <f>IR!B68</f>
        <v>56.8</v>
      </c>
    </row>
    <row r="9" spans="1:16" x14ac:dyDescent="0.35">
      <c r="A9" s="34">
        <v>41306</v>
      </c>
      <c r="B9" s="35">
        <f>Global!B69</f>
        <v>53.2</v>
      </c>
      <c r="C9" s="11" t="str">
        <f>US!B70</f>
        <v>No data</v>
      </c>
      <c r="D9" s="11">
        <f>CH!B69</f>
        <v>52.1</v>
      </c>
      <c r="E9" s="11">
        <f>EZ!B69</f>
        <v>47.9</v>
      </c>
      <c r="F9" s="11">
        <f>JP!B69</f>
        <v>51.3</v>
      </c>
      <c r="G9" s="11">
        <f>DE!B69</f>
        <v>50.9</v>
      </c>
      <c r="H9" s="11">
        <f>FR!B69</f>
        <v>43.7</v>
      </c>
      <c r="I9" s="11">
        <f>UK!B69</f>
        <v>51.8</v>
      </c>
      <c r="J9" s="11">
        <f>IT!B69</f>
        <v>43.6</v>
      </c>
      <c r="K9" s="11">
        <f>ES!B69</f>
        <v>44.7</v>
      </c>
      <c r="L9" s="11">
        <f>BR!B69</f>
        <v>52.1</v>
      </c>
      <c r="M9" s="11">
        <f>RS!B69</f>
        <v>56.1</v>
      </c>
      <c r="N9" s="11">
        <f>IN!B69</f>
        <v>54.2</v>
      </c>
      <c r="O9" s="11">
        <f>AU!B69</f>
        <v>48.5</v>
      </c>
      <c r="P9" s="11">
        <f>IR!B69</f>
        <v>53.6</v>
      </c>
    </row>
    <row r="10" spans="1:16" x14ac:dyDescent="0.35">
      <c r="A10" s="34">
        <v>41334</v>
      </c>
      <c r="B10" s="35">
        <f>Global!B70</f>
        <v>53.4</v>
      </c>
      <c r="C10" s="11" t="str">
        <f>US!B71</f>
        <v>No data</v>
      </c>
      <c r="D10" s="11">
        <f>CH!B70</f>
        <v>54.3</v>
      </c>
      <c r="E10" s="11">
        <f>EZ!B70</f>
        <v>46.4</v>
      </c>
      <c r="F10" s="11">
        <f>JP!B70</f>
        <v>53.4</v>
      </c>
      <c r="G10" s="11">
        <f>DE!B70</f>
        <v>49.6</v>
      </c>
      <c r="H10" s="11">
        <f>FR!B70</f>
        <v>41.3</v>
      </c>
      <c r="I10" s="11">
        <f>UK!B70</f>
        <v>52.4</v>
      </c>
      <c r="J10" s="11">
        <f>IT!B70</f>
        <v>45.5</v>
      </c>
      <c r="K10" s="11">
        <f>ES!B70</f>
        <v>45.3</v>
      </c>
      <c r="L10" s="11">
        <f>BR!B70</f>
        <v>50.3</v>
      </c>
      <c r="M10" s="11">
        <f>RS!B70</f>
        <v>54.6</v>
      </c>
      <c r="N10" s="11">
        <f>IN!B70</f>
        <v>51.4</v>
      </c>
      <c r="O10" s="11">
        <f>AU!B70</f>
        <v>49.6</v>
      </c>
      <c r="P10" s="11">
        <f>IR!B70</f>
        <v>52.3</v>
      </c>
    </row>
    <row r="11" spans="1:16" x14ac:dyDescent="0.35">
      <c r="A11" s="34">
        <v>41365</v>
      </c>
      <c r="B11" s="35">
        <f>Global!B71</f>
        <v>52.1</v>
      </c>
      <c r="C11" s="11" t="str">
        <f>US!B72</f>
        <v>No data</v>
      </c>
      <c r="D11" s="11">
        <f>CH!B71</f>
        <v>51.1</v>
      </c>
      <c r="E11" s="11">
        <f>EZ!B71</f>
        <v>47</v>
      </c>
      <c r="F11" s="11">
        <f>JP!B71</f>
        <v>52.5</v>
      </c>
      <c r="G11" s="11">
        <f>DE!B71</f>
        <v>49.7</v>
      </c>
      <c r="H11" s="11">
        <f>FR!B71</f>
        <v>44.3</v>
      </c>
      <c r="I11" s="11">
        <f>UK!B71</f>
        <v>52.9</v>
      </c>
      <c r="J11" s="11">
        <f>IT!B71</f>
        <v>47</v>
      </c>
      <c r="K11" s="11">
        <f>ES!B71</f>
        <v>44.4</v>
      </c>
      <c r="L11" s="11">
        <f>BR!B71</f>
        <v>51</v>
      </c>
      <c r="M11" s="11">
        <f>RS!B71</f>
        <v>53</v>
      </c>
      <c r="N11" s="11">
        <f>IN!B71</f>
        <v>50.7</v>
      </c>
      <c r="O11" s="11">
        <f>AU!B71</f>
        <v>44.1</v>
      </c>
      <c r="P11" s="11">
        <f>IR!B71</f>
        <v>55.2</v>
      </c>
    </row>
    <row r="12" spans="1:16" x14ac:dyDescent="0.35">
      <c r="A12" s="34">
        <v>41395</v>
      </c>
      <c r="B12" s="35">
        <f>Global!B72</f>
        <v>53.7</v>
      </c>
      <c r="C12" s="11" t="str">
        <f>US!B73</f>
        <v>No data</v>
      </c>
      <c r="D12" s="11">
        <f>CH!B72</f>
        <v>51.2</v>
      </c>
      <c r="E12" s="11">
        <f>EZ!B72</f>
        <v>47.2</v>
      </c>
      <c r="F12" s="11">
        <f>JP!B72</f>
        <v>54.8</v>
      </c>
      <c r="G12" s="11">
        <f>DE!B72</f>
        <v>50.4</v>
      </c>
      <c r="H12" s="11">
        <f>FR!B72</f>
        <v>44.3</v>
      </c>
      <c r="I12" s="11">
        <f>UK!B72</f>
        <v>54.9</v>
      </c>
      <c r="J12" s="11">
        <f>IT!B72</f>
        <v>46.5</v>
      </c>
      <c r="K12" s="11">
        <f>ES!B72</f>
        <v>47.3</v>
      </c>
      <c r="L12" s="11">
        <f>BR!B72</f>
        <v>51</v>
      </c>
      <c r="M12" s="11">
        <f>RS!B72</f>
        <v>51.4</v>
      </c>
      <c r="N12" s="11">
        <f>IN!B72</f>
        <v>53.6</v>
      </c>
      <c r="O12" s="11">
        <f>AU!B72</f>
        <v>40.6</v>
      </c>
      <c r="P12" s="11">
        <f>IR!B72</f>
        <v>52.7</v>
      </c>
    </row>
    <row r="13" spans="1:16" x14ac:dyDescent="0.35">
      <c r="A13" s="34">
        <v>41426</v>
      </c>
      <c r="B13" s="35">
        <f>Global!B73</f>
        <v>51.3</v>
      </c>
      <c r="C13" s="11" t="str">
        <f>US!B74</f>
        <v>No data</v>
      </c>
      <c r="D13" s="11">
        <f>CH!B73</f>
        <v>51.3</v>
      </c>
      <c r="E13" s="11">
        <f>EZ!B73</f>
        <v>48.3</v>
      </c>
      <c r="F13" s="11">
        <f>JP!B73</f>
        <v>52.1</v>
      </c>
      <c r="G13" s="11">
        <f>DE!B73</f>
        <v>51.3</v>
      </c>
      <c r="H13" s="11">
        <f>FR!B73</f>
        <v>47.2</v>
      </c>
      <c r="I13" s="11">
        <f>UK!B73</f>
        <v>56.9</v>
      </c>
      <c r="J13" s="11">
        <f>IT!B73</f>
        <v>45.8</v>
      </c>
      <c r="K13" s="11">
        <f>ES!B73</f>
        <v>47.8</v>
      </c>
      <c r="L13" s="11">
        <f>BR!B73</f>
        <v>50.3</v>
      </c>
      <c r="M13" s="11">
        <f>RS!B73</f>
        <v>48.8</v>
      </c>
      <c r="N13" s="11">
        <f>IN!B73</f>
        <v>51.7</v>
      </c>
      <c r="O13" s="11">
        <f>AU!B73</f>
        <v>41.5</v>
      </c>
      <c r="P13" s="11">
        <f>IR!B73</f>
        <v>61.6</v>
      </c>
    </row>
    <row r="14" spans="1:16" x14ac:dyDescent="0.35">
      <c r="A14" s="34">
        <v>41456</v>
      </c>
      <c r="B14" s="35">
        <f>Global!B74</f>
        <v>54.9</v>
      </c>
      <c r="C14" s="11" t="str">
        <f>US!B75</f>
        <v>No data</v>
      </c>
      <c r="D14" s="11">
        <f>CH!B74</f>
        <v>51.3</v>
      </c>
      <c r="E14" s="11">
        <f>EZ!B74</f>
        <v>49.8</v>
      </c>
      <c r="F14" s="11">
        <f>JP!B74</f>
        <v>50.6</v>
      </c>
      <c r="G14" s="11">
        <f>DE!B74</f>
        <v>52.8</v>
      </c>
      <c r="H14" s="11">
        <f>FR!B74</f>
        <v>48.6</v>
      </c>
      <c r="I14" s="11">
        <f>UK!B74</f>
        <v>60.2</v>
      </c>
      <c r="J14" s="11">
        <f>IT!B74</f>
        <v>48.7</v>
      </c>
      <c r="K14" s="11">
        <f>ES!B74</f>
        <v>48.5</v>
      </c>
      <c r="L14" s="11">
        <f>BR!B74</f>
        <v>49.7</v>
      </c>
      <c r="M14" s="11">
        <f>RS!B74</f>
        <v>48.7</v>
      </c>
      <c r="N14" s="11">
        <f>IN!B74</f>
        <v>47.9</v>
      </c>
      <c r="O14" s="11">
        <f>AU!B74</f>
        <v>39.4</v>
      </c>
      <c r="P14" s="11">
        <f>IR!B74</f>
        <v>59.6</v>
      </c>
    </row>
    <row r="15" spans="1:16" x14ac:dyDescent="0.35">
      <c r="A15" s="34">
        <v>41487</v>
      </c>
      <c r="B15" s="35">
        <f>Global!B75</f>
        <v>56</v>
      </c>
      <c r="C15" s="11" t="str">
        <f>US!B76</f>
        <v>No data</v>
      </c>
      <c r="D15" s="11">
        <f>CH!B75</f>
        <v>52.8</v>
      </c>
      <c r="E15" s="11">
        <f>EZ!B75</f>
        <v>50.7</v>
      </c>
      <c r="F15" s="11">
        <f>JP!B75</f>
        <v>51.2</v>
      </c>
      <c r="G15" s="11">
        <f>DE!B75</f>
        <v>53.7</v>
      </c>
      <c r="H15" s="11">
        <f>FR!B75</f>
        <v>48.9</v>
      </c>
      <c r="I15" s="11">
        <f>UK!B75</f>
        <v>60.5</v>
      </c>
      <c r="J15" s="11">
        <f>IT!B75</f>
        <v>48.8</v>
      </c>
      <c r="K15" s="11">
        <f>ES!B75</f>
        <v>50.5</v>
      </c>
      <c r="L15" s="11">
        <f>BR!B75</f>
        <v>50.7</v>
      </c>
      <c r="M15" s="11">
        <f>RS!B75</f>
        <v>51.8</v>
      </c>
      <c r="N15" s="11">
        <f>IN!B75</f>
        <v>47.6</v>
      </c>
      <c r="O15" s="11">
        <f>AU!B75</f>
        <v>39</v>
      </c>
      <c r="P15" s="11">
        <f>IR!B75</f>
        <v>57.2</v>
      </c>
    </row>
    <row r="16" spans="1:16" x14ac:dyDescent="0.35">
      <c r="A16" s="34">
        <v>41518</v>
      </c>
      <c r="B16" s="35">
        <f>Global!B76</f>
        <v>53.6</v>
      </c>
      <c r="C16" s="11" t="str">
        <f>US!B77</f>
        <v>No data</v>
      </c>
      <c r="D16" s="11">
        <f>CH!B76</f>
        <v>52.4</v>
      </c>
      <c r="E16" s="11">
        <f>EZ!B76</f>
        <v>52.2</v>
      </c>
      <c r="F16" s="11">
        <f>JP!B76</f>
        <v>53</v>
      </c>
      <c r="G16" s="11">
        <f>DE!B76</f>
        <v>52.9</v>
      </c>
      <c r="H16" s="11">
        <f>FR!B76</f>
        <v>51</v>
      </c>
      <c r="I16" s="11">
        <f>UK!B76</f>
        <v>60.3</v>
      </c>
      <c r="J16" s="11">
        <f>IT!B76</f>
        <v>52.7</v>
      </c>
      <c r="K16" s="11">
        <f>ES!B76</f>
        <v>49</v>
      </c>
      <c r="L16" s="11">
        <f>BR!B76</f>
        <v>52.1</v>
      </c>
      <c r="M16" s="11">
        <f>RS!B76</f>
        <v>51.5</v>
      </c>
      <c r="N16" s="11">
        <f>IN!B76</f>
        <v>44.6</v>
      </c>
      <c r="O16" s="11">
        <f>AU!B76</f>
        <v>47.1</v>
      </c>
      <c r="P16" s="11">
        <f>IR!B76</f>
        <v>56.8</v>
      </c>
    </row>
    <row r="17" spans="1:16" x14ac:dyDescent="0.35">
      <c r="A17" s="34">
        <v>41548</v>
      </c>
      <c r="B17" s="35">
        <f>Global!B77</f>
        <v>51.8</v>
      </c>
      <c r="C17" s="11">
        <f>US!B78</f>
        <v>49.3</v>
      </c>
      <c r="D17" s="11">
        <f>CH!B77</f>
        <v>52.6</v>
      </c>
      <c r="E17" s="11">
        <f>EZ!B77</f>
        <v>51.6</v>
      </c>
      <c r="F17" s="11">
        <f>JP!B77</f>
        <v>55.3</v>
      </c>
      <c r="G17" s="11">
        <f>DE!B77</f>
        <v>55.7</v>
      </c>
      <c r="H17" s="11">
        <f>FR!B77</f>
        <v>50.9</v>
      </c>
      <c r="I17" s="11">
        <f>UK!B77</f>
        <v>62.5</v>
      </c>
      <c r="J17" s="11">
        <f>IT!B77</f>
        <v>50.5</v>
      </c>
      <c r="K17" s="11">
        <f>ES!B77</f>
        <v>49.6</v>
      </c>
      <c r="L17" s="11">
        <f>BR!B77</f>
        <v>52.3</v>
      </c>
      <c r="M17" s="11">
        <f>RS!B77</f>
        <v>52.5</v>
      </c>
      <c r="N17" s="11">
        <f>IN!B77</f>
        <v>47.1</v>
      </c>
      <c r="O17" s="11">
        <f>AU!B77</f>
        <v>47.9</v>
      </c>
      <c r="P17" s="11">
        <f>IR!B77</f>
        <v>60.1</v>
      </c>
    </row>
    <row r="18" spans="1:16" x14ac:dyDescent="0.35">
      <c r="A18" s="34">
        <v>41579</v>
      </c>
      <c r="B18" s="35">
        <f>Global!B78</f>
        <v>53.9</v>
      </c>
      <c r="C18" s="11">
        <f>US!B79</f>
        <v>55.9</v>
      </c>
      <c r="D18" s="11">
        <f>CH!B78</f>
        <v>52.5</v>
      </c>
      <c r="E18" s="11">
        <f>EZ!B78</f>
        <v>51.2</v>
      </c>
      <c r="F18" s="11">
        <f>JP!B78</f>
        <v>51.8</v>
      </c>
      <c r="G18" s="11">
        <f>DE!B78</f>
        <v>53.5</v>
      </c>
      <c r="H18" s="11">
        <f>FR!B78</f>
        <v>48</v>
      </c>
      <c r="I18" s="11">
        <f>UK!B78</f>
        <v>60</v>
      </c>
      <c r="J18" s="11">
        <f>IT!B78</f>
        <v>47.2</v>
      </c>
      <c r="K18" s="11">
        <f>ES!B78</f>
        <v>51.5</v>
      </c>
      <c r="L18" s="11">
        <f>BR!B78</f>
        <v>51.7</v>
      </c>
      <c r="M18" s="11">
        <f>RS!B78</f>
        <v>52.9</v>
      </c>
      <c r="N18" s="11">
        <f>IN!B78</f>
        <v>47.2</v>
      </c>
      <c r="O18" s="11">
        <f>AU!B78</f>
        <v>48.9</v>
      </c>
      <c r="P18" s="11">
        <f>IR!B78</f>
        <v>57.1</v>
      </c>
    </row>
    <row r="19" spans="1:16" x14ac:dyDescent="0.35">
      <c r="A19" s="34">
        <v>41609</v>
      </c>
      <c r="B19" s="35">
        <f>Global!B79</f>
        <v>53.5</v>
      </c>
      <c r="C19" s="11">
        <f>US!B80</f>
        <v>55.7</v>
      </c>
      <c r="D19" s="11">
        <f>CH!B79</f>
        <v>51.4</v>
      </c>
      <c r="E19" s="11">
        <f>EZ!B79</f>
        <v>51</v>
      </c>
      <c r="F19" s="11">
        <f>JP!B79</f>
        <v>52.1</v>
      </c>
      <c r="G19" s="11">
        <f>DE!B79</f>
        <v>53.1</v>
      </c>
      <c r="H19" s="11">
        <f>FR!B79</f>
        <v>48.1</v>
      </c>
      <c r="I19" s="11">
        <f>UK!B79</f>
        <v>58.8</v>
      </c>
      <c r="J19" s="11">
        <f>IT!B79</f>
        <v>48.6</v>
      </c>
      <c r="K19" s="11">
        <f>ES!B79</f>
        <v>53.2</v>
      </c>
      <c r="L19" s="11">
        <f>BR!B79</f>
        <v>50.5</v>
      </c>
      <c r="M19" s="11">
        <f>RS!B79</f>
        <v>51.4</v>
      </c>
      <c r="N19" s="11">
        <f>IN!B79</f>
        <v>47.9</v>
      </c>
      <c r="O19" s="11">
        <f>AU!B79</f>
        <v>46.1</v>
      </c>
      <c r="P19" s="11">
        <f>IR!B79</f>
        <v>59.3</v>
      </c>
    </row>
    <row r="20" spans="1:16" x14ac:dyDescent="0.35">
      <c r="A20" s="34">
        <v>41640</v>
      </c>
      <c r="B20" s="35">
        <f>Global!B80</f>
        <v>53.8</v>
      </c>
      <c r="C20" s="11">
        <f>US!B81</f>
        <v>56.7</v>
      </c>
      <c r="D20" s="11">
        <f>CH!B80</f>
        <v>50.7</v>
      </c>
      <c r="E20" s="11">
        <f>EZ!B80</f>
        <v>51.6</v>
      </c>
      <c r="F20" s="11">
        <f>JP!B80</f>
        <v>51.2</v>
      </c>
      <c r="G20" s="11">
        <f>DE!B80</f>
        <v>55.9</v>
      </c>
      <c r="H20" s="11">
        <f>FR!B80</f>
        <v>48.9</v>
      </c>
      <c r="I20" s="11">
        <f>UK!B80</f>
        <v>58.3</v>
      </c>
      <c r="J20" s="11">
        <f>IT!B80</f>
        <v>49.4</v>
      </c>
      <c r="K20" s="11">
        <f>ES!B80</f>
        <v>54.9</v>
      </c>
      <c r="L20" s="11">
        <f>BR!B80</f>
        <v>49.6</v>
      </c>
      <c r="M20" s="11">
        <f>RS!B80</f>
        <v>50.2</v>
      </c>
      <c r="N20" s="11">
        <f>IN!B80</f>
        <v>48.3</v>
      </c>
      <c r="O20" s="11">
        <f>AU!B80</f>
        <v>49.3</v>
      </c>
      <c r="P20" s="11">
        <f>IR!B80</f>
        <v>61.5</v>
      </c>
    </row>
    <row r="21" spans="1:16" x14ac:dyDescent="0.35">
      <c r="A21" s="34">
        <v>41671</v>
      </c>
      <c r="B21" s="35">
        <f>Global!B81</f>
        <v>52.7</v>
      </c>
      <c r="C21" s="11">
        <f>US!B82</f>
        <v>53.3</v>
      </c>
      <c r="D21" s="11">
        <f>CH!B81</f>
        <v>51</v>
      </c>
      <c r="E21" s="11">
        <f>EZ!B81</f>
        <v>52.6</v>
      </c>
      <c r="F21" s="11">
        <f>JP!B81</f>
        <v>49.3</v>
      </c>
      <c r="G21" s="11">
        <f>DE!B81</f>
        <v>53</v>
      </c>
      <c r="H21" s="11">
        <f>FR!B81</f>
        <v>47.2</v>
      </c>
      <c r="I21" s="11">
        <f>UK!B81</f>
        <v>58.2</v>
      </c>
      <c r="J21" s="11">
        <f>IT!B81</f>
        <v>52.9</v>
      </c>
      <c r="K21" s="11">
        <f>ES!B81</f>
        <v>53.7</v>
      </c>
      <c r="L21" s="11">
        <f>BR!B81</f>
        <v>50.8</v>
      </c>
      <c r="M21" s="11">
        <f>RS!B81</f>
        <v>50.8</v>
      </c>
      <c r="N21" s="11">
        <f>IN!B81</f>
        <v>48.8</v>
      </c>
      <c r="O21" s="11">
        <f>AU!B81</f>
        <v>55.2</v>
      </c>
      <c r="P21" s="11">
        <f>IR!B81</f>
        <v>57.5</v>
      </c>
    </row>
    <row r="22" spans="1:16" x14ac:dyDescent="0.35">
      <c r="A22" s="34">
        <v>41699</v>
      </c>
      <c r="B22" s="35">
        <f>Global!B82</f>
        <v>53.5</v>
      </c>
      <c r="C22" s="11">
        <f>US!B83</f>
        <v>55.3</v>
      </c>
      <c r="D22" s="11">
        <f>CH!B82</f>
        <v>51.9</v>
      </c>
      <c r="E22" s="11">
        <f>EZ!B82</f>
        <v>52.2</v>
      </c>
      <c r="F22" s="11">
        <f>JP!B82</f>
        <v>52.2</v>
      </c>
      <c r="G22" s="11">
        <f>DE!B82</f>
        <v>54.7</v>
      </c>
      <c r="H22" s="11">
        <f>FR!B82</f>
        <v>51.5</v>
      </c>
      <c r="I22" s="11">
        <f>UK!B82</f>
        <v>57.6</v>
      </c>
      <c r="J22" s="11">
        <f>IT!B82</f>
        <v>49.5</v>
      </c>
      <c r="K22" s="11">
        <f>ES!B82</f>
        <v>54</v>
      </c>
      <c r="L22" s="11">
        <f>BR!B82</f>
        <v>51</v>
      </c>
      <c r="M22" s="11">
        <f>RS!B82</f>
        <v>47.7</v>
      </c>
      <c r="N22" s="11">
        <f>IN!B82</f>
        <v>47.5</v>
      </c>
      <c r="O22" s="11">
        <f>AU!B82</f>
        <v>48.9</v>
      </c>
      <c r="P22" s="11">
        <f>IR!B82</f>
        <v>60.7</v>
      </c>
    </row>
    <row r="23" spans="1:16" x14ac:dyDescent="0.35">
      <c r="A23" s="34">
        <v>41730</v>
      </c>
      <c r="B23" s="35">
        <f>Global!B83</f>
        <v>52.7</v>
      </c>
      <c r="C23" s="11">
        <f>US!B84</f>
        <v>55</v>
      </c>
      <c r="D23" s="11">
        <f>CH!B83</f>
        <v>51.4</v>
      </c>
      <c r="E23" s="11">
        <f>EZ!B83</f>
        <v>53.1</v>
      </c>
      <c r="F23" s="11">
        <f>JP!B83</f>
        <v>46.4</v>
      </c>
      <c r="G23" s="11">
        <f>DE!B83</f>
        <v>56.4</v>
      </c>
      <c r="H23" s="11">
        <f>FR!B83</f>
        <v>50.4</v>
      </c>
      <c r="I23" s="11">
        <f>UK!B83</f>
        <v>58.7</v>
      </c>
      <c r="J23" s="11">
        <f>IT!B83</f>
        <v>51.1</v>
      </c>
      <c r="K23" s="11">
        <f>ES!B83</f>
        <v>56.5</v>
      </c>
      <c r="L23" s="11">
        <f>BR!B83</f>
        <v>48.6</v>
      </c>
      <c r="M23" s="11">
        <f>RS!B83</f>
        <v>46.8</v>
      </c>
      <c r="N23" s="11">
        <f>IN!B83</f>
        <v>48.5</v>
      </c>
      <c r="O23" s="11">
        <f>AU!B83</f>
        <v>48.6</v>
      </c>
      <c r="P23" s="11">
        <f>IR!B83</f>
        <v>61.9</v>
      </c>
    </row>
    <row r="24" spans="1:16" x14ac:dyDescent="0.35">
      <c r="A24" s="34">
        <v>41760</v>
      </c>
      <c r="B24" s="35">
        <f>Global!B84</f>
        <v>54.6</v>
      </c>
      <c r="C24" s="11">
        <f>US!B85</f>
        <v>58</v>
      </c>
      <c r="D24" s="11">
        <f>CH!B84</f>
        <v>50.7</v>
      </c>
      <c r="E24" s="11">
        <f>EZ!B84</f>
        <v>53.2</v>
      </c>
      <c r="F24" s="11">
        <f>JP!B84</f>
        <v>49.3</v>
      </c>
      <c r="G24" s="11">
        <f>DE!B84</f>
        <v>56</v>
      </c>
      <c r="H24" s="11">
        <f>FR!B84</f>
        <v>49.1</v>
      </c>
      <c r="I24" s="11">
        <f>UK!B84</f>
        <v>58.6</v>
      </c>
      <c r="J24" s="11">
        <f>IT!B84</f>
        <v>51.6</v>
      </c>
      <c r="K24" s="11">
        <f>ES!B84</f>
        <v>55.7</v>
      </c>
      <c r="L24" s="11">
        <f>BR!B84</f>
        <v>50.6</v>
      </c>
      <c r="M24" s="11">
        <f>RS!B84</f>
        <v>46.1</v>
      </c>
      <c r="N24" s="11">
        <f>IN!B84</f>
        <v>50.7</v>
      </c>
      <c r="O24" s="11">
        <f>AU!B84</f>
        <v>49.9</v>
      </c>
      <c r="P24" s="11">
        <f>IR!B84</f>
        <v>61.7</v>
      </c>
    </row>
    <row r="25" spans="1:16" x14ac:dyDescent="0.35">
      <c r="A25" s="34">
        <v>41791</v>
      </c>
      <c r="B25" s="35">
        <f>Global!B85</f>
        <v>55.8</v>
      </c>
      <c r="C25" s="11">
        <f>US!B86</f>
        <v>61</v>
      </c>
      <c r="D25" s="11">
        <f>CH!B85</f>
        <v>53.1</v>
      </c>
      <c r="E25" s="11">
        <f>EZ!B85</f>
        <v>52.8</v>
      </c>
      <c r="F25" s="11">
        <f>JP!B85</f>
        <v>49</v>
      </c>
      <c r="G25" s="11">
        <f>DE!B85</f>
        <v>54.6</v>
      </c>
      <c r="H25" s="11">
        <f>FR!B85</f>
        <v>48.2</v>
      </c>
      <c r="I25" s="11">
        <f>UK!B85</f>
        <v>57.7</v>
      </c>
      <c r="J25" s="11">
        <f>IT!B85</f>
        <v>53.6</v>
      </c>
      <c r="K25" s="11">
        <f>ES!B85</f>
        <v>54.8</v>
      </c>
      <c r="L25" s="11">
        <f>BR!B85</f>
        <v>51.4</v>
      </c>
      <c r="M25" s="11">
        <f>RS!B85</f>
        <v>49.8</v>
      </c>
      <c r="N25" s="11">
        <f>IN!B85</f>
        <v>54.4</v>
      </c>
      <c r="O25" s="11">
        <f>AU!B85</f>
        <v>47.6</v>
      </c>
      <c r="P25" s="11">
        <f>IR!B85</f>
        <v>62.6</v>
      </c>
    </row>
    <row r="26" spans="1:16" x14ac:dyDescent="0.35">
      <c r="A26" s="34">
        <v>41821</v>
      </c>
      <c r="B26" s="35">
        <f>Global!B86</f>
        <v>56</v>
      </c>
      <c r="C26" s="11">
        <f>US!B87</f>
        <v>60.8</v>
      </c>
      <c r="D26" s="11">
        <f>CH!B86</f>
        <v>50</v>
      </c>
      <c r="E26" s="11">
        <f>EZ!B86</f>
        <v>54.2</v>
      </c>
      <c r="F26" s="11">
        <f>JP!B86</f>
        <v>50.4</v>
      </c>
      <c r="G26" s="11">
        <f>DE!B86</f>
        <v>56.7</v>
      </c>
      <c r="H26" s="11">
        <f>FR!B86</f>
        <v>50.4</v>
      </c>
      <c r="I26" s="11">
        <f>UK!B86</f>
        <v>59.1</v>
      </c>
      <c r="J26" s="11">
        <f>IT!B86</f>
        <v>52.8</v>
      </c>
      <c r="K26" s="11">
        <f>ES!B86</f>
        <v>56.2</v>
      </c>
      <c r="L26" s="11">
        <f>BR!B86</f>
        <v>50.2</v>
      </c>
      <c r="M26" s="11">
        <f>RS!B86</f>
        <v>49.7</v>
      </c>
      <c r="N26" s="11">
        <f>IN!B86</f>
        <v>52.2</v>
      </c>
      <c r="O26" s="11">
        <f>AU!B86</f>
        <v>49.3</v>
      </c>
      <c r="P26" s="11">
        <f>IR!B86</f>
        <v>61.3</v>
      </c>
    </row>
    <row r="27" spans="1:16" x14ac:dyDescent="0.35">
      <c r="A27" s="34">
        <v>41852</v>
      </c>
      <c r="B27" s="35">
        <f>Global!B87</f>
        <v>55.5</v>
      </c>
      <c r="C27" s="11">
        <f>US!B88</f>
        <v>59.5</v>
      </c>
      <c r="D27" s="11">
        <f>CH!B87</f>
        <v>54.1</v>
      </c>
      <c r="E27" s="11">
        <f>EZ!B87</f>
        <v>53.1</v>
      </c>
      <c r="F27" s="11">
        <f>JP!B87</f>
        <v>49.9</v>
      </c>
      <c r="G27" s="11">
        <f>DE!B87</f>
        <v>54.9</v>
      </c>
      <c r="H27" s="11">
        <f>FR!B87</f>
        <v>50.3</v>
      </c>
      <c r="I27" s="11">
        <f>UK!B87</f>
        <v>60.5</v>
      </c>
      <c r="J27" s="11">
        <f>IT!B87</f>
        <v>49.8</v>
      </c>
      <c r="K27" s="11">
        <f>ES!B87</f>
        <v>58.1</v>
      </c>
      <c r="L27" s="11">
        <f>BR!B87</f>
        <v>49.2</v>
      </c>
      <c r="M27" s="11">
        <f>RS!B87</f>
        <v>50.3</v>
      </c>
      <c r="N27" s="11">
        <f>IN!B87</f>
        <v>50.6</v>
      </c>
      <c r="O27" s="11">
        <f>AU!B87</f>
        <v>49.4</v>
      </c>
      <c r="P27" s="11">
        <f>IR!B87</f>
        <v>62.4</v>
      </c>
    </row>
    <row r="28" spans="1:16" x14ac:dyDescent="0.35">
      <c r="A28" s="34">
        <v>41883</v>
      </c>
      <c r="B28" s="35">
        <f>Global!B88</f>
        <v>55.3</v>
      </c>
      <c r="C28" s="11">
        <f>US!B89</f>
        <v>58.9</v>
      </c>
      <c r="D28" s="11">
        <f>CH!B88</f>
        <v>53.5</v>
      </c>
      <c r="E28" s="11">
        <f>EZ!B88</f>
        <v>52.4</v>
      </c>
      <c r="F28" s="11">
        <f>JP!B88</f>
        <v>52.5</v>
      </c>
      <c r="G28" s="11">
        <f>DE!B88</f>
        <v>55.7</v>
      </c>
      <c r="H28" s="11">
        <f>FR!B88</f>
        <v>48.4</v>
      </c>
      <c r="I28" s="11">
        <f>UK!B88</f>
        <v>58.7</v>
      </c>
      <c r="J28" s="11">
        <f>IT!B88</f>
        <v>48.8</v>
      </c>
      <c r="K28" s="11">
        <f>ES!B88</f>
        <v>55.8</v>
      </c>
      <c r="L28" s="11">
        <f>BR!B88</f>
        <v>51.2</v>
      </c>
      <c r="M28" s="11">
        <f>RS!B88</f>
        <v>50.5</v>
      </c>
      <c r="N28" s="11">
        <f>IN!B88</f>
        <v>51.6</v>
      </c>
      <c r="O28" s="11">
        <f>AU!B88</f>
        <v>45.5</v>
      </c>
      <c r="P28" s="11">
        <f>IR!B88</f>
        <v>62.5</v>
      </c>
    </row>
    <row r="29" spans="1:16" x14ac:dyDescent="0.35">
      <c r="A29" s="34">
        <v>41913</v>
      </c>
      <c r="B29" s="35">
        <f>Global!B89</f>
        <v>53.7</v>
      </c>
      <c r="C29" s="11">
        <f>US!B90</f>
        <v>57.1</v>
      </c>
      <c r="D29" s="11">
        <f>CH!B89</f>
        <v>52.9</v>
      </c>
      <c r="E29" s="11">
        <f>EZ!B89</f>
        <v>52.3</v>
      </c>
      <c r="F29" s="11">
        <f>JP!B89</f>
        <v>48.7</v>
      </c>
      <c r="G29" s="11">
        <f>DE!B89</f>
        <v>54.4</v>
      </c>
      <c r="H29" s="11">
        <f>FR!B89</f>
        <v>48.3</v>
      </c>
      <c r="I29" s="11">
        <f>UK!B89</f>
        <v>56.2</v>
      </c>
      <c r="J29" s="11">
        <f>IT!B89</f>
        <v>50.8</v>
      </c>
      <c r="K29" s="11">
        <f>ES!B89</f>
        <v>55.9</v>
      </c>
      <c r="L29" s="11">
        <f>BR!B89</f>
        <v>48.2</v>
      </c>
      <c r="M29" s="11">
        <f>RS!B89</f>
        <v>47.4</v>
      </c>
      <c r="N29" s="11">
        <f>IN!B89</f>
        <v>50</v>
      </c>
      <c r="O29" s="11">
        <f>AU!B89</f>
        <v>43.6</v>
      </c>
      <c r="P29" s="11">
        <f>IR!B89</f>
        <v>61.5</v>
      </c>
    </row>
    <row r="30" spans="1:16" x14ac:dyDescent="0.35">
      <c r="A30" s="34">
        <v>41944</v>
      </c>
      <c r="B30" s="35">
        <f>Global!B90</f>
        <v>53.5</v>
      </c>
      <c r="C30" s="11" t="e">
        <f>US!#REF!</f>
        <v>#REF!</v>
      </c>
      <c r="D30" s="11" t="str">
        <f>CH!B90</f>
        <v>N/A</v>
      </c>
      <c r="E30" s="11" t="str">
        <f>EZ!B90</f>
        <v>N/A</v>
      </c>
      <c r="F30" s="11" t="str">
        <f>JP!B90</f>
        <v>N/A</v>
      </c>
      <c r="G30" s="11" t="str">
        <f>DE!B90</f>
        <v>N/A</v>
      </c>
      <c r="H30" s="11" t="str">
        <f>FR!B90</f>
        <v>N/A</v>
      </c>
      <c r="I30" s="11">
        <f>UK!B90</f>
        <v>58.6</v>
      </c>
      <c r="J30" s="11" t="str">
        <f>IT!B90</f>
        <v>N/A</v>
      </c>
      <c r="K30" s="11" t="str">
        <f>ES!B90</f>
        <v>N/A</v>
      </c>
      <c r="L30" s="11" t="str">
        <f>BR!B90</f>
        <v>N/A</v>
      </c>
      <c r="M30" s="11">
        <f>RS!B90</f>
        <v>44.5</v>
      </c>
      <c r="N30" s="11" t="str">
        <f>IN!B90</f>
        <v>N/A</v>
      </c>
      <c r="O30" s="11" t="str">
        <f>AU!B90</f>
        <v>N/A</v>
      </c>
      <c r="P30" s="11" t="str">
        <f>IR!B90</f>
        <v>N/A</v>
      </c>
    </row>
    <row r="31" spans="1:16" x14ac:dyDescent="0.35">
      <c r="A31" s="34">
        <v>41974</v>
      </c>
      <c r="B31" s="35" t="str">
        <f>Global!B91</f>
        <v>TBR</v>
      </c>
      <c r="C31" s="11" t="e">
        <f>US!#REF!</f>
        <v>#REF!</v>
      </c>
      <c r="D31" s="11" t="str">
        <f>CH!B91</f>
        <v>TBR</v>
      </c>
      <c r="E31" s="11" t="str">
        <f>EZ!B91</f>
        <v>TBR</v>
      </c>
      <c r="F31" s="11" t="str">
        <f>JP!B91</f>
        <v>TBR</v>
      </c>
      <c r="G31" s="11" t="str">
        <f>DE!B91</f>
        <v>TBR</v>
      </c>
      <c r="H31" s="11" t="str">
        <f>FR!B91</f>
        <v>TBR</v>
      </c>
      <c r="I31" s="11" t="e">
        <f>UK!#REF!</f>
        <v>#REF!</v>
      </c>
      <c r="J31" s="11" t="str">
        <f>IT!B91</f>
        <v>TBR</v>
      </c>
      <c r="K31" s="11" t="str">
        <f>ES!B91</f>
        <v>TBR</v>
      </c>
      <c r="L31" s="11" t="str">
        <f>BR!B91</f>
        <v>TBR</v>
      </c>
      <c r="M31" s="11" t="str">
        <f>RS!B91</f>
        <v>TBR</v>
      </c>
      <c r="N31" s="11" t="str">
        <f>IN!B91</f>
        <v>TBR</v>
      </c>
      <c r="O31" s="11" t="str">
        <f>AU!B91</f>
        <v>TBR</v>
      </c>
      <c r="P31" s="11" t="str">
        <f>IR!B91</f>
        <v>TBR</v>
      </c>
    </row>
    <row r="32" spans="1:16" x14ac:dyDescent="0.35">
      <c r="A32" s="34">
        <v>42005</v>
      </c>
      <c r="B32" s="35" t="str">
        <f>Global!B92</f>
        <v>TBR</v>
      </c>
      <c r="C32" s="11">
        <f>US!B228</f>
        <v>56.7</v>
      </c>
      <c r="D32" s="11" t="str">
        <f>CH!B92</f>
        <v>TBR</v>
      </c>
      <c r="E32" s="11" t="str">
        <f>EZ!B92</f>
        <v>TBR</v>
      </c>
      <c r="F32" s="11" t="str">
        <f>JP!B92</f>
        <v>TBR</v>
      </c>
      <c r="G32" s="11" t="str">
        <f>DE!B92</f>
        <v>TBR</v>
      </c>
      <c r="H32" s="11" t="str">
        <f>FR!B92</f>
        <v>TBR</v>
      </c>
      <c r="I32" s="11">
        <f>UK!B91</f>
        <v>57.2</v>
      </c>
      <c r="J32" s="11" t="str">
        <f>IT!B92</f>
        <v>TBR</v>
      </c>
      <c r="K32" s="11" t="str">
        <f>ES!B92</f>
        <v>TBR</v>
      </c>
      <c r="L32" s="11" t="str">
        <f>BR!B92</f>
        <v>TBR</v>
      </c>
      <c r="M32" s="11" t="str">
        <f>RS!B92</f>
        <v>TBR</v>
      </c>
      <c r="N32" s="11" t="str">
        <f>IN!B92</f>
        <v>TBR</v>
      </c>
      <c r="O32" s="11" t="str">
        <f>AU!B92</f>
        <v>TBR</v>
      </c>
      <c r="P32" s="11" t="str">
        <f>IR!B92</f>
        <v>TBR</v>
      </c>
    </row>
    <row r="33" spans="1:16" x14ac:dyDescent="0.35">
      <c r="A33" s="34">
        <v>42036</v>
      </c>
      <c r="B33" s="35" t="str">
        <f>Global!B93</f>
        <v>TBR</v>
      </c>
      <c r="C33" s="11">
        <f>US!B229</f>
        <v>56.7</v>
      </c>
      <c r="D33" s="11" t="str">
        <f>CH!B93</f>
        <v>TBR</v>
      </c>
      <c r="E33" s="11" t="str">
        <f>EZ!B93</f>
        <v>TBR</v>
      </c>
      <c r="F33" s="11" t="str">
        <f>JP!B93</f>
        <v>TBR</v>
      </c>
      <c r="G33" s="11" t="str">
        <f>DE!B93</f>
        <v>TBR</v>
      </c>
      <c r="H33" s="11" t="str">
        <f>FR!B93</f>
        <v>TBR</v>
      </c>
      <c r="I33" s="11">
        <f>UK!B92</f>
        <v>56.7</v>
      </c>
      <c r="J33" s="11" t="str">
        <f>IT!B93</f>
        <v>TBR</v>
      </c>
      <c r="K33" s="11" t="str">
        <f>ES!B93</f>
        <v>TBR</v>
      </c>
      <c r="L33" s="11" t="str">
        <f>BR!B93</f>
        <v>TBR</v>
      </c>
      <c r="M33" s="11" t="str">
        <f>RS!B93</f>
        <v>TBR</v>
      </c>
      <c r="N33" s="11" t="str">
        <f>IN!B93</f>
        <v>TBR</v>
      </c>
      <c r="O33" s="11" t="str">
        <f>AU!B93</f>
        <v>TBR</v>
      </c>
      <c r="P33" s="11" t="str">
        <f>IR!B93</f>
        <v>TBR</v>
      </c>
    </row>
    <row r="34" spans="1:16" x14ac:dyDescent="0.35">
      <c r="A34" s="34">
        <v>42064</v>
      </c>
      <c r="B34" s="35" t="str">
        <f>Global!B94</f>
        <v>TBR</v>
      </c>
      <c r="C34" s="11">
        <f>US!B230</f>
        <v>56.7</v>
      </c>
      <c r="D34" s="11" t="str">
        <f>CH!B94</f>
        <v>TBR</v>
      </c>
      <c r="E34" s="11" t="str">
        <f>EZ!B94</f>
        <v>TBR</v>
      </c>
      <c r="F34" s="11" t="str">
        <f>JP!B94</f>
        <v>TBR</v>
      </c>
      <c r="G34" s="11" t="str">
        <f>DE!B94</f>
        <v>TBR</v>
      </c>
      <c r="H34" s="11" t="str">
        <f>FR!B94</f>
        <v>TBR</v>
      </c>
      <c r="I34" s="11">
        <f>UK!B93</f>
        <v>58.9</v>
      </c>
      <c r="J34" s="11" t="str">
        <f>IT!B94</f>
        <v>TBR</v>
      </c>
      <c r="K34" s="11" t="str">
        <f>ES!B94</f>
        <v>TBR</v>
      </c>
      <c r="L34" s="11" t="str">
        <f>BR!B94</f>
        <v>TBR</v>
      </c>
      <c r="M34" s="11" t="str">
        <f>RS!B94</f>
        <v>TBR</v>
      </c>
      <c r="N34" s="11" t="str">
        <f>IN!B94</f>
        <v>TBR</v>
      </c>
      <c r="O34" s="11" t="str">
        <f>AU!B94</f>
        <v>TBR</v>
      </c>
      <c r="P34" s="11" t="str">
        <f>IR!B94</f>
        <v>TBR</v>
      </c>
    </row>
    <row r="35" spans="1:16" x14ac:dyDescent="0.35">
      <c r="A35" s="34">
        <v>42095</v>
      </c>
      <c r="B35" s="35" t="str">
        <f>Global!B95</f>
        <v>TBR</v>
      </c>
      <c r="C35" s="11">
        <f>US!B231</f>
        <v>57.5</v>
      </c>
      <c r="D35" s="11" t="str">
        <f>CH!B95</f>
        <v>TBR</v>
      </c>
      <c r="E35" s="11" t="str">
        <f>EZ!B95</f>
        <v>TBR</v>
      </c>
      <c r="F35" s="11" t="str">
        <f>JP!B95</f>
        <v>TBR</v>
      </c>
      <c r="G35" s="11" t="str">
        <f>DE!B95</f>
        <v>TBR</v>
      </c>
      <c r="H35" s="11" t="str">
        <f>FR!B95</f>
        <v>TBR</v>
      </c>
      <c r="I35" s="11">
        <f>UK!B94</f>
        <v>59.5</v>
      </c>
      <c r="J35" s="11" t="str">
        <f>IT!B95</f>
        <v>TBR</v>
      </c>
      <c r="K35" s="11" t="str">
        <f>ES!B95</f>
        <v>TBR</v>
      </c>
      <c r="L35" s="11" t="str">
        <f>BR!B95</f>
        <v>TBR</v>
      </c>
      <c r="M35" s="11" t="str">
        <f>RS!B95</f>
        <v>TBR</v>
      </c>
      <c r="N35" s="11" t="str">
        <f>IN!B95</f>
        <v>TBR</v>
      </c>
      <c r="O35" s="11" t="str">
        <f>AU!B95</f>
        <v>TBR</v>
      </c>
      <c r="P35" s="11" t="str">
        <f>IR!B95</f>
        <v>TBR</v>
      </c>
    </row>
    <row r="36" spans="1:16" x14ac:dyDescent="0.35">
      <c r="A36" s="34">
        <v>42125</v>
      </c>
      <c r="B36" s="35" t="str">
        <f>Global!B96</f>
        <v>TBR</v>
      </c>
      <c r="C36" s="11">
        <f>US!B232</f>
        <v>55.9</v>
      </c>
      <c r="D36" s="11" t="str">
        <f>CH!B96</f>
        <v>TBR</v>
      </c>
      <c r="E36" s="11" t="str">
        <f>EZ!B96</f>
        <v>TBR</v>
      </c>
      <c r="F36" s="11" t="str">
        <f>JP!B96</f>
        <v>TBR</v>
      </c>
      <c r="G36" s="11" t="str">
        <f>DE!B96</f>
        <v>TBR</v>
      </c>
      <c r="H36" s="11" t="str">
        <f>FR!B96</f>
        <v>TBR</v>
      </c>
      <c r="I36" s="11">
        <f>UK!B95</f>
        <v>56.5</v>
      </c>
      <c r="J36" s="11" t="str">
        <f>IT!B96</f>
        <v>TBR</v>
      </c>
      <c r="K36" s="11" t="str">
        <f>ES!B96</f>
        <v>TBR</v>
      </c>
      <c r="L36" s="11" t="str">
        <f>BR!B96</f>
        <v>TBR</v>
      </c>
      <c r="M36" s="11" t="str">
        <f>RS!B96</f>
        <v>TBR</v>
      </c>
      <c r="N36" s="11" t="str">
        <f>IN!B96</f>
        <v>TBR</v>
      </c>
      <c r="O36" s="11" t="str">
        <f>AU!B96</f>
        <v>TBR</v>
      </c>
      <c r="P36" s="11" t="str">
        <f>IR!B96</f>
        <v>TBR</v>
      </c>
    </row>
    <row r="37" spans="1:16" x14ac:dyDescent="0.35">
      <c r="A37" s="34">
        <v>42156</v>
      </c>
      <c r="B37" s="35" t="str">
        <f>Global!B97</f>
        <v>TBR</v>
      </c>
      <c r="C37" s="11">
        <f>US!B233</f>
        <v>56.2</v>
      </c>
      <c r="D37" s="11" t="str">
        <f>CH!B97</f>
        <v>TBR</v>
      </c>
      <c r="E37" s="11" t="str">
        <f>EZ!B97</f>
        <v>TBR</v>
      </c>
      <c r="F37" s="11" t="str">
        <f>JP!B97</f>
        <v>TBR</v>
      </c>
      <c r="G37" s="11" t="str">
        <f>DE!B97</f>
        <v>TBR</v>
      </c>
      <c r="H37" s="11" t="str">
        <f>FR!B97</f>
        <v>TBR</v>
      </c>
      <c r="I37" s="11">
        <f>UK!B96</f>
        <v>58.5</v>
      </c>
      <c r="J37" s="11" t="str">
        <f>IT!B97</f>
        <v>TBR</v>
      </c>
      <c r="K37" s="11" t="str">
        <f>ES!B97</f>
        <v>TBR</v>
      </c>
      <c r="L37" s="11" t="str">
        <f>BR!B97</f>
        <v>TBR</v>
      </c>
      <c r="M37" s="11" t="str">
        <f>RS!B97</f>
        <v>TBR</v>
      </c>
      <c r="N37" s="11" t="str">
        <f>IN!B97</f>
        <v>TBR</v>
      </c>
      <c r="O37" s="11" t="str">
        <f>AU!B97</f>
        <v>TBR</v>
      </c>
      <c r="P37" s="11" t="str">
        <f>IR!B97</f>
        <v>TBR</v>
      </c>
    </row>
    <row r="38" spans="1:16" x14ac:dyDescent="0.35">
      <c r="A38" s="34">
        <v>42186</v>
      </c>
      <c r="B38" s="35" t="str">
        <f>Global!B98</f>
        <v>TBR</v>
      </c>
      <c r="C38" s="11">
        <f>US!B234</f>
        <v>59.6</v>
      </c>
      <c r="D38" s="11" t="str">
        <f>CH!B98</f>
        <v>TBR</v>
      </c>
      <c r="E38" s="11" t="str">
        <f>EZ!B98</f>
        <v>TBR</v>
      </c>
      <c r="F38" s="11" t="str">
        <f>JP!B98</f>
        <v>TBR</v>
      </c>
      <c r="G38" s="11" t="str">
        <f>DE!B98</f>
        <v>TBR</v>
      </c>
      <c r="H38" s="11" t="str">
        <f>FR!B98</f>
        <v>TBR</v>
      </c>
      <c r="I38" s="11">
        <f>UK!B97</f>
        <v>57.4</v>
      </c>
      <c r="J38" s="11" t="str">
        <f>IT!B98</f>
        <v>TBR</v>
      </c>
      <c r="K38" s="11" t="str">
        <f>ES!B98</f>
        <v>TBR</v>
      </c>
      <c r="L38" s="11" t="str">
        <f>BR!B98</f>
        <v>TBR</v>
      </c>
      <c r="M38" s="11" t="str">
        <f>RS!B98</f>
        <v>TBR</v>
      </c>
      <c r="N38" s="11" t="str">
        <f>IN!B98</f>
        <v>TBR</v>
      </c>
      <c r="O38" s="11" t="str">
        <f>AU!B98</f>
        <v>TBR</v>
      </c>
      <c r="P38" s="11" t="str">
        <f>IR!B98</f>
        <v>TBR</v>
      </c>
    </row>
    <row r="39" spans="1:16" x14ac:dyDescent="0.35">
      <c r="A39" s="34">
        <v>42217</v>
      </c>
      <c r="B39" s="35" t="str">
        <f>Global!B99</f>
        <v>TBR</v>
      </c>
      <c r="C39" s="11">
        <f>US!B235</f>
        <v>59.6</v>
      </c>
      <c r="D39" s="11" t="str">
        <f>CH!B99</f>
        <v>TBR</v>
      </c>
      <c r="E39" s="11" t="str">
        <f>EZ!B99</f>
        <v>TBR</v>
      </c>
      <c r="F39" s="11" t="str">
        <f>JP!B99</f>
        <v>TBR</v>
      </c>
      <c r="G39" s="11" t="str">
        <f>DE!B99</f>
        <v>TBR</v>
      </c>
      <c r="H39" s="11" t="str">
        <f>FR!B99</f>
        <v>TBR</v>
      </c>
      <c r="I39" s="11">
        <f>UK!B98</f>
        <v>55.6</v>
      </c>
      <c r="J39" s="11" t="str">
        <f>IT!B99</f>
        <v>TBR</v>
      </c>
      <c r="K39" s="11" t="str">
        <f>ES!B99</f>
        <v>TBR</v>
      </c>
      <c r="L39" s="11" t="str">
        <f>BR!B99</f>
        <v>TBR</v>
      </c>
      <c r="M39" s="11" t="str">
        <f>RS!B99</f>
        <v>TBR</v>
      </c>
      <c r="N39" s="11" t="str">
        <f>IN!B99</f>
        <v>TBR</v>
      </c>
      <c r="O39" s="11" t="str">
        <f>AU!B99</f>
        <v>TBR</v>
      </c>
      <c r="P39" s="11" t="str">
        <f>IR!B99</f>
        <v>TBR</v>
      </c>
    </row>
    <row r="40" spans="1:16" x14ac:dyDescent="0.35">
      <c r="A40" s="34">
        <v>42248</v>
      </c>
      <c r="B40" s="35" t="str">
        <f>Global!B100</f>
        <v>TBR</v>
      </c>
      <c r="C40" s="11">
        <f>US!B236</f>
        <v>56.7</v>
      </c>
      <c r="D40" s="11" t="str">
        <f>CH!B100</f>
        <v>TBR</v>
      </c>
      <c r="E40" s="11" t="str">
        <f>EZ!B100</f>
        <v>TBR</v>
      </c>
      <c r="F40" s="11" t="str">
        <f>JP!B100</f>
        <v>TBR</v>
      </c>
      <c r="G40" s="11" t="str">
        <f>DE!B100</f>
        <v>TBR</v>
      </c>
      <c r="H40" s="11" t="str">
        <f>FR!B100</f>
        <v>TBR</v>
      </c>
      <c r="I40" s="11">
        <f>UK!B99</f>
        <v>53.3</v>
      </c>
      <c r="J40" s="11" t="str">
        <f>IT!B100</f>
        <v>TBR</v>
      </c>
      <c r="K40" s="11" t="str">
        <f>ES!B100</f>
        <v>TBR</v>
      </c>
      <c r="L40" s="11" t="str">
        <f>BR!B100</f>
        <v>TBR</v>
      </c>
      <c r="M40" s="11" t="str">
        <f>RS!B100</f>
        <v>TBR</v>
      </c>
      <c r="N40" s="11" t="str">
        <f>IN!B100</f>
        <v>TBR</v>
      </c>
      <c r="O40" s="11" t="str">
        <f>AU!B100</f>
        <v>TBR</v>
      </c>
      <c r="P40" s="11" t="str">
        <f>IR!B100</f>
        <v>TBR</v>
      </c>
    </row>
    <row r="41" spans="1:16" x14ac:dyDescent="0.35">
      <c r="A41" s="34">
        <v>42278</v>
      </c>
      <c r="B41" s="35" t="str">
        <f>Global!B101</f>
        <v>TBR</v>
      </c>
      <c r="C41" s="11">
        <f>US!B237</f>
        <v>58.3</v>
      </c>
      <c r="D41" s="11" t="str">
        <f>CH!B101</f>
        <v>TBR</v>
      </c>
      <c r="E41" s="11" t="str">
        <f>EZ!B101</f>
        <v>TBR</v>
      </c>
      <c r="F41" s="11" t="str">
        <f>JP!B101</f>
        <v>TBR</v>
      </c>
      <c r="G41" s="11" t="str">
        <f>DE!B101</f>
        <v>TBR</v>
      </c>
      <c r="H41" s="11" t="str">
        <f>FR!B101</f>
        <v>TBR</v>
      </c>
      <c r="I41" s="11">
        <f>UK!B100</f>
        <v>54.9</v>
      </c>
      <c r="J41" s="11" t="str">
        <f>IT!B101</f>
        <v>TBR</v>
      </c>
      <c r="K41" s="11" t="str">
        <f>ES!B101</f>
        <v>TBR</v>
      </c>
      <c r="L41" s="11" t="str">
        <f>BR!B101</f>
        <v>TBR</v>
      </c>
      <c r="M41" s="11" t="str">
        <f>RS!B101</f>
        <v>TBR</v>
      </c>
      <c r="N41" s="11" t="str">
        <f>IN!B101</f>
        <v>TBR</v>
      </c>
      <c r="O41" s="11" t="str">
        <f>AU!B101</f>
        <v>TBR</v>
      </c>
      <c r="P41" s="11" t="str">
        <f>IR!B101</f>
        <v>TBR</v>
      </c>
    </row>
    <row r="42" spans="1:16" x14ac:dyDescent="0.35">
      <c r="A42" s="34">
        <v>42309</v>
      </c>
      <c r="B42" s="35" t="str">
        <f>Global!B102</f>
        <v>TBR</v>
      </c>
      <c r="C42" s="11">
        <f>US!B238</f>
        <v>58.3</v>
      </c>
      <c r="D42" s="11" t="str">
        <f>CH!B102</f>
        <v>TBR</v>
      </c>
      <c r="E42" s="11" t="str">
        <f>EZ!B102</f>
        <v>TBR</v>
      </c>
      <c r="F42" s="11" t="str">
        <f>JP!B102</f>
        <v>TBR</v>
      </c>
      <c r="G42" s="11" t="str">
        <f>DE!B102</f>
        <v>TBR</v>
      </c>
      <c r="H42" s="11" t="str">
        <f>FR!B102</f>
        <v>TBR</v>
      </c>
      <c r="I42" s="11">
        <f>UK!B101</f>
        <v>55.9</v>
      </c>
      <c r="J42" s="11" t="str">
        <f>IT!B102</f>
        <v>TBR</v>
      </c>
      <c r="K42" s="11" t="str">
        <f>ES!B102</f>
        <v>TBR</v>
      </c>
      <c r="L42" s="11" t="str">
        <f>BR!B102</f>
        <v>TBR</v>
      </c>
      <c r="M42" s="11" t="str">
        <f>RS!B102</f>
        <v>TBR</v>
      </c>
      <c r="N42" s="11" t="str">
        <f>IN!B102</f>
        <v>TBR</v>
      </c>
      <c r="O42" s="11" t="str">
        <f>AU!B102</f>
        <v>TBR</v>
      </c>
      <c r="P42" s="11" t="str">
        <f>IR!B102</f>
        <v>TBR</v>
      </c>
    </row>
    <row r="43" spans="1:16" x14ac:dyDescent="0.35">
      <c r="A43" s="34">
        <v>42339</v>
      </c>
      <c r="B43" s="35" t="str">
        <f>Global!B103</f>
        <v>TBR</v>
      </c>
      <c r="C43" s="11">
        <f>US!B239</f>
        <v>55.8</v>
      </c>
      <c r="D43" s="11" t="str">
        <f>CH!B103</f>
        <v>TBR</v>
      </c>
      <c r="E43" s="11" t="str">
        <f>EZ!B103</f>
        <v>TBR</v>
      </c>
      <c r="F43" s="11" t="str">
        <f>JP!B103</f>
        <v>TBR</v>
      </c>
      <c r="G43" s="11" t="str">
        <f>DE!B103</f>
        <v>TBR</v>
      </c>
      <c r="H43" s="11" t="str">
        <f>FR!B103</f>
        <v>TBR</v>
      </c>
      <c r="I43" s="11">
        <f>UK!B102</f>
        <v>55.5</v>
      </c>
      <c r="J43" s="11" t="str">
        <f>IT!B103</f>
        <v>TBR</v>
      </c>
      <c r="K43" s="11" t="str">
        <f>ES!B103</f>
        <v>TBR</v>
      </c>
      <c r="L43" s="11" t="str">
        <f>BR!B103</f>
        <v>TBR</v>
      </c>
      <c r="M43" s="11" t="str">
        <f>RS!B103</f>
        <v>TBR</v>
      </c>
      <c r="N43" s="11" t="str">
        <f>IN!B103</f>
        <v>TBR</v>
      </c>
      <c r="O43" s="11" t="str">
        <f>AU!B103</f>
        <v>TBR</v>
      </c>
      <c r="P43" s="11" t="str">
        <f>IR!B103</f>
        <v>TBR</v>
      </c>
    </row>
    <row r="44" spans="1:16" x14ac:dyDescent="0.35">
      <c r="A44" s="34">
        <v>42370</v>
      </c>
      <c r="B44" s="35" t="str">
        <f>Global!B104</f>
        <v>TBR</v>
      </c>
      <c r="C44" s="11">
        <f>US!B240</f>
        <v>53.5</v>
      </c>
      <c r="D44" s="11" t="str">
        <f>CH!B104</f>
        <v>TBR</v>
      </c>
      <c r="E44" s="11" t="str">
        <f>EZ!B104</f>
        <v>TBR</v>
      </c>
      <c r="F44" s="11" t="str">
        <f>JP!B104</f>
        <v>TBR</v>
      </c>
      <c r="G44" s="11" t="str">
        <f>DE!B104</f>
        <v>TBR</v>
      </c>
      <c r="H44" s="11" t="str">
        <f>FR!B104</f>
        <v>TBR</v>
      </c>
      <c r="I44" s="11">
        <f>UK!B103</f>
        <v>55.6</v>
      </c>
      <c r="J44" s="11" t="str">
        <f>IT!B104</f>
        <v>TBR</v>
      </c>
      <c r="K44" s="11" t="str">
        <f>ES!B104</f>
        <v>TBR</v>
      </c>
      <c r="L44" s="11" t="str">
        <f>BR!B104</f>
        <v>TBR</v>
      </c>
      <c r="M44" s="11" t="str">
        <f>RS!B104</f>
        <v>TBR</v>
      </c>
      <c r="N44" s="11" t="str">
        <f>IN!B104</f>
        <v>TBR</v>
      </c>
      <c r="O44" s="11" t="str">
        <f>AU!B104</f>
        <v>TBR</v>
      </c>
      <c r="P44" s="11" t="str">
        <f>IR!B104</f>
        <v>TBR</v>
      </c>
    </row>
    <row r="45" spans="1:16" x14ac:dyDescent="0.35">
      <c r="A45" s="34">
        <v>42401</v>
      </c>
      <c r="B45" s="35" t="str">
        <f>Global!B105</f>
        <v>TBR</v>
      </c>
      <c r="C45" s="11">
        <f>US!B241</f>
        <v>53.4</v>
      </c>
      <c r="D45" s="11" t="str">
        <f>CH!B105</f>
        <v>TBR</v>
      </c>
      <c r="E45" s="11" t="str">
        <f>EZ!B105</f>
        <v>TBR</v>
      </c>
      <c r="F45" s="11" t="str">
        <f>JP!B105</f>
        <v>TBR</v>
      </c>
      <c r="G45" s="11" t="str">
        <f>DE!B105</f>
        <v>TBR</v>
      </c>
      <c r="H45" s="11" t="str">
        <f>FR!B105</f>
        <v>TBR</v>
      </c>
      <c r="I45" s="11">
        <f>UK!B104</f>
        <v>52.7</v>
      </c>
      <c r="J45" s="11" t="str">
        <f>IT!B105</f>
        <v>TBR</v>
      </c>
      <c r="K45" s="11" t="str">
        <f>ES!B105</f>
        <v>TBR</v>
      </c>
      <c r="L45" s="11" t="str">
        <f>BR!B105</f>
        <v>TBR</v>
      </c>
      <c r="M45" s="11" t="str">
        <f>RS!B105</f>
        <v>TBR</v>
      </c>
      <c r="N45" s="11" t="str">
        <f>IN!B105</f>
        <v>TBR</v>
      </c>
      <c r="O45" s="11" t="str">
        <f>AU!B105</f>
        <v>TBR</v>
      </c>
      <c r="P45" s="11" t="str">
        <f>IR!B105</f>
        <v>TBR</v>
      </c>
    </row>
    <row r="46" spans="1:16" x14ac:dyDescent="0.35">
      <c r="A46" s="34">
        <v>42430</v>
      </c>
      <c r="B46" s="35" t="str">
        <f>Global!B106</f>
        <v>TBR</v>
      </c>
      <c r="C46" s="11">
        <f>US!B242</f>
        <v>54.5</v>
      </c>
      <c r="D46" s="11" t="str">
        <f>CH!B106</f>
        <v>TBR</v>
      </c>
      <c r="E46" s="11" t="str">
        <f>EZ!B106</f>
        <v>TBR</v>
      </c>
      <c r="F46" s="11" t="str">
        <f>JP!B106</f>
        <v>TBR</v>
      </c>
      <c r="G46" s="11" t="str">
        <f>DE!B106</f>
        <v>TBR</v>
      </c>
      <c r="H46" s="11" t="str">
        <f>FR!B106</f>
        <v>TBR</v>
      </c>
      <c r="I46" s="11">
        <f>UK!B105</f>
        <v>53.7</v>
      </c>
      <c r="J46" s="11" t="str">
        <f>IT!B106</f>
        <v>TBR</v>
      </c>
      <c r="K46" s="11" t="str">
        <f>ES!B106</f>
        <v>TBR</v>
      </c>
      <c r="L46" s="11" t="str">
        <f>BR!B106</f>
        <v>TBR</v>
      </c>
      <c r="M46" s="11" t="str">
        <f>RS!B106</f>
        <v>TBR</v>
      </c>
      <c r="N46" s="11" t="str">
        <f>IN!B106</f>
        <v>TBR</v>
      </c>
      <c r="O46" s="11" t="str">
        <f>AU!B106</f>
        <v>TBR</v>
      </c>
      <c r="P46" s="11" t="str">
        <f>IR!B106</f>
        <v>TBR</v>
      </c>
    </row>
    <row r="47" spans="1:16" x14ac:dyDescent="0.35">
      <c r="A47" s="34">
        <v>42461</v>
      </c>
      <c r="B47" s="35" t="str">
        <f>Global!B107</f>
        <v>TBR</v>
      </c>
      <c r="C47" s="11">
        <f>US!B243</f>
        <v>55.7</v>
      </c>
      <c r="D47" s="11" t="str">
        <f>CH!B107</f>
        <v>TBR</v>
      </c>
      <c r="E47" s="11" t="str">
        <f>EZ!B107</f>
        <v>TBR</v>
      </c>
      <c r="F47" s="11" t="str">
        <f>JP!B107</f>
        <v>TBR</v>
      </c>
      <c r="G47" s="11" t="str">
        <f>DE!B107</f>
        <v>TBR</v>
      </c>
      <c r="H47" s="11" t="str">
        <f>FR!B107</f>
        <v>TBR</v>
      </c>
      <c r="I47" s="11">
        <f>UK!B106</f>
        <v>52.3</v>
      </c>
      <c r="J47" s="11" t="str">
        <f>IT!B107</f>
        <v>TBR</v>
      </c>
      <c r="K47" s="11" t="str">
        <f>ES!B107</f>
        <v>TBR</v>
      </c>
      <c r="L47" s="11" t="str">
        <f>BR!B107</f>
        <v>TBR</v>
      </c>
      <c r="M47" s="11" t="str">
        <f>RS!B107</f>
        <v>TBR</v>
      </c>
      <c r="N47" s="11" t="str">
        <f>IN!B107</f>
        <v>TBR</v>
      </c>
      <c r="O47" s="11" t="str">
        <f>AU!B107</f>
        <v>TBR</v>
      </c>
      <c r="P47" s="11" t="str">
        <f>IR!B107</f>
        <v>TBR</v>
      </c>
    </row>
    <row r="48" spans="1:16" x14ac:dyDescent="0.35">
      <c r="A48" s="34">
        <v>42491</v>
      </c>
      <c r="B48" s="35" t="str">
        <f>Global!B108</f>
        <v>TBR</v>
      </c>
      <c r="C48" s="11">
        <f>US!B244</f>
        <v>55.7</v>
      </c>
      <c r="D48" s="11" t="str">
        <f>CH!B108</f>
        <v>TBR</v>
      </c>
      <c r="E48" s="11" t="str">
        <f>EZ!B108</f>
        <v>TBR</v>
      </c>
      <c r="F48" s="11" t="str">
        <f>JP!B108</f>
        <v>TBR</v>
      </c>
      <c r="G48" s="11" t="str">
        <f>DE!B108</f>
        <v>TBR</v>
      </c>
      <c r="H48" s="11" t="str">
        <f>FR!B108</f>
        <v>TBR</v>
      </c>
      <c r="I48" s="11">
        <f>UK!B107</f>
        <v>53.5</v>
      </c>
      <c r="J48" s="11" t="str">
        <f>IT!B108</f>
        <v>TBR</v>
      </c>
      <c r="K48" s="11" t="str">
        <f>ES!B108</f>
        <v>TBR</v>
      </c>
      <c r="L48" s="11" t="str">
        <f>BR!B108</f>
        <v>TBR</v>
      </c>
      <c r="M48" s="11" t="str">
        <f>RS!B108</f>
        <v>TBR</v>
      </c>
      <c r="N48" s="11" t="str">
        <f>IN!B108</f>
        <v>TBR</v>
      </c>
      <c r="O48" s="11" t="str">
        <f>AU!B108</f>
        <v>TBR</v>
      </c>
      <c r="P48" s="11" t="str">
        <f>IR!B108</f>
        <v>TBR</v>
      </c>
    </row>
    <row r="49" spans="1:16" x14ac:dyDescent="0.35">
      <c r="A49" s="34">
        <v>42522</v>
      </c>
      <c r="B49" s="35" t="str">
        <f>Global!B109</f>
        <v>TBR</v>
      </c>
      <c r="C49" s="11">
        <f>US!B245</f>
        <v>52</v>
      </c>
      <c r="D49" s="11" t="str">
        <f>CH!B109</f>
        <v>TBR</v>
      </c>
      <c r="E49" s="11" t="str">
        <f>EZ!B109</f>
        <v>TBR</v>
      </c>
      <c r="F49" s="11" t="str">
        <f>JP!B109</f>
        <v>TBR</v>
      </c>
      <c r="G49" s="11" t="str">
        <f>DE!B109</f>
        <v>TBR</v>
      </c>
      <c r="H49" s="11" t="str">
        <f>FR!B109</f>
        <v>TBR</v>
      </c>
      <c r="I49" s="11">
        <f>UK!B108</f>
        <v>52.3</v>
      </c>
      <c r="J49" s="11" t="str">
        <f>IT!B109</f>
        <v>TBR</v>
      </c>
      <c r="K49" s="11" t="str">
        <f>ES!B109</f>
        <v>TBR</v>
      </c>
      <c r="L49" s="11" t="str">
        <f>BR!B109</f>
        <v>TBR</v>
      </c>
      <c r="M49" s="11" t="str">
        <f>RS!B109</f>
        <v>TBR</v>
      </c>
      <c r="N49" s="11" t="str">
        <f>IN!B109</f>
        <v>TBR</v>
      </c>
      <c r="O49" s="11" t="str">
        <f>AU!B109</f>
        <v>TBR</v>
      </c>
      <c r="P49" s="11" t="str">
        <f>IR!B109</f>
        <v>TBR</v>
      </c>
    </row>
    <row r="50" spans="1:16" x14ac:dyDescent="0.35">
      <c r="A50" s="34">
        <v>42552</v>
      </c>
      <c r="B50" s="35" t="str">
        <f>Global!B110</f>
        <v>TBR</v>
      </c>
      <c r="C50" s="11">
        <f>US!B246</f>
        <v>51.8</v>
      </c>
      <c r="D50" s="11" t="str">
        <f>CH!B110</f>
        <v>TBR</v>
      </c>
      <c r="E50" s="11" t="str">
        <f>EZ!B110</f>
        <v>TBR</v>
      </c>
      <c r="F50" s="11" t="str">
        <f>JP!B110</f>
        <v>TBR</v>
      </c>
      <c r="G50" s="11" t="str">
        <f>DE!B110</f>
        <v>TBR</v>
      </c>
      <c r="H50" s="11" t="str">
        <f>FR!B110</f>
        <v>TBR</v>
      </c>
      <c r="I50" s="11">
        <f>UK!B109</f>
        <v>47.4</v>
      </c>
      <c r="J50" s="11" t="str">
        <f>IT!B110</f>
        <v>TBR</v>
      </c>
      <c r="K50" s="11" t="str">
        <f>ES!B110</f>
        <v>TBR</v>
      </c>
      <c r="L50" s="11" t="str">
        <f>BR!B110</f>
        <v>TBR</v>
      </c>
      <c r="M50" s="11" t="str">
        <f>RS!B110</f>
        <v>TBR</v>
      </c>
      <c r="N50" s="11" t="str">
        <f>IN!B110</f>
        <v>TBR</v>
      </c>
      <c r="O50" s="11" t="str">
        <f>AU!B110</f>
        <v>TBR</v>
      </c>
      <c r="P50" s="11" t="str">
        <f>IR!B110</f>
        <v>TBR</v>
      </c>
    </row>
    <row r="51" spans="1:16" x14ac:dyDescent="0.35">
      <c r="A51" s="34">
        <v>42583</v>
      </c>
      <c r="B51" s="35" t="str">
        <f>Global!B111</f>
        <v>TBR</v>
      </c>
      <c r="C51" s="11">
        <f>US!B247</f>
        <v>51.7</v>
      </c>
      <c r="D51" s="11" t="str">
        <f>CH!B111</f>
        <v>TBR</v>
      </c>
      <c r="E51" s="11" t="str">
        <f>EZ!B111</f>
        <v>TBR</v>
      </c>
      <c r="F51" s="11" t="str">
        <f>JP!B111</f>
        <v>TBR</v>
      </c>
      <c r="G51" s="11" t="str">
        <f>DE!B111</f>
        <v>TBR</v>
      </c>
      <c r="H51" s="11" t="str">
        <f>FR!B111</f>
        <v>TBR</v>
      </c>
      <c r="I51" s="11">
        <f>UK!B110</f>
        <v>52.9</v>
      </c>
      <c r="J51" s="11" t="str">
        <f>IT!B111</f>
        <v>TBR</v>
      </c>
      <c r="K51" s="11" t="str">
        <f>ES!B111</f>
        <v>TBR</v>
      </c>
      <c r="L51" s="11" t="str">
        <f>BR!B111</f>
        <v>TBR</v>
      </c>
      <c r="M51" s="11" t="str">
        <f>RS!B111</f>
        <v>TBR</v>
      </c>
      <c r="N51" s="11" t="str">
        <f>IN!B111</f>
        <v>TBR</v>
      </c>
      <c r="O51" s="11" t="str">
        <f>AU!B111</f>
        <v>TBR</v>
      </c>
      <c r="P51" s="11" t="str">
        <f>IR!B111</f>
        <v>TBR</v>
      </c>
    </row>
    <row r="52" spans="1:16" x14ac:dyDescent="0.35">
      <c r="A52" s="34">
        <v>42614</v>
      </c>
      <c r="B52" s="35" t="str">
        <f>Global!B112</f>
        <v>TBR</v>
      </c>
      <c r="C52" s="11">
        <f>US!B248</f>
        <v>56.6</v>
      </c>
      <c r="D52" s="11" t="str">
        <f>CH!B112</f>
        <v>TBR</v>
      </c>
      <c r="E52" s="11" t="str">
        <f>EZ!B112</f>
        <v>TBR</v>
      </c>
      <c r="F52" s="11" t="str">
        <f>JP!B112</f>
        <v>TBR</v>
      </c>
      <c r="G52" s="11" t="str">
        <f>DE!B112</f>
        <v>TBR</v>
      </c>
      <c r="H52" s="11" t="str">
        <f>FR!B112</f>
        <v>TBR</v>
      </c>
      <c r="I52" s="11">
        <f>UK!B111</f>
        <v>52.6</v>
      </c>
      <c r="J52" s="11" t="str">
        <f>IT!B112</f>
        <v>TBR</v>
      </c>
      <c r="K52" s="11" t="str">
        <f>ES!B112</f>
        <v>TBR</v>
      </c>
      <c r="L52" s="11" t="str">
        <f>BR!B112</f>
        <v>TBR</v>
      </c>
      <c r="M52" s="11" t="str">
        <f>RS!B112</f>
        <v>TBR</v>
      </c>
      <c r="N52" s="11" t="str">
        <f>IN!B112</f>
        <v>TBR</v>
      </c>
      <c r="O52" s="11" t="str">
        <f>AU!B112</f>
        <v>TBR</v>
      </c>
      <c r="P52" s="11" t="str">
        <f>IR!B112</f>
        <v>TBR</v>
      </c>
    </row>
    <row r="53" spans="1:16" x14ac:dyDescent="0.35">
      <c r="A53" s="34">
        <v>42644</v>
      </c>
      <c r="B53" s="35" t="str">
        <f>Global!B113</f>
        <v>TBR</v>
      </c>
      <c r="C53" s="11">
        <f>US!B249</f>
        <v>56.6</v>
      </c>
      <c r="D53" s="11" t="str">
        <f>CH!B113</f>
        <v>TBR</v>
      </c>
      <c r="E53" s="11" t="str">
        <f>EZ!B113</f>
        <v>TBR</v>
      </c>
      <c r="F53" s="11" t="str">
        <f>JP!B113</f>
        <v>TBR</v>
      </c>
      <c r="G53" s="11" t="str">
        <f>DE!B113</f>
        <v>TBR</v>
      </c>
      <c r="H53" s="11" t="str">
        <f>FR!B113</f>
        <v>TBR</v>
      </c>
      <c r="I53" s="11">
        <f>UK!B112</f>
        <v>54.5</v>
      </c>
      <c r="J53" s="11" t="str">
        <f>IT!B113</f>
        <v>TBR</v>
      </c>
      <c r="K53" s="11" t="str">
        <f>ES!B113</f>
        <v>TBR</v>
      </c>
      <c r="L53" s="11" t="str">
        <f>BR!B113</f>
        <v>TBR</v>
      </c>
      <c r="M53" s="11" t="str">
        <f>RS!B113</f>
        <v>TBR</v>
      </c>
      <c r="N53" s="11" t="str">
        <f>IN!B113</f>
        <v>TBR</v>
      </c>
      <c r="O53" s="11" t="str">
        <f>AU!B113</f>
        <v>TBR</v>
      </c>
      <c r="P53" s="11" t="str">
        <f>IR!B113</f>
        <v>TBR</v>
      </c>
    </row>
    <row r="54" spans="1:16" x14ac:dyDescent="0.35">
      <c r="A54" s="34">
        <v>42675</v>
      </c>
      <c r="B54" s="35" t="str">
        <f>Global!B114</f>
        <v>TBR</v>
      </c>
      <c r="C54" s="11">
        <f>US!B250</f>
        <v>56.2</v>
      </c>
      <c r="D54" s="11" t="str">
        <f>CH!B114</f>
        <v>TBR</v>
      </c>
      <c r="E54" s="11" t="str">
        <f>EZ!B114</f>
        <v>TBR</v>
      </c>
      <c r="F54" s="11" t="str">
        <f>JP!B114</f>
        <v>TBR</v>
      </c>
      <c r="G54" s="11" t="str">
        <f>DE!B114</f>
        <v>TBR</v>
      </c>
      <c r="H54" s="11" t="str">
        <f>FR!B114</f>
        <v>TBR</v>
      </c>
      <c r="I54" s="11">
        <f>UK!B113</f>
        <v>55.2</v>
      </c>
      <c r="J54" s="11" t="str">
        <f>IT!B114</f>
        <v>TBR</v>
      </c>
      <c r="K54" s="11" t="str">
        <f>ES!B114</f>
        <v>TBR</v>
      </c>
      <c r="L54" s="11" t="str">
        <f>BR!B114</f>
        <v>TBR</v>
      </c>
      <c r="M54" s="11" t="str">
        <f>RS!B114</f>
        <v>TBR</v>
      </c>
      <c r="N54" s="11" t="str">
        <f>IN!B114</f>
        <v>TBR</v>
      </c>
      <c r="O54" s="11" t="str">
        <f>AU!B114</f>
        <v>TBR</v>
      </c>
      <c r="P54" s="11" t="str">
        <f>IR!B114</f>
        <v>TBR</v>
      </c>
    </row>
    <row r="55" spans="1:16" x14ac:dyDescent="0.35">
      <c r="A55" s="34">
        <v>42705</v>
      </c>
      <c r="B55" s="35" t="str">
        <f>Global!B115</f>
        <v>TBR</v>
      </c>
      <c r="C55" s="11">
        <f>US!B251</f>
        <v>56.6</v>
      </c>
      <c r="D55" s="11" t="str">
        <f>CH!B115</f>
        <v>TBR</v>
      </c>
      <c r="E55" s="11" t="str">
        <f>EZ!B115</f>
        <v>TBR</v>
      </c>
      <c r="F55" s="11" t="str">
        <f>JP!B115</f>
        <v>TBR</v>
      </c>
      <c r="G55" s="11" t="str">
        <f>DE!B115</f>
        <v>TBR</v>
      </c>
      <c r="H55" s="11" t="str">
        <f>FR!B115</f>
        <v>TBR</v>
      </c>
      <c r="I55" s="11">
        <f>UK!B114</f>
        <v>56.2</v>
      </c>
      <c r="J55" s="11" t="str">
        <f>IT!B115</f>
        <v>TBR</v>
      </c>
      <c r="K55" s="11" t="str">
        <f>ES!B115</f>
        <v>TBR</v>
      </c>
      <c r="L55" s="11" t="str">
        <f>BR!B115</f>
        <v>TBR</v>
      </c>
      <c r="M55" s="11" t="str">
        <f>RS!B115</f>
        <v>TBR</v>
      </c>
      <c r="N55" s="11" t="str">
        <f>IN!B115</f>
        <v>TBR</v>
      </c>
      <c r="O55" s="11" t="str">
        <f>AU!B115</f>
        <v>TBR</v>
      </c>
      <c r="P55" s="11" t="str">
        <f>IR!B115</f>
        <v>TBR</v>
      </c>
    </row>
    <row r="56" spans="1:16" x14ac:dyDescent="0.35">
      <c r="A56" s="34">
        <v>42736</v>
      </c>
      <c r="B56" s="35" t="str">
        <f>Global!B116</f>
        <v>TBR</v>
      </c>
      <c r="C56" s="11">
        <f>US!B252</f>
        <v>56.6</v>
      </c>
      <c r="D56" s="11" t="str">
        <f>CH!B116</f>
        <v>TBR</v>
      </c>
      <c r="E56" s="11" t="str">
        <f>EZ!B116</f>
        <v>TBR</v>
      </c>
      <c r="F56" s="11" t="str">
        <f>JP!B116</f>
        <v>TBR</v>
      </c>
      <c r="G56" s="11" t="str">
        <f>DE!B116</f>
        <v>TBR</v>
      </c>
      <c r="H56" s="11" t="str">
        <f>FR!B116</f>
        <v>TBR</v>
      </c>
      <c r="I56" s="11">
        <f>UK!B115</f>
        <v>54.5</v>
      </c>
      <c r="J56" s="11" t="str">
        <f>IT!B116</f>
        <v>TBR</v>
      </c>
      <c r="K56" s="11" t="str">
        <f>ES!B116</f>
        <v>TBR</v>
      </c>
      <c r="L56" s="11" t="str">
        <f>BR!B116</f>
        <v>TBR</v>
      </c>
      <c r="M56" s="11" t="str">
        <f>RS!B116</f>
        <v>TBR</v>
      </c>
      <c r="N56" s="11" t="str">
        <f>IN!B116</f>
        <v>TBR</v>
      </c>
      <c r="O56" s="11" t="str">
        <f>AU!B116</f>
        <v>TBR</v>
      </c>
      <c r="P56" s="11" t="str">
        <f>IR!B116</f>
        <v>TBR</v>
      </c>
    </row>
    <row r="57" spans="1:16" x14ac:dyDescent="0.35">
      <c r="A57" s="34">
        <v>42767</v>
      </c>
      <c r="B57" s="35" t="str">
        <f>Global!B117</f>
        <v>TBR</v>
      </c>
      <c r="C57" s="11">
        <f>US!B253</f>
        <v>57.6</v>
      </c>
      <c r="D57" s="11" t="str">
        <f>CH!B117</f>
        <v>TBR</v>
      </c>
      <c r="E57" s="11" t="str">
        <f>EZ!B117</f>
        <v>TBR</v>
      </c>
      <c r="F57" s="11" t="str">
        <f>JP!B117</f>
        <v>TBR</v>
      </c>
      <c r="G57" s="11" t="str">
        <f>DE!B117</f>
        <v>TBR</v>
      </c>
      <c r="H57" s="11" t="str">
        <f>FR!B117</f>
        <v>TBR</v>
      </c>
      <c r="I57" s="11">
        <f>UK!B116</f>
        <v>53.3</v>
      </c>
      <c r="J57" s="11" t="str">
        <f>IT!B117</f>
        <v>TBR</v>
      </c>
      <c r="K57" s="11" t="str">
        <f>ES!B117</f>
        <v>TBR</v>
      </c>
      <c r="L57" s="11" t="str">
        <f>BR!B117</f>
        <v>TBR</v>
      </c>
      <c r="M57" s="11" t="str">
        <f>RS!B117</f>
        <v>TBR</v>
      </c>
      <c r="N57" s="11" t="str">
        <f>IN!B117</f>
        <v>TBR</v>
      </c>
      <c r="O57" s="11" t="str">
        <f>AU!B117</f>
        <v>TBR</v>
      </c>
      <c r="P57" s="11" t="str">
        <f>IR!B117</f>
        <v>TBR</v>
      </c>
    </row>
    <row r="58" spans="1:16" x14ac:dyDescent="0.35">
      <c r="A58" s="34">
        <v>42795</v>
      </c>
      <c r="B58" s="35" t="str">
        <f>Global!B118</f>
        <v>TBR</v>
      </c>
      <c r="C58" s="11">
        <f>US!B254</f>
        <v>55.2</v>
      </c>
      <c r="D58" s="11" t="str">
        <f>CH!B118</f>
        <v>TBR</v>
      </c>
      <c r="E58" s="11" t="str">
        <f>EZ!B118</f>
        <v>TBR</v>
      </c>
      <c r="F58" s="11" t="str">
        <f>JP!B118</f>
        <v>TBR</v>
      </c>
      <c r="G58" s="11" t="str">
        <f>DE!B118</f>
        <v>TBR</v>
      </c>
      <c r="H58" s="11" t="str">
        <f>FR!B118</f>
        <v>TBR</v>
      </c>
      <c r="I58" s="11">
        <f>UK!B117</f>
        <v>55</v>
      </c>
      <c r="J58" s="11" t="str">
        <f>IT!B118</f>
        <v>TBR</v>
      </c>
      <c r="K58" s="11" t="str">
        <f>ES!B118</f>
        <v>TBR</v>
      </c>
      <c r="L58" s="11" t="str">
        <f>BR!B118</f>
        <v>TBR</v>
      </c>
      <c r="M58" s="11" t="str">
        <f>RS!B118</f>
        <v>TBR</v>
      </c>
      <c r="N58" s="11" t="str">
        <f>IN!B118</f>
        <v>TBR</v>
      </c>
      <c r="O58" s="11" t="str">
        <f>AU!B118</f>
        <v>TBR</v>
      </c>
      <c r="P58" s="11" t="str">
        <f>IR!B118</f>
        <v>TBR</v>
      </c>
    </row>
    <row r="59" spans="1:16" x14ac:dyDescent="0.35">
      <c r="A59" s="34">
        <v>42826</v>
      </c>
      <c r="B59" s="35" t="str">
        <f>Global!B119</f>
        <v>TBR</v>
      </c>
      <c r="C59" s="11">
        <f>US!B255</f>
        <v>55.2</v>
      </c>
      <c r="D59" s="11" t="str">
        <f>CH!B119</f>
        <v>TBR</v>
      </c>
      <c r="E59" s="11" t="str">
        <f>EZ!B119</f>
        <v>TBR</v>
      </c>
      <c r="F59" s="11" t="str">
        <f>JP!B119</f>
        <v>TBR</v>
      </c>
      <c r="G59" s="11" t="str">
        <f>DE!B119</f>
        <v>TBR</v>
      </c>
      <c r="H59" s="11" t="str">
        <f>FR!B119</f>
        <v>TBR</v>
      </c>
      <c r="I59" s="11">
        <f>UK!B118</f>
        <v>55.8</v>
      </c>
      <c r="J59" s="11" t="str">
        <f>IT!B119</f>
        <v>TBR</v>
      </c>
      <c r="K59" s="11" t="str">
        <f>ES!B119</f>
        <v>TBR</v>
      </c>
      <c r="L59" s="11" t="str">
        <f>BR!B119</f>
        <v>TBR</v>
      </c>
      <c r="M59" s="11" t="str">
        <f>RS!B119</f>
        <v>TBR</v>
      </c>
      <c r="N59" s="11" t="str">
        <f>IN!B119</f>
        <v>TBR</v>
      </c>
      <c r="O59" s="11" t="str">
        <f>AU!B119</f>
        <v>TBR</v>
      </c>
      <c r="P59" s="11" t="str">
        <f>IR!B119</f>
        <v>TBR</v>
      </c>
    </row>
    <row r="60" spans="1:16" x14ac:dyDescent="0.35">
      <c r="A60" s="34">
        <v>42856</v>
      </c>
      <c r="B60" s="35" t="str">
        <f>Global!B120</f>
        <v>TBR</v>
      </c>
      <c r="C60" s="11">
        <f>US!B256</f>
        <v>56.9</v>
      </c>
      <c r="D60" s="11" t="str">
        <f>CH!B120</f>
        <v>TBR</v>
      </c>
      <c r="E60" s="11" t="str">
        <f>EZ!B120</f>
        <v>TBR</v>
      </c>
      <c r="F60" s="11" t="str">
        <f>JP!B120</f>
        <v>TBR</v>
      </c>
      <c r="G60" s="11" t="str">
        <f>DE!B120</f>
        <v>TBR</v>
      </c>
      <c r="H60" s="11" t="str">
        <f>FR!B120</f>
        <v>TBR</v>
      </c>
      <c r="I60" s="11">
        <f>UK!B119</f>
        <v>53.8</v>
      </c>
      <c r="J60" s="11" t="str">
        <f>IT!B120</f>
        <v>TBR</v>
      </c>
      <c r="K60" s="11" t="str">
        <f>ES!B120</f>
        <v>TBR</v>
      </c>
      <c r="L60" s="11" t="str">
        <f>BR!B120</f>
        <v>TBR</v>
      </c>
      <c r="M60" s="11" t="str">
        <f>RS!B120</f>
        <v>TBR</v>
      </c>
      <c r="N60" s="11" t="str">
        <f>IN!B120</f>
        <v>TBR</v>
      </c>
      <c r="O60" s="11" t="str">
        <f>AU!B120</f>
        <v>TBR</v>
      </c>
      <c r="P60" s="11" t="str">
        <f>IR!B120</f>
        <v>TBR</v>
      </c>
    </row>
    <row r="61" spans="1:16" x14ac:dyDescent="0.35">
      <c r="A61" s="34">
        <v>42887</v>
      </c>
      <c r="B61" s="35" t="str">
        <f>Global!B121</f>
        <v>TBR</v>
      </c>
      <c r="C61" s="11">
        <f>US!B257</f>
        <v>57.4</v>
      </c>
      <c r="D61" s="11" t="str">
        <f>CH!B121</f>
        <v>TBR</v>
      </c>
      <c r="E61" s="11" t="str">
        <f>EZ!B121</f>
        <v>TBR</v>
      </c>
      <c r="F61" s="11" t="str">
        <f>JP!B121</f>
        <v>TBR</v>
      </c>
      <c r="G61" s="11" t="str">
        <f>DE!B121</f>
        <v>TBR</v>
      </c>
      <c r="H61" s="11" t="str">
        <f>FR!B121</f>
        <v>TBR</v>
      </c>
      <c r="I61" s="11">
        <f>UK!B120</f>
        <v>53.4</v>
      </c>
      <c r="J61" s="11" t="str">
        <f>IT!B121</f>
        <v>TBR</v>
      </c>
      <c r="K61" s="11" t="str">
        <f>ES!B121</f>
        <v>TBR</v>
      </c>
      <c r="L61" s="11" t="str">
        <f>BR!B121</f>
        <v>TBR</v>
      </c>
      <c r="M61" s="11" t="str">
        <f>RS!B121</f>
        <v>TBR</v>
      </c>
      <c r="N61" s="11" t="str">
        <f>IN!B121</f>
        <v>TBR</v>
      </c>
      <c r="O61" s="11" t="str">
        <f>AU!B121</f>
        <v>TBR</v>
      </c>
      <c r="P61" s="11" t="str">
        <f>IR!B121</f>
        <v>TBR</v>
      </c>
    </row>
    <row r="62" spans="1:16" x14ac:dyDescent="0.35">
      <c r="A62" s="34">
        <v>42917</v>
      </c>
      <c r="B62" s="35" t="str">
        <f>Global!B122</f>
        <v>TBR</v>
      </c>
      <c r="C62" s="11">
        <f>US!B258</f>
        <v>57.4</v>
      </c>
      <c r="D62" s="11" t="str">
        <f>CH!B122</f>
        <v>TBR</v>
      </c>
      <c r="E62" s="11" t="str">
        <f>EZ!B122</f>
        <v>TBR</v>
      </c>
      <c r="F62" s="11" t="str">
        <f>JP!B122</f>
        <v>TBR</v>
      </c>
      <c r="G62" s="11" t="str">
        <f>DE!B122</f>
        <v>TBR</v>
      </c>
      <c r="H62" s="11" t="str">
        <f>FR!B122</f>
        <v>TBR</v>
      </c>
      <c r="I62" s="11">
        <f>UK!B121</f>
        <v>53.8</v>
      </c>
      <c r="J62" s="11" t="str">
        <f>IT!B122</f>
        <v>TBR</v>
      </c>
      <c r="K62" s="11" t="str">
        <f>ES!B122</f>
        <v>TBR</v>
      </c>
      <c r="L62" s="11" t="str">
        <f>BR!B122</f>
        <v>TBR</v>
      </c>
      <c r="M62" s="11" t="str">
        <f>RS!B122</f>
        <v>TBR</v>
      </c>
      <c r="N62" s="11" t="str">
        <f>IN!B122</f>
        <v>TBR</v>
      </c>
      <c r="O62" s="11" t="str">
        <f>AU!B122</f>
        <v>TBR</v>
      </c>
      <c r="P62" s="11" t="str">
        <f>IR!B122</f>
        <v>TBR</v>
      </c>
    </row>
    <row r="63" spans="1:16" x14ac:dyDescent="0.35">
      <c r="A63" s="34">
        <v>42948</v>
      </c>
      <c r="B63" s="35" t="str">
        <f>Global!B123</f>
        <v>TBR</v>
      </c>
      <c r="C63" s="11">
        <f>US!B259</f>
        <v>57.4</v>
      </c>
      <c r="D63" s="11" t="str">
        <f>CH!B123</f>
        <v>TBR</v>
      </c>
      <c r="E63" s="11" t="str">
        <f>EZ!B123</f>
        <v>TBR</v>
      </c>
      <c r="F63" s="11" t="str">
        <f>JP!B123</f>
        <v>TBR</v>
      </c>
      <c r="G63" s="11" t="str">
        <f>DE!B123</f>
        <v>TBR</v>
      </c>
      <c r="H63" s="11" t="str">
        <f>FR!B123</f>
        <v>TBR</v>
      </c>
      <c r="I63" s="11">
        <f>UK!B122</f>
        <v>53.2</v>
      </c>
      <c r="J63" s="11" t="str">
        <f>IT!B123</f>
        <v>TBR</v>
      </c>
      <c r="K63" s="11" t="str">
        <f>ES!B123</f>
        <v>TBR</v>
      </c>
      <c r="L63" s="11" t="str">
        <f>BR!B123</f>
        <v>TBR</v>
      </c>
      <c r="M63" s="11" t="str">
        <f>RS!B123</f>
        <v>TBR</v>
      </c>
      <c r="N63" s="11" t="str">
        <f>IN!B123</f>
        <v>TBR</v>
      </c>
      <c r="O63" s="11" t="str">
        <f>AU!B123</f>
        <v>TBR</v>
      </c>
      <c r="P63" s="11" t="str">
        <f>IR!B123</f>
        <v>TBR</v>
      </c>
    </row>
    <row r="64" spans="1:16" x14ac:dyDescent="0.35">
      <c r="A64" s="34">
        <v>42979</v>
      </c>
      <c r="B64" s="35" t="str">
        <f>Global!B124</f>
        <v>TBR</v>
      </c>
      <c r="C64" s="11">
        <f>US!B260</f>
        <v>55.3</v>
      </c>
      <c r="D64" s="11" t="str">
        <f>CH!B124</f>
        <v>TBR</v>
      </c>
      <c r="E64" s="11" t="str">
        <f>EZ!B124</f>
        <v>TBR</v>
      </c>
      <c r="F64" s="11" t="str">
        <f>JP!B124</f>
        <v>TBR</v>
      </c>
      <c r="G64" s="11" t="str">
        <f>DE!B124</f>
        <v>TBR</v>
      </c>
      <c r="H64" s="11" t="str">
        <f>FR!B124</f>
        <v>TBR</v>
      </c>
      <c r="I64" s="11">
        <f>UK!B123</f>
        <v>53.6</v>
      </c>
      <c r="J64" s="11" t="str">
        <f>IT!B124</f>
        <v>TBR</v>
      </c>
      <c r="K64" s="11" t="str">
        <f>ES!B124</f>
        <v>TBR</v>
      </c>
      <c r="L64" s="11" t="str">
        <f>BR!B124</f>
        <v>TBR</v>
      </c>
      <c r="M64" s="11" t="str">
        <f>RS!B124</f>
        <v>TBR</v>
      </c>
      <c r="N64" s="11" t="str">
        <f>IN!B124</f>
        <v>TBR</v>
      </c>
      <c r="O64" s="11" t="str">
        <f>AU!B124</f>
        <v>TBR</v>
      </c>
      <c r="P64" s="11" t="str">
        <f>IR!B124</f>
        <v>TBR</v>
      </c>
    </row>
    <row r="65" spans="1:16" x14ac:dyDescent="0.35">
      <c r="A65" s="34">
        <v>43009</v>
      </c>
      <c r="B65" s="35" t="str">
        <f>Global!B125</f>
        <v>TBR</v>
      </c>
      <c r="C65" s="11">
        <f>US!B261</f>
        <v>55.3</v>
      </c>
      <c r="D65" s="11" t="str">
        <f>CH!B125</f>
        <v>TBR</v>
      </c>
      <c r="E65" s="11" t="str">
        <f>EZ!B125</f>
        <v>TBR</v>
      </c>
      <c r="F65" s="11" t="str">
        <f>JP!B125</f>
        <v>TBR</v>
      </c>
      <c r="G65" s="11" t="str">
        <f>DE!B125</f>
        <v>TBR</v>
      </c>
      <c r="H65" s="11" t="str">
        <f>FR!B125</f>
        <v>TBR</v>
      </c>
      <c r="I65" s="11">
        <f>UK!B124</f>
        <v>55.6</v>
      </c>
      <c r="J65" s="11" t="str">
        <f>IT!B125</f>
        <v>TBR</v>
      </c>
      <c r="K65" s="11" t="str">
        <f>ES!B125</f>
        <v>TBR</v>
      </c>
      <c r="L65" s="11" t="str">
        <f>BR!B125</f>
        <v>TBR</v>
      </c>
      <c r="M65" s="11" t="str">
        <f>RS!B125</f>
        <v>TBR</v>
      </c>
      <c r="N65" s="11" t="str">
        <f>IN!B125</f>
        <v>TBR</v>
      </c>
      <c r="O65" s="11" t="str">
        <f>AU!B125</f>
        <v>TBR</v>
      </c>
      <c r="P65" s="11" t="str">
        <f>IR!B125</f>
        <v>TBR</v>
      </c>
    </row>
    <row r="66" spans="1:16" x14ac:dyDescent="0.35">
      <c r="A66" s="34">
        <v>43040</v>
      </c>
      <c r="B66" s="35" t="str">
        <f>Global!B126</f>
        <v>TBR</v>
      </c>
      <c r="C66" s="11">
        <f>US!B262</f>
        <v>57.4</v>
      </c>
      <c r="D66" s="11" t="str">
        <f>CH!B126</f>
        <v>TBR</v>
      </c>
      <c r="E66" s="11" t="str">
        <f>EZ!B126</f>
        <v>TBR</v>
      </c>
      <c r="F66" s="11" t="str">
        <f>JP!B126</f>
        <v>TBR</v>
      </c>
      <c r="G66" s="11" t="str">
        <f>DE!B126</f>
        <v>TBR</v>
      </c>
      <c r="H66" s="11" t="str">
        <f>FR!B126</f>
        <v>TBR</v>
      </c>
      <c r="I66" s="11">
        <f>UK!B125</f>
        <v>53.8</v>
      </c>
      <c r="J66" s="11" t="str">
        <f>IT!B126</f>
        <v>TBR</v>
      </c>
      <c r="K66" s="11" t="str">
        <f>ES!B126</f>
        <v>TBR</v>
      </c>
      <c r="L66" s="11" t="str">
        <f>BR!B126</f>
        <v>TBR</v>
      </c>
      <c r="M66" s="11" t="str">
        <f>RS!B126</f>
        <v>TBR</v>
      </c>
      <c r="N66" s="11" t="str">
        <f>IN!B126</f>
        <v>TBR</v>
      </c>
      <c r="O66" s="11" t="str">
        <f>AU!B126</f>
        <v>TBR</v>
      </c>
      <c r="P66" s="11" t="str">
        <f>IR!B126</f>
        <v>TBR</v>
      </c>
    </row>
    <row r="67" spans="1:16" x14ac:dyDescent="0.35">
      <c r="A67" s="34">
        <v>43070</v>
      </c>
      <c r="B67" s="35" t="str">
        <f>Global!B127</f>
        <v>TBR</v>
      </c>
      <c r="C67" s="11">
        <f>US!B263</f>
        <v>55.9</v>
      </c>
      <c r="D67" s="11" t="str">
        <f>CH!B127</f>
        <v>TBR</v>
      </c>
      <c r="E67" s="11" t="str">
        <f>EZ!B127</f>
        <v>TBR</v>
      </c>
      <c r="F67" s="11" t="str">
        <f>JP!B127</f>
        <v>TBR</v>
      </c>
      <c r="G67" s="11" t="str">
        <f>DE!B127</f>
        <v>TBR</v>
      </c>
      <c r="H67" s="11" t="str">
        <f>FR!B127</f>
        <v>TBR</v>
      </c>
      <c r="I67" s="11">
        <f>UK!B126</f>
        <v>54.2</v>
      </c>
      <c r="J67" s="11" t="str">
        <f>IT!B127</f>
        <v>TBR</v>
      </c>
      <c r="K67" s="11" t="str">
        <f>ES!B127</f>
        <v>TBR</v>
      </c>
      <c r="L67" s="11" t="str">
        <f>BR!B127</f>
        <v>TBR</v>
      </c>
      <c r="M67" s="11" t="str">
        <f>RS!B127</f>
        <v>TBR</v>
      </c>
      <c r="N67" s="11" t="str">
        <f>IN!B127</f>
        <v>TBR</v>
      </c>
      <c r="O67" s="11" t="str">
        <f>AU!B127</f>
        <v>TBR</v>
      </c>
      <c r="P67" s="11" t="str">
        <f>IR!B127</f>
        <v>TBR</v>
      </c>
    </row>
    <row r="68" spans="1:16" x14ac:dyDescent="0.35">
      <c r="A68" s="34">
        <v>43101</v>
      </c>
      <c r="B68" s="35" t="str">
        <f>Global!B128</f>
        <v>TBR</v>
      </c>
      <c r="C68" s="11">
        <f>US!B264</f>
        <v>59.9</v>
      </c>
      <c r="D68" s="11" t="str">
        <f>CH!B128</f>
        <v>TBR</v>
      </c>
      <c r="E68" s="11" t="str">
        <f>EZ!B128</f>
        <v>TBR</v>
      </c>
      <c r="F68" s="11" t="str">
        <f>JP!B128</f>
        <v>TBR</v>
      </c>
      <c r="G68" s="11" t="str">
        <f>DE!B128</f>
        <v>TBR</v>
      </c>
      <c r="H68" s="11" t="str">
        <f>FR!B128</f>
        <v>TBR</v>
      </c>
      <c r="I68" s="11">
        <f>UK!B127</f>
        <v>53</v>
      </c>
      <c r="J68" s="11" t="str">
        <f>IT!B128</f>
        <v>TBR</v>
      </c>
      <c r="K68" s="11" t="str">
        <f>ES!B128</f>
        <v>TBR</v>
      </c>
      <c r="L68" s="11" t="str">
        <f>BR!B128</f>
        <v>TBR</v>
      </c>
      <c r="M68" s="11" t="str">
        <f>RS!B128</f>
        <v>TBR</v>
      </c>
      <c r="N68" s="11" t="str">
        <f>IN!B128</f>
        <v>TBR</v>
      </c>
      <c r="O68" s="11" t="str">
        <f>AU!B128</f>
        <v>TBR</v>
      </c>
      <c r="P68" s="11" t="str">
        <f>IR!B128</f>
        <v>TBR</v>
      </c>
    </row>
    <row r="69" spans="1:16" x14ac:dyDescent="0.35">
      <c r="A69" s="34">
        <v>43132</v>
      </c>
      <c r="B69" s="35" t="str">
        <f>Global!B129</f>
        <v>TBR</v>
      </c>
      <c r="C69" s="11">
        <f>US!B265</f>
        <v>59.5</v>
      </c>
      <c r="D69" s="11" t="str">
        <f>CH!B129</f>
        <v>TBR</v>
      </c>
      <c r="E69" s="11" t="str">
        <f>EZ!B129</f>
        <v>TBR</v>
      </c>
      <c r="F69" s="11" t="str">
        <f>JP!B129</f>
        <v>TBR</v>
      </c>
      <c r="G69" s="11" t="str">
        <f>DE!B129</f>
        <v>TBR</v>
      </c>
      <c r="H69" s="11" t="str">
        <f>FR!B129</f>
        <v>TBR</v>
      </c>
      <c r="I69" s="11">
        <f>UK!B128</f>
        <v>54.5</v>
      </c>
      <c r="J69" s="11" t="str">
        <f>IT!B129</f>
        <v>TBR</v>
      </c>
      <c r="K69" s="11" t="str">
        <f>ES!B129</f>
        <v>TBR</v>
      </c>
      <c r="L69" s="11" t="str">
        <f>BR!B129</f>
        <v>TBR</v>
      </c>
      <c r="M69" s="11" t="str">
        <f>RS!B129</f>
        <v>TBR</v>
      </c>
      <c r="N69" s="11" t="str">
        <f>IN!B129</f>
        <v>TBR</v>
      </c>
      <c r="O69" s="11" t="str">
        <f>AU!B129</f>
        <v>TBR</v>
      </c>
      <c r="P69" s="11" t="str">
        <f>IR!B129</f>
        <v>TBR</v>
      </c>
    </row>
    <row r="70" spans="1:16" x14ac:dyDescent="0.35">
      <c r="A70" s="34">
        <v>43160</v>
      </c>
      <c r="B70" s="35" t="str">
        <f>Global!B130</f>
        <v>TBR</v>
      </c>
      <c r="C70" s="11">
        <f>US!B266</f>
        <v>58.8</v>
      </c>
      <c r="D70" s="11" t="str">
        <f>CH!B130</f>
        <v>TBR</v>
      </c>
      <c r="E70" s="11" t="str">
        <f>EZ!B130</f>
        <v>TBR</v>
      </c>
      <c r="F70" s="11" t="str">
        <f>JP!B130</f>
        <v>TBR</v>
      </c>
      <c r="G70" s="11" t="str">
        <f>DE!B130</f>
        <v>TBR</v>
      </c>
      <c r="H70" s="11" t="str">
        <f>FR!B130</f>
        <v>TBR</v>
      </c>
      <c r="I70" s="11">
        <f>UK!B129</f>
        <v>51.7</v>
      </c>
      <c r="J70" s="11" t="str">
        <f>IT!B130</f>
        <v>TBR</v>
      </c>
      <c r="K70" s="11" t="str">
        <f>ES!B130</f>
        <v>TBR</v>
      </c>
      <c r="L70" s="11" t="str">
        <f>BR!B130</f>
        <v>TBR</v>
      </c>
      <c r="M70" s="11" t="str">
        <f>RS!B130</f>
        <v>TBR</v>
      </c>
      <c r="N70" s="11" t="str">
        <f>IN!B130</f>
        <v>TBR</v>
      </c>
      <c r="O70" s="11" t="str">
        <f>AU!B130</f>
        <v>TBR</v>
      </c>
      <c r="P70" s="11" t="str">
        <f>IR!B130</f>
        <v>TBR</v>
      </c>
    </row>
    <row r="71" spans="1:16" x14ac:dyDescent="0.35">
      <c r="A71" s="34">
        <v>43191</v>
      </c>
      <c r="B71" s="35" t="str">
        <f>Global!B131</f>
        <v>TBR</v>
      </c>
      <c r="C71" s="11">
        <f>US!B267</f>
        <v>58.8</v>
      </c>
      <c r="D71" s="11" t="str">
        <f>CH!B131</f>
        <v>TBR</v>
      </c>
      <c r="E71" s="11" t="str">
        <f>EZ!B131</f>
        <v>TBR</v>
      </c>
      <c r="F71" s="11" t="str">
        <f>JP!B131</f>
        <v>TBR</v>
      </c>
      <c r="G71" s="11" t="str">
        <f>DE!B131</f>
        <v>TBR</v>
      </c>
      <c r="H71" s="11" t="str">
        <f>FR!B131</f>
        <v>TBR</v>
      </c>
      <c r="I71" s="11">
        <f>UK!B130</f>
        <v>52.8</v>
      </c>
      <c r="J71" s="11" t="str">
        <f>IT!B131</f>
        <v>TBR</v>
      </c>
      <c r="K71" s="11" t="str">
        <f>ES!B131</f>
        <v>TBR</v>
      </c>
      <c r="L71" s="11" t="str">
        <f>BR!B131</f>
        <v>TBR</v>
      </c>
      <c r="M71" s="11" t="str">
        <f>RS!B131</f>
        <v>TBR</v>
      </c>
      <c r="N71" s="11" t="str">
        <f>IN!B131</f>
        <v>TBR</v>
      </c>
      <c r="O71" s="11" t="str">
        <f>AU!B131</f>
        <v>TBR</v>
      </c>
      <c r="P71" s="11" t="str">
        <f>IR!B131</f>
        <v>TBR</v>
      </c>
    </row>
    <row r="72" spans="1:16" x14ac:dyDescent="0.35">
      <c r="A72" s="34">
        <v>43221</v>
      </c>
      <c r="B72" s="35" t="str">
        <f>Global!B132</f>
        <v>TBR</v>
      </c>
      <c r="C72" s="11">
        <f>US!B268</f>
        <v>58.6</v>
      </c>
      <c r="D72" s="11" t="str">
        <f>CH!B132</f>
        <v>TBR</v>
      </c>
      <c r="E72" s="11" t="str">
        <f>EZ!B132</f>
        <v>TBR</v>
      </c>
      <c r="F72" s="11" t="str">
        <f>JP!B132</f>
        <v>TBR</v>
      </c>
      <c r="G72" s="11" t="str">
        <f>DE!B132</f>
        <v>TBR</v>
      </c>
      <c r="H72" s="11" t="str">
        <f>FR!B132</f>
        <v>TBR</v>
      </c>
      <c r="I72" s="11">
        <f>UK!B131</f>
        <v>54</v>
      </c>
      <c r="J72" s="11" t="str">
        <f>IT!B132</f>
        <v>TBR</v>
      </c>
      <c r="K72" s="11" t="str">
        <f>ES!B132</f>
        <v>TBR</v>
      </c>
      <c r="L72" s="11" t="str">
        <f>BR!B132</f>
        <v>TBR</v>
      </c>
      <c r="M72" s="11" t="str">
        <f>RS!B132</f>
        <v>TBR</v>
      </c>
      <c r="N72" s="11" t="str">
        <f>IN!B132</f>
        <v>TBR</v>
      </c>
      <c r="O72" s="11" t="str">
        <f>AU!B132</f>
        <v>TBR</v>
      </c>
      <c r="P72" s="11" t="str">
        <f>IR!B132</f>
        <v>TBR</v>
      </c>
    </row>
    <row r="73" spans="1:16" x14ac:dyDescent="0.35">
      <c r="A73" s="34">
        <v>43252</v>
      </c>
      <c r="B73" s="35" t="str">
        <f>Global!B133</f>
        <v>TBR</v>
      </c>
      <c r="C73" s="11">
        <f>US!B269</f>
        <v>59.1</v>
      </c>
      <c r="D73" s="11" t="str">
        <f>CH!B133</f>
        <v>TBR</v>
      </c>
      <c r="E73" s="11" t="str">
        <f>EZ!B133</f>
        <v>TBR</v>
      </c>
      <c r="F73" s="11" t="str">
        <f>JP!B133</f>
        <v>TBR</v>
      </c>
      <c r="G73" s="11" t="str">
        <f>DE!B133</f>
        <v>TBR</v>
      </c>
      <c r="H73" s="11" t="str">
        <f>FR!B133</f>
        <v>TBR</v>
      </c>
      <c r="I73" s="11">
        <f>UK!B132</f>
        <v>55.1</v>
      </c>
      <c r="J73" s="11" t="str">
        <f>IT!B133</f>
        <v>TBR</v>
      </c>
      <c r="K73" s="11" t="str">
        <f>ES!B133</f>
        <v>TBR</v>
      </c>
      <c r="L73" s="11" t="str">
        <f>BR!B133</f>
        <v>TBR</v>
      </c>
      <c r="M73" s="11" t="str">
        <f>RS!B133</f>
        <v>TBR</v>
      </c>
      <c r="N73" s="11" t="str">
        <f>IN!B133</f>
        <v>TBR</v>
      </c>
      <c r="O73" s="11" t="str">
        <f>AU!B133</f>
        <v>TBR</v>
      </c>
      <c r="P73" s="11" t="str">
        <f>IR!B133</f>
        <v>TBR</v>
      </c>
    </row>
    <row r="74" spans="1:16" x14ac:dyDescent="0.35">
      <c r="A74" s="34">
        <v>43282</v>
      </c>
      <c r="B74" s="35" t="str">
        <f>Global!B134</f>
        <v>TBR</v>
      </c>
      <c r="C74" s="11">
        <f>US!B270</f>
        <v>59.1</v>
      </c>
      <c r="D74" s="11" t="str">
        <f>CH!B134</f>
        <v>TBR</v>
      </c>
      <c r="E74" s="11" t="str">
        <f>EZ!B134</f>
        <v>TBR</v>
      </c>
      <c r="F74" s="11" t="str">
        <f>JP!B134</f>
        <v>TBR</v>
      </c>
      <c r="G74" s="11" t="str">
        <f>DE!B134</f>
        <v>TBR</v>
      </c>
      <c r="H74" s="11" t="str">
        <f>FR!B134</f>
        <v>TBR</v>
      </c>
      <c r="I74" s="11">
        <f>UK!B133</f>
        <v>53.5</v>
      </c>
      <c r="J74" s="11" t="str">
        <f>IT!B134</f>
        <v>TBR</v>
      </c>
      <c r="K74" s="11" t="str">
        <f>ES!B134</f>
        <v>TBR</v>
      </c>
      <c r="L74" s="11" t="str">
        <f>BR!B134</f>
        <v>TBR</v>
      </c>
      <c r="M74" s="11" t="str">
        <f>RS!B134</f>
        <v>TBR</v>
      </c>
      <c r="N74" s="11" t="str">
        <f>IN!B134</f>
        <v>TBR</v>
      </c>
      <c r="O74" s="11" t="str">
        <f>AU!B134</f>
        <v>TBR</v>
      </c>
      <c r="P74" s="11" t="str">
        <f>IR!B134</f>
        <v>TBR</v>
      </c>
    </row>
    <row r="75" spans="1:16" x14ac:dyDescent="0.35">
      <c r="A75" s="34">
        <v>43313</v>
      </c>
      <c r="B75" s="35" t="str">
        <f>Global!B135</f>
        <v>TBR</v>
      </c>
      <c r="C75" s="11">
        <f>US!B271</f>
        <v>58.5</v>
      </c>
      <c r="D75" s="11" t="str">
        <f>CH!B135</f>
        <v>TBR</v>
      </c>
      <c r="E75" s="11" t="str">
        <f>EZ!B135</f>
        <v>TBR</v>
      </c>
      <c r="F75" s="11" t="str">
        <f>JP!B135</f>
        <v>TBR</v>
      </c>
      <c r="G75" s="11" t="str">
        <f>DE!B135</f>
        <v>TBR</v>
      </c>
      <c r="H75" s="11" t="str">
        <f>FR!B135</f>
        <v>TBR</v>
      </c>
      <c r="I75" s="11">
        <f>UK!B134</f>
        <v>54.3</v>
      </c>
      <c r="J75" s="11" t="str">
        <f>IT!B135</f>
        <v>TBR</v>
      </c>
      <c r="K75" s="11" t="str">
        <f>ES!B135</f>
        <v>TBR</v>
      </c>
      <c r="L75" s="11" t="str">
        <f>BR!B135</f>
        <v>TBR</v>
      </c>
      <c r="M75" s="11" t="str">
        <f>RS!B135</f>
        <v>TBR</v>
      </c>
      <c r="N75" s="11" t="str">
        <f>IN!B135</f>
        <v>TBR</v>
      </c>
      <c r="O75" s="11" t="str">
        <f>AU!B135</f>
        <v>TBR</v>
      </c>
      <c r="P75" s="11" t="str">
        <f>IR!B135</f>
        <v>TBR</v>
      </c>
    </row>
    <row r="76" spans="1:16" x14ac:dyDescent="0.35">
      <c r="A76" s="34">
        <v>43344</v>
      </c>
      <c r="B76" s="35" t="str">
        <f>Global!B136</f>
        <v>TBR</v>
      </c>
      <c r="C76" s="11">
        <f>US!B272</f>
        <v>58.5</v>
      </c>
      <c r="D76" s="11" t="str">
        <f>CH!B136</f>
        <v>TBR</v>
      </c>
      <c r="E76" s="11" t="str">
        <f>EZ!B136</f>
        <v>TBR</v>
      </c>
      <c r="F76" s="11" t="str">
        <f>JP!B136</f>
        <v>TBR</v>
      </c>
      <c r="G76" s="11" t="str">
        <f>DE!B136</f>
        <v>TBR</v>
      </c>
      <c r="H76" s="11" t="str">
        <f>FR!B136</f>
        <v>TBR</v>
      </c>
      <c r="I76" s="11">
        <f>UK!B135</f>
        <v>53.9</v>
      </c>
      <c r="J76" s="11" t="str">
        <f>IT!B136</f>
        <v>TBR</v>
      </c>
      <c r="K76" s="11" t="str">
        <f>ES!B136</f>
        <v>TBR</v>
      </c>
      <c r="L76" s="11" t="str">
        <f>BR!B136</f>
        <v>TBR</v>
      </c>
      <c r="M76" s="11" t="str">
        <f>RS!B136</f>
        <v>TBR</v>
      </c>
      <c r="N76" s="11" t="str">
        <f>IN!B136</f>
        <v>TBR</v>
      </c>
      <c r="O76" s="11" t="str">
        <f>AU!B136</f>
        <v>TBR</v>
      </c>
      <c r="P76" s="11" t="str">
        <f>IR!B136</f>
        <v>TBR</v>
      </c>
    </row>
    <row r="77" spans="1:16" x14ac:dyDescent="0.35">
      <c r="A77" s="34">
        <v>43374</v>
      </c>
      <c r="B77" s="35" t="str">
        <f>Global!B137</f>
        <v>TBR</v>
      </c>
      <c r="C77" s="11">
        <f>US!B273</f>
        <v>60.3</v>
      </c>
      <c r="D77" s="11" t="str">
        <f>CH!B137</f>
        <v>TBR</v>
      </c>
      <c r="E77" s="11" t="str">
        <f>EZ!B137</f>
        <v>TBR</v>
      </c>
      <c r="F77" s="11" t="str">
        <f>JP!B137</f>
        <v>TBR</v>
      </c>
      <c r="G77" s="11" t="str">
        <f>DE!B137</f>
        <v>TBR</v>
      </c>
      <c r="H77" s="11" t="str">
        <f>FR!B137</f>
        <v>TBR</v>
      </c>
      <c r="I77" s="11">
        <f>UK!B136</f>
        <v>52.2</v>
      </c>
      <c r="J77" s="11" t="str">
        <f>IT!B137</f>
        <v>TBR</v>
      </c>
      <c r="K77" s="11" t="str">
        <f>ES!B137</f>
        <v>TBR</v>
      </c>
      <c r="L77" s="11" t="str">
        <f>BR!B137</f>
        <v>TBR</v>
      </c>
      <c r="M77" s="11" t="str">
        <f>RS!B137</f>
        <v>TBR</v>
      </c>
      <c r="N77" s="11" t="str">
        <f>IN!B137</f>
        <v>TBR</v>
      </c>
      <c r="O77" s="11" t="str">
        <f>AU!B137</f>
        <v>TBR</v>
      </c>
      <c r="P77" s="11" t="str">
        <f>IR!B137</f>
        <v>TBR</v>
      </c>
    </row>
    <row r="78" spans="1:16" x14ac:dyDescent="0.35">
      <c r="A78" s="34">
        <v>43405</v>
      </c>
      <c r="B78" s="35" t="str">
        <f>Global!B138</f>
        <v>TBR</v>
      </c>
      <c r="C78" s="11">
        <f>US!B274</f>
        <v>60.7</v>
      </c>
      <c r="D78" s="11" t="str">
        <f>CH!B138</f>
        <v>TBR</v>
      </c>
      <c r="E78" s="11" t="str">
        <f>EZ!B138</f>
        <v>TBR</v>
      </c>
      <c r="F78" s="11" t="str">
        <f>JP!B138</f>
        <v>TBR</v>
      </c>
      <c r="G78" s="11" t="str">
        <f>DE!B138</f>
        <v>TBR</v>
      </c>
      <c r="H78" s="11" t="str">
        <f>FR!B138</f>
        <v>TBR</v>
      </c>
      <c r="I78" s="11">
        <f>UK!B137</f>
        <v>50.4</v>
      </c>
      <c r="J78" s="11" t="str">
        <f>IT!B138</f>
        <v>TBR</v>
      </c>
      <c r="K78" s="11" t="str">
        <f>ES!B138</f>
        <v>TBR</v>
      </c>
      <c r="L78" s="11" t="str">
        <f>BR!B138</f>
        <v>TBR</v>
      </c>
      <c r="M78" s="11" t="str">
        <f>RS!B138</f>
        <v>TBR</v>
      </c>
      <c r="N78" s="11" t="str">
        <f>IN!B138</f>
        <v>TBR</v>
      </c>
      <c r="O78" s="11" t="str">
        <f>AU!B138</f>
        <v>TBR</v>
      </c>
      <c r="P78" s="11" t="str">
        <f>IR!B138</f>
        <v>TBR</v>
      </c>
    </row>
    <row r="79" spans="1:16" x14ac:dyDescent="0.35">
      <c r="A79" s="34">
        <v>43435</v>
      </c>
      <c r="B79" s="35" t="str">
        <f>Global!B139</f>
        <v>TBR</v>
      </c>
      <c r="C79" s="11">
        <f>US!B275</f>
        <v>60.7</v>
      </c>
      <c r="D79" s="11" t="str">
        <f>CH!B139</f>
        <v>TBR</v>
      </c>
      <c r="E79" s="11" t="str">
        <f>EZ!B139</f>
        <v>TBR</v>
      </c>
      <c r="F79" s="11" t="str">
        <f>JP!B139</f>
        <v>TBR</v>
      </c>
      <c r="G79" s="11" t="str">
        <f>DE!B139</f>
        <v>TBR</v>
      </c>
      <c r="H79" s="11" t="str">
        <f>FR!B139</f>
        <v>TBR</v>
      </c>
      <c r="I79" s="11">
        <f>UK!B138</f>
        <v>51.2</v>
      </c>
      <c r="J79" s="11" t="str">
        <f>IT!B139</f>
        <v>TBR</v>
      </c>
      <c r="K79" s="11" t="str">
        <f>ES!B139</f>
        <v>TBR</v>
      </c>
      <c r="L79" s="11" t="str">
        <f>BR!B139</f>
        <v>TBR</v>
      </c>
      <c r="M79" s="11" t="str">
        <f>RS!B139</f>
        <v>TBR</v>
      </c>
      <c r="N79" s="11" t="str">
        <f>IN!B139</f>
        <v>TBR</v>
      </c>
      <c r="O79" s="11" t="str">
        <f>AU!B139</f>
        <v>TBR</v>
      </c>
      <c r="P79" s="11" t="str">
        <f>IR!B139</f>
        <v>TBR</v>
      </c>
    </row>
    <row r="80" spans="1:16" x14ac:dyDescent="0.35">
      <c r="A80" s="34">
        <v>43466</v>
      </c>
      <c r="B80" s="35" t="str">
        <f>Global!B140</f>
        <v>TBR</v>
      </c>
      <c r="C80" s="11">
        <f>US!B276</f>
        <v>56.7</v>
      </c>
      <c r="D80" s="11" t="str">
        <f>CH!B140</f>
        <v>TBR</v>
      </c>
      <c r="E80" s="11" t="str">
        <f>EZ!B140</f>
        <v>TBR</v>
      </c>
      <c r="F80" s="11" t="str">
        <f>JP!B140</f>
        <v>TBR</v>
      </c>
      <c r="G80" s="11" t="str">
        <f>DE!B140</f>
        <v>TBR</v>
      </c>
      <c r="H80" s="11" t="str">
        <f>FR!B140</f>
        <v>TBR</v>
      </c>
      <c r="I80" s="11">
        <f>UK!B139</f>
        <v>50.1</v>
      </c>
      <c r="J80" s="11" t="str">
        <f>IT!B140</f>
        <v>TBR</v>
      </c>
      <c r="K80" s="11" t="str">
        <f>ES!B140</f>
        <v>TBR</v>
      </c>
      <c r="L80" s="11" t="str">
        <f>BR!B140</f>
        <v>TBR</v>
      </c>
      <c r="M80" s="11" t="str">
        <f>RS!B140</f>
        <v>TBR</v>
      </c>
      <c r="N80" s="11" t="str">
        <f>IN!B140</f>
        <v>TBR</v>
      </c>
      <c r="O80" s="11" t="str">
        <f>AU!B140</f>
        <v>TBR</v>
      </c>
      <c r="P80" s="11" t="str">
        <f>IR!B140</f>
        <v>TBR</v>
      </c>
    </row>
    <row r="81" spans="1:16" x14ac:dyDescent="0.35">
      <c r="A81" s="34">
        <v>43497</v>
      </c>
      <c r="B81" s="35" t="str">
        <f>Global!B141</f>
        <v>TBR</v>
      </c>
      <c r="C81" s="11">
        <f>US!B277</f>
        <v>59.7</v>
      </c>
      <c r="D81" s="11" t="str">
        <f>CH!B141</f>
        <v>TBR</v>
      </c>
      <c r="E81" s="11" t="str">
        <f>EZ!B141</f>
        <v>TBR</v>
      </c>
      <c r="F81" s="11" t="str">
        <f>JP!B141</f>
        <v>TBR</v>
      </c>
      <c r="G81" s="11" t="str">
        <f>DE!B141</f>
        <v>TBR</v>
      </c>
      <c r="H81" s="11" t="str">
        <f>FR!B141</f>
        <v>TBR</v>
      </c>
      <c r="I81" s="11">
        <f>UK!B140</f>
        <v>51.3</v>
      </c>
      <c r="J81" s="11" t="str">
        <f>IT!B141</f>
        <v>TBR</v>
      </c>
      <c r="K81" s="11" t="str">
        <f>ES!B141</f>
        <v>TBR</v>
      </c>
      <c r="L81" s="11" t="str">
        <f>BR!B141</f>
        <v>TBR</v>
      </c>
      <c r="M81" s="11" t="str">
        <f>RS!B141</f>
        <v>TBR</v>
      </c>
      <c r="N81" s="11" t="str">
        <f>IN!B141</f>
        <v>TBR</v>
      </c>
      <c r="O81" s="11" t="str">
        <f>AU!B141</f>
        <v>TBR</v>
      </c>
      <c r="P81" s="11" t="str">
        <f>IR!B141</f>
        <v>TBR</v>
      </c>
    </row>
    <row r="82" spans="1:16" x14ac:dyDescent="0.35">
      <c r="A82" s="34">
        <v>43525</v>
      </c>
      <c r="B82" s="35" t="str">
        <f>Global!B142</f>
        <v>TBR</v>
      </c>
      <c r="C82" s="11">
        <f>US!B278</f>
        <v>56.1</v>
      </c>
      <c r="D82" s="11" t="str">
        <f>CH!B142</f>
        <v>TBR</v>
      </c>
      <c r="E82" s="11" t="str">
        <f>EZ!B142</f>
        <v>TBR</v>
      </c>
      <c r="F82" s="11" t="str">
        <f>JP!B142</f>
        <v>TBR</v>
      </c>
      <c r="G82" s="11" t="str">
        <f>DE!B142</f>
        <v>TBR</v>
      </c>
      <c r="H82" s="11" t="str">
        <f>FR!B142</f>
        <v>TBR</v>
      </c>
      <c r="I82" s="11">
        <f>UK!B141</f>
        <v>48.9</v>
      </c>
      <c r="J82" s="11" t="str">
        <f>IT!B142</f>
        <v>TBR</v>
      </c>
      <c r="K82" s="11" t="str">
        <f>ES!B142</f>
        <v>TBR</v>
      </c>
      <c r="L82" s="11" t="str">
        <f>BR!B142</f>
        <v>TBR</v>
      </c>
      <c r="M82" s="11" t="str">
        <f>RS!B142</f>
        <v>TBR</v>
      </c>
      <c r="N82" s="11" t="str">
        <f>IN!B142</f>
        <v>TBR</v>
      </c>
      <c r="O82" s="11" t="str">
        <f>AU!B142</f>
        <v>TBR</v>
      </c>
      <c r="P82" s="11" t="str">
        <f>IR!B142</f>
        <v>TBR</v>
      </c>
    </row>
    <row r="83" spans="1:16" x14ac:dyDescent="0.35">
      <c r="A83" s="34">
        <v>43556</v>
      </c>
      <c r="B83" s="35" t="str">
        <f>Global!B143</f>
        <v>TBR</v>
      </c>
      <c r="C83" s="11">
        <f>US!B279</f>
        <v>55.5</v>
      </c>
      <c r="D83" s="11" t="str">
        <f>CH!B143</f>
        <v>TBR</v>
      </c>
      <c r="E83" s="11" t="str">
        <f>EZ!B143</f>
        <v>TBR</v>
      </c>
      <c r="F83" s="11" t="str">
        <f>JP!B143</f>
        <v>TBR</v>
      </c>
      <c r="G83" s="11" t="str">
        <f>DE!B143</f>
        <v>TBR</v>
      </c>
      <c r="H83" s="11" t="str">
        <f>FR!B143</f>
        <v>TBR</v>
      </c>
      <c r="I83" s="11">
        <f>UK!B142</f>
        <v>50.4</v>
      </c>
      <c r="J83" s="11" t="str">
        <f>IT!B143</f>
        <v>TBR</v>
      </c>
      <c r="K83" s="11" t="str">
        <f>ES!B143</f>
        <v>TBR</v>
      </c>
      <c r="L83" s="11" t="str">
        <f>BR!B143</f>
        <v>TBR</v>
      </c>
      <c r="M83" s="11" t="str">
        <f>RS!B143</f>
        <v>TBR</v>
      </c>
      <c r="N83" s="11" t="str">
        <f>IN!B143</f>
        <v>TBR</v>
      </c>
      <c r="O83" s="11" t="str">
        <f>AU!B143</f>
        <v>TBR</v>
      </c>
      <c r="P83" s="11" t="str">
        <f>IR!B143</f>
        <v>TBR</v>
      </c>
    </row>
    <row r="84" spans="1:16" x14ac:dyDescent="0.35">
      <c r="A84" s="34">
        <v>43586</v>
      </c>
      <c r="B84" s="35" t="str">
        <f>Global!B144</f>
        <v>TBR</v>
      </c>
      <c r="C84" s="11">
        <f>US!B280</f>
        <v>56.9</v>
      </c>
      <c r="D84" s="11" t="str">
        <f>CH!B144</f>
        <v>TBR</v>
      </c>
      <c r="E84" s="11" t="str">
        <f>EZ!B144</f>
        <v>TBR</v>
      </c>
      <c r="F84" s="11" t="str">
        <f>JP!B144</f>
        <v>TBR</v>
      </c>
      <c r="G84" s="11" t="str">
        <f>DE!B144</f>
        <v>TBR</v>
      </c>
      <c r="H84" s="11" t="str">
        <f>FR!B144</f>
        <v>TBR</v>
      </c>
      <c r="I84" s="11">
        <f>UK!B143</f>
        <v>51</v>
      </c>
      <c r="J84" s="11" t="str">
        <f>IT!B144</f>
        <v>TBR</v>
      </c>
      <c r="K84" s="11" t="str">
        <f>ES!B144</f>
        <v>TBR</v>
      </c>
      <c r="L84" s="11" t="str">
        <f>BR!B144</f>
        <v>TBR</v>
      </c>
      <c r="M84" s="11" t="str">
        <f>RS!B144</f>
        <v>TBR</v>
      </c>
      <c r="N84" s="11" t="str">
        <f>IN!B144</f>
        <v>TBR</v>
      </c>
      <c r="O84" s="11" t="str">
        <f>AU!B144</f>
        <v>TBR</v>
      </c>
      <c r="P84" s="11" t="str">
        <f>IR!B144</f>
        <v>TBR</v>
      </c>
    </row>
    <row r="85" spans="1:16" x14ac:dyDescent="0.35">
      <c r="A85" s="34">
        <v>43617</v>
      </c>
      <c r="B85" s="35" t="str">
        <f>Global!B145</f>
        <v>TBR</v>
      </c>
      <c r="C85" s="11">
        <f>US!B281</f>
        <v>56.9</v>
      </c>
      <c r="D85" s="11" t="str">
        <f>CH!B145</f>
        <v>TBR</v>
      </c>
      <c r="E85" s="11" t="str">
        <f>EZ!B145</f>
        <v>TBR</v>
      </c>
      <c r="F85" s="11" t="str">
        <f>JP!B145</f>
        <v>TBR</v>
      </c>
      <c r="G85" s="11" t="str">
        <f>DE!B145</f>
        <v>TBR</v>
      </c>
      <c r="H85" s="11" t="str">
        <f>FR!B145</f>
        <v>TBR</v>
      </c>
      <c r="I85" s="11">
        <f>UK!B144</f>
        <v>50.2</v>
      </c>
      <c r="J85" s="11" t="str">
        <f>IT!B145</f>
        <v>TBR</v>
      </c>
      <c r="K85" s="11" t="str">
        <f>ES!B145</f>
        <v>TBR</v>
      </c>
      <c r="L85" s="11" t="str">
        <f>BR!B145</f>
        <v>TBR</v>
      </c>
      <c r="M85" s="11" t="str">
        <f>RS!B145</f>
        <v>TBR</v>
      </c>
      <c r="N85" s="11" t="str">
        <f>IN!B145</f>
        <v>TBR</v>
      </c>
      <c r="O85" s="11" t="str">
        <f>AU!B145</f>
        <v>TBR</v>
      </c>
      <c r="P85" s="11" t="str">
        <f>IR!B145</f>
        <v>TBR</v>
      </c>
    </row>
    <row r="86" spans="1:16" x14ac:dyDescent="0.35">
      <c r="A86" s="34">
        <v>43647</v>
      </c>
      <c r="B86" s="35" t="str">
        <f>Global!B146</f>
        <v>TBR</v>
      </c>
      <c r="C86" s="11">
        <f>US!B282</f>
        <v>53.7</v>
      </c>
      <c r="D86" s="11" t="str">
        <f>CH!B146</f>
        <v>TBR</v>
      </c>
      <c r="E86" s="11" t="str">
        <f>EZ!B146</f>
        <v>TBR</v>
      </c>
      <c r="F86" s="11" t="str">
        <f>JP!B146</f>
        <v>TBR</v>
      </c>
      <c r="G86" s="11" t="str">
        <f>DE!B146</f>
        <v>TBR</v>
      </c>
      <c r="H86" s="11" t="str">
        <f>FR!B146</f>
        <v>TBR</v>
      </c>
      <c r="I86" s="11">
        <f>UK!B145</f>
        <v>51.4</v>
      </c>
      <c r="J86" s="11" t="str">
        <f>IT!B146</f>
        <v>TBR</v>
      </c>
      <c r="K86" s="11" t="str">
        <f>ES!B146</f>
        <v>TBR</v>
      </c>
      <c r="L86" s="11" t="str">
        <f>BR!B146</f>
        <v>TBR</v>
      </c>
      <c r="M86" s="11" t="str">
        <f>RS!B146</f>
        <v>TBR</v>
      </c>
      <c r="N86" s="11" t="str">
        <f>IN!B146</f>
        <v>TBR</v>
      </c>
      <c r="O86" s="11" t="str">
        <f>AU!B146</f>
        <v>TBR</v>
      </c>
      <c r="P86" s="11" t="str">
        <f>IR!B146</f>
        <v>TBR</v>
      </c>
    </row>
    <row r="87" spans="1:16" x14ac:dyDescent="0.35">
      <c r="A87" s="34">
        <v>43678</v>
      </c>
      <c r="B87" s="35" t="str">
        <f>Global!B147</f>
        <v>TBR</v>
      </c>
      <c r="C87" s="11">
        <f>US!B283</f>
        <v>56.4</v>
      </c>
      <c r="D87" s="11" t="str">
        <f>CH!B147</f>
        <v>TBR</v>
      </c>
      <c r="E87" s="11" t="str">
        <f>EZ!B147</f>
        <v>TBR</v>
      </c>
      <c r="F87" s="11" t="str">
        <f>JP!B147</f>
        <v>TBR</v>
      </c>
      <c r="G87" s="11" t="str">
        <f>DE!B147</f>
        <v>TBR</v>
      </c>
      <c r="H87" s="11" t="str">
        <f>FR!B147</f>
        <v>TBR</v>
      </c>
      <c r="I87" s="11">
        <f>UK!B146</f>
        <v>50.6</v>
      </c>
      <c r="J87" s="11" t="str">
        <f>IT!B147</f>
        <v>TBR</v>
      </c>
      <c r="K87" s="11" t="str">
        <f>ES!B147</f>
        <v>TBR</v>
      </c>
      <c r="L87" s="11" t="str">
        <f>BR!B147</f>
        <v>TBR</v>
      </c>
      <c r="M87" s="11" t="str">
        <f>RS!B147</f>
        <v>TBR</v>
      </c>
      <c r="N87" s="11" t="str">
        <f>IN!B147</f>
        <v>TBR</v>
      </c>
      <c r="O87" s="11" t="str">
        <f>AU!B147</f>
        <v>TBR</v>
      </c>
      <c r="P87" s="11" t="str">
        <f>IR!B147</f>
        <v>TBR</v>
      </c>
    </row>
    <row r="88" spans="1:16" x14ac:dyDescent="0.35">
      <c r="A88" s="34">
        <v>43709</v>
      </c>
      <c r="B88" s="35" t="str">
        <f>Global!B148</f>
        <v>TBR</v>
      </c>
      <c r="C88" s="11">
        <f>US!B284</f>
        <v>56.4</v>
      </c>
      <c r="D88" s="11" t="str">
        <f>CH!B148</f>
        <v>TBR</v>
      </c>
      <c r="E88" s="11" t="str">
        <f>EZ!B148</f>
        <v>TBR</v>
      </c>
      <c r="F88" s="11" t="str">
        <f>JP!B148</f>
        <v>TBR</v>
      </c>
      <c r="G88" s="11" t="str">
        <f>DE!B148</f>
        <v>TBR</v>
      </c>
      <c r="H88" s="11" t="str">
        <f>FR!B148</f>
        <v>TBR</v>
      </c>
      <c r="I88" s="11">
        <f>UK!B147</f>
        <v>49.5</v>
      </c>
      <c r="J88" s="11" t="str">
        <f>IT!B148</f>
        <v>TBR</v>
      </c>
      <c r="K88" s="11" t="str">
        <f>ES!B148</f>
        <v>TBR</v>
      </c>
      <c r="L88" s="11" t="str">
        <f>BR!B148</f>
        <v>TBR</v>
      </c>
      <c r="M88" s="11" t="str">
        <f>RS!B148</f>
        <v>TBR</v>
      </c>
      <c r="N88" s="11" t="str">
        <f>IN!B148</f>
        <v>TBR</v>
      </c>
      <c r="O88" s="11" t="str">
        <f>AU!B148</f>
        <v>TBR</v>
      </c>
      <c r="P88" s="11" t="str">
        <f>IR!B148</f>
        <v>TBR</v>
      </c>
    </row>
    <row r="89" spans="1:16" x14ac:dyDescent="0.35">
      <c r="A89" s="34">
        <v>43739</v>
      </c>
      <c r="B89" s="35" t="str">
        <f>Global!B149</f>
        <v>TBR</v>
      </c>
      <c r="C89" s="11">
        <f>US!B285</f>
        <v>54.7</v>
      </c>
      <c r="D89" s="11" t="str">
        <f>CH!B149</f>
        <v>TBR</v>
      </c>
      <c r="E89" s="11" t="str">
        <f>EZ!B149</f>
        <v>TBR</v>
      </c>
      <c r="F89" s="11" t="str">
        <f>JP!B149</f>
        <v>TBR</v>
      </c>
      <c r="G89" s="11" t="str">
        <f>DE!B149</f>
        <v>TBR</v>
      </c>
      <c r="H89" s="11" t="str">
        <f>FR!B149</f>
        <v>TBR</v>
      </c>
      <c r="I89" s="11">
        <f>UK!B148</f>
        <v>50</v>
      </c>
      <c r="J89" s="11" t="str">
        <f>IT!B149</f>
        <v>TBR</v>
      </c>
      <c r="K89" s="11" t="str">
        <f>ES!B149</f>
        <v>TBR</v>
      </c>
      <c r="L89" s="11" t="str">
        <f>BR!B149</f>
        <v>TBR</v>
      </c>
      <c r="M89" s="11" t="str">
        <f>RS!B149</f>
        <v>TBR</v>
      </c>
      <c r="N89" s="11" t="str">
        <f>IN!B149</f>
        <v>TBR</v>
      </c>
      <c r="O89" s="11" t="str">
        <f>AU!B149</f>
        <v>TBR</v>
      </c>
      <c r="P89" s="11" t="str">
        <f>IR!B149</f>
        <v>TBR</v>
      </c>
    </row>
    <row r="90" spans="1:16" x14ac:dyDescent="0.35">
      <c r="A90" s="34">
        <v>43770</v>
      </c>
      <c r="B90" s="35" t="str">
        <f>Global!B150</f>
        <v>TBR</v>
      </c>
      <c r="C90" s="11">
        <f>US!B286</f>
        <v>53.9</v>
      </c>
      <c r="D90" s="11" t="str">
        <f>CH!B150</f>
        <v>TBR</v>
      </c>
      <c r="E90" s="11" t="str">
        <f>EZ!B150</f>
        <v>TBR</v>
      </c>
      <c r="F90" s="11" t="str">
        <f>JP!B150</f>
        <v>TBR</v>
      </c>
      <c r="G90" s="11" t="str">
        <f>DE!B150</f>
        <v>TBR</v>
      </c>
      <c r="H90" s="11" t="str">
        <f>FR!B150</f>
        <v>TBR</v>
      </c>
      <c r="I90" s="11">
        <f>UK!B149</f>
        <v>49.3</v>
      </c>
      <c r="J90" s="11" t="str">
        <f>IT!B150</f>
        <v>TBR</v>
      </c>
      <c r="K90" s="11" t="str">
        <f>ES!B150</f>
        <v>TBR</v>
      </c>
      <c r="L90" s="11" t="str">
        <f>BR!B150</f>
        <v>TBR</v>
      </c>
      <c r="M90" s="11" t="str">
        <f>RS!B150</f>
        <v>TBR</v>
      </c>
      <c r="N90" s="11" t="str">
        <f>IN!B150</f>
        <v>TBR</v>
      </c>
      <c r="O90" s="11" t="str">
        <f>AU!B150</f>
        <v>TBR</v>
      </c>
      <c r="P90" s="11" t="str">
        <f>IR!B150</f>
        <v>TBR</v>
      </c>
    </row>
    <row r="91" spans="1:16" x14ac:dyDescent="0.35">
      <c r="A91" s="34">
        <v>43800</v>
      </c>
      <c r="B91" s="35" t="str">
        <f>Global!B151</f>
        <v>TBR</v>
      </c>
      <c r="C91" s="11">
        <f>US!B287</f>
        <v>53.9</v>
      </c>
      <c r="D91" s="11" t="str">
        <f>CH!B151</f>
        <v>TBR</v>
      </c>
      <c r="E91" s="11" t="str">
        <f>EZ!B151</f>
        <v>TBR</v>
      </c>
      <c r="F91" s="11" t="str">
        <f>JP!B151</f>
        <v>TBR</v>
      </c>
      <c r="G91" s="11" t="str">
        <f>DE!B151</f>
        <v>TBR</v>
      </c>
      <c r="H91" s="11" t="str">
        <f>FR!B151</f>
        <v>TBR</v>
      </c>
      <c r="I91" s="11">
        <f>UK!B150</f>
        <v>50</v>
      </c>
      <c r="J91" s="11" t="str">
        <f>IT!B151</f>
        <v>TBR</v>
      </c>
      <c r="K91" s="11" t="str">
        <f>ES!B151</f>
        <v>TBR</v>
      </c>
      <c r="L91" s="11" t="str">
        <f>BR!B151</f>
        <v>TBR</v>
      </c>
      <c r="M91" s="11" t="str">
        <f>RS!B151</f>
        <v>TBR</v>
      </c>
      <c r="N91" s="11" t="str">
        <f>IN!B151</f>
        <v>TBR</v>
      </c>
      <c r="O91" s="11" t="str">
        <f>AU!B151</f>
        <v>TBR</v>
      </c>
      <c r="P91" s="11" t="str">
        <f>IR!B151</f>
        <v>TBR</v>
      </c>
    </row>
    <row r="92" spans="1:16" x14ac:dyDescent="0.35">
      <c r="A92" s="34">
        <v>43831</v>
      </c>
      <c r="B92" s="35" t="str">
        <f>Global!B152</f>
        <v>TBR</v>
      </c>
      <c r="C92" s="11">
        <f>US!B288</f>
        <v>55.5</v>
      </c>
      <c r="D92" s="11" t="str">
        <f>CH!B152</f>
        <v>TBR</v>
      </c>
      <c r="E92" s="11" t="str">
        <f>EZ!B152</f>
        <v>TBR</v>
      </c>
      <c r="F92" s="11" t="str">
        <f>JP!B152</f>
        <v>TBR</v>
      </c>
      <c r="G92" s="11" t="str">
        <f>DE!B152</f>
        <v>TBR</v>
      </c>
      <c r="H92" s="11" t="str">
        <f>FR!B152</f>
        <v>TBR</v>
      </c>
      <c r="I92" s="11">
        <f>UK!B151</f>
        <v>53.9</v>
      </c>
      <c r="J92" s="11" t="str">
        <f>IT!B152</f>
        <v>TBR</v>
      </c>
      <c r="K92" s="11" t="str">
        <f>ES!B152</f>
        <v>TBR</v>
      </c>
      <c r="L92" s="11" t="str">
        <f>BR!B152</f>
        <v>TBR</v>
      </c>
      <c r="M92" s="11" t="str">
        <f>RS!B152</f>
        <v>TBR</v>
      </c>
      <c r="N92" s="11" t="str">
        <f>IN!B152</f>
        <v>TBR</v>
      </c>
      <c r="O92" s="11" t="str">
        <f>AU!B152</f>
        <v>TBR</v>
      </c>
      <c r="P92" s="11" t="str">
        <f>IR!B152</f>
        <v>TBR</v>
      </c>
    </row>
    <row r="93" spans="1:16" x14ac:dyDescent="0.35">
      <c r="A93" s="34">
        <v>43862</v>
      </c>
      <c r="B93" s="35" t="str">
        <f>Global!B153</f>
        <v>TBR</v>
      </c>
      <c r="C93" s="11">
        <f>US!B289</f>
        <v>55.5</v>
      </c>
      <c r="D93" s="11" t="str">
        <f>CH!B153</f>
        <v>TBR</v>
      </c>
      <c r="E93" s="11" t="str">
        <f>EZ!B153</f>
        <v>TBR</v>
      </c>
      <c r="F93" s="11" t="str">
        <f>JP!B153</f>
        <v>TBR</v>
      </c>
      <c r="G93" s="11" t="str">
        <f>DE!B153</f>
        <v>TBR</v>
      </c>
      <c r="H93" s="11" t="str">
        <f>FR!B153</f>
        <v>TBR</v>
      </c>
      <c r="I93" s="11">
        <f>UK!B152</f>
        <v>53.2</v>
      </c>
      <c r="J93" s="11" t="str">
        <f>IT!B153</f>
        <v>TBR</v>
      </c>
      <c r="K93" s="11" t="str">
        <f>ES!B153</f>
        <v>TBR</v>
      </c>
      <c r="L93" s="11" t="str">
        <f>BR!B153</f>
        <v>TBR</v>
      </c>
      <c r="M93" s="11" t="str">
        <f>RS!B153</f>
        <v>TBR</v>
      </c>
      <c r="N93" s="11" t="str">
        <f>IN!B153</f>
        <v>TBR</v>
      </c>
      <c r="O93" s="11" t="str">
        <f>AU!B153</f>
        <v>TBR</v>
      </c>
      <c r="P93" s="11" t="str">
        <f>IR!B153</f>
        <v>TBR</v>
      </c>
    </row>
    <row r="94" spans="1:16" x14ac:dyDescent="0.35">
      <c r="A94" s="34">
        <v>43891</v>
      </c>
      <c r="B94" s="35" t="str">
        <f>Global!B154</f>
        <v>TBR</v>
      </c>
      <c r="C94" s="11">
        <f>US!B290</f>
        <v>55.5</v>
      </c>
      <c r="D94" s="11" t="str">
        <f>CH!B154</f>
        <v>TBR</v>
      </c>
      <c r="E94" s="11" t="str">
        <f>EZ!B154</f>
        <v>TBR</v>
      </c>
      <c r="F94" s="11" t="str">
        <f>JP!B154</f>
        <v>TBR</v>
      </c>
      <c r="G94" s="11" t="str">
        <f>DE!B154</f>
        <v>TBR</v>
      </c>
      <c r="H94" s="11" t="str">
        <f>FR!B154</f>
        <v>TBR</v>
      </c>
      <c r="I94" s="11">
        <f>UK!B153</f>
        <v>34.5</v>
      </c>
      <c r="J94" s="11" t="str">
        <f>IT!B154</f>
        <v>TBR</v>
      </c>
      <c r="K94" s="11" t="str">
        <f>ES!B154</f>
        <v>TBR</v>
      </c>
      <c r="L94" s="11" t="str">
        <f>BR!B154</f>
        <v>TBR</v>
      </c>
      <c r="M94" s="11" t="str">
        <f>RS!B154</f>
        <v>TBR</v>
      </c>
      <c r="N94" s="11" t="str">
        <f>IN!B154</f>
        <v>TBR</v>
      </c>
      <c r="O94" s="11" t="str">
        <f>AU!B154</f>
        <v>TBR</v>
      </c>
      <c r="P94" s="11" t="str">
        <f>IR!B154</f>
        <v>TBR</v>
      </c>
    </row>
    <row r="95" spans="1:16" x14ac:dyDescent="0.35">
      <c r="A95" s="34">
        <v>43922</v>
      </c>
      <c r="B95" s="35" t="str">
        <f>Global!B155</f>
        <v>TBR</v>
      </c>
      <c r="C95" s="11">
        <f>US!B291</f>
        <v>41.8</v>
      </c>
      <c r="D95" s="11" t="str">
        <f>CH!B155</f>
        <v>TBR</v>
      </c>
      <c r="E95" s="11" t="str">
        <f>EZ!B155</f>
        <v>TBR</v>
      </c>
      <c r="F95" s="11" t="str">
        <f>JP!B155</f>
        <v>TBR</v>
      </c>
      <c r="G95" s="11" t="str">
        <f>DE!B155</f>
        <v>TBR</v>
      </c>
      <c r="H95" s="11" t="str">
        <f>FR!B155</f>
        <v>TBR</v>
      </c>
      <c r="I95" s="11">
        <f>UK!B154</f>
        <v>13.4</v>
      </c>
      <c r="J95" s="11" t="str">
        <f>IT!B155</f>
        <v>TBR</v>
      </c>
      <c r="K95" s="11" t="str">
        <f>ES!B155</f>
        <v>TBR</v>
      </c>
      <c r="L95" s="11" t="str">
        <f>BR!B155</f>
        <v>TBR</v>
      </c>
      <c r="M95" s="11" t="str">
        <f>RS!B155</f>
        <v>TBR</v>
      </c>
      <c r="N95" s="11" t="str">
        <f>IN!B155</f>
        <v>TBR</v>
      </c>
      <c r="O95" s="11" t="str">
        <f>AU!B155</f>
        <v>TBR</v>
      </c>
      <c r="P95" s="11" t="str">
        <f>IR!B155</f>
        <v>TBR</v>
      </c>
    </row>
    <row r="96" spans="1:16" x14ac:dyDescent="0.35">
      <c r="A96" s="34">
        <v>43952</v>
      </c>
      <c r="B96" s="35" t="str">
        <f>Global!B156</f>
        <v>TBR</v>
      </c>
      <c r="C96" s="11">
        <f>US!B292</f>
        <v>45.4</v>
      </c>
      <c r="D96" s="11" t="str">
        <f>CH!B156</f>
        <v>TBR</v>
      </c>
      <c r="E96" s="11" t="str">
        <f>EZ!B156</f>
        <v>TBR</v>
      </c>
      <c r="F96" s="11" t="str">
        <f>JP!B156</f>
        <v>TBR</v>
      </c>
      <c r="G96" s="11" t="str">
        <f>DE!B156</f>
        <v>TBR</v>
      </c>
      <c r="H96" s="11" t="str">
        <f>FR!B156</f>
        <v>TBR</v>
      </c>
      <c r="I96" s="11">
        <f>UK!B155</f>
        <v>29</v>
      </c>
      <c r="J96" s="11" t="str">
        <f>IT!B156</f>
        <v>TBR</v>
      </c>
      <c r="K96" s="11" t="str">
        <f>ES!B156</f>
        <v>TBR</v>
      </c>
      <c r="L96" s="11" t="str">
        <f>BR!B156</f>
        <v>TBR</v>
      </c>
      <c r="M96" s="11" t="str">
        <f>RS!B156</f>
        <v>TBR</v>
      </c>
      <c r="N96" s="11" t="str">
        <f>IN!B156</f>
        <v>TBR</v>
      </c>
      <c r="O96" s="11" t="str">
        <f>AU!B156</f>
        <v>TBR</v>
      </c>
      <c r="P96" s="11" t="str">
        <f>IR!B156</f>
        <v>TBR</v>
      </c>
    </row>
    <row r="97" spans="1:16" x14ac:dyDescent="0.35">
      <c r="A97" s="34">
        <v>43983</v>
      </c>
      <c r="B97" s="35" t="str">
        <f>Global!B157</f>
        <v>TBR</v>
      </c>
      <c r="C97" s="11">
        <f>US!B293</f>
        <v>57.1</v>
      </c>
      <c r="D97" s="11" t="str">
        <f>CH!B157</f>
        <v>TBR</v>
      </c>
      <c r="E97" s="11" t="str">
        <f>EZ!B157</f>
        <v>TBR</v>
      </c>
      <c r="F97" s="11" t="str">
        <f>JP!B157</f>
        <v>TBR</v>
      </c>
      <c r="G97" s="11" t="str">
        <f>DE!B157</f>
        <v>TBR</v>
      </c>
      <c r="H97" s="11" t="str">
        <f>FR!B157</f>
        <v>TBR</v>
      </c>
      <c r="I97" s="11">
        <f>UK!B156</f>
        <v>47.1</v>
      </c>
      <c r="J97" s="11" t="str">
        <f>IT!B157</f>
        <v>TBR</v>
      </c>
      <c r="K97" s="11" t="str">
        <f>ES!B157</f>
        <v>TBR</v>
      </c>
      <c r="L97" s="11" t="str">
        <f>BR!B157</f>
        <v>TBR</v>
      </c>
      <c r="M97" s="11" t="str">
        <f>RS!B157</f>
        <v>TBR</v>
      </c>
      <c r="N97" s="11" t="str">
        <f>IN!B157</f>
        <v>TBR</v>
      </c>
      <c r="O97" s="11" t="str">
        <f>AU!B157</f>
        <v>TBR</v>
      </c>
      <c r="P97" s="11" t="str">
        <f>IR!B157</f>
        <v>TBR</v>
      </c>
    </row>
    <row r="98" spans="1:16" x14ac:dyDescent="0.35">
      <c r="A98" s="34">
        <v>44013</v>
      </c>
      <c r="B98" s="35" t="str">
        <f>Global!B158</f>
        <v>TBR</v>
      </c>
      <c r="C98" s="11">
        <f>US!B294</f>
        <v>58.1</v>
      </c>
      <c r="D98" s="11" t="str">
        <f>CH!B158</f>
        <v>TBR</v>
      </c>
      <c r="E98" s="11" t="str">
        <f>EZ!B158</f>
        <v>TBR</v>
      </c>
      <c r="F98" s="11" t="str">
        <f>JP!B158</f>
        <v>TBR</v>
      </c>
      <c r="G98" s="11" t="str">
        <f>DE!B158</f>
        <v>TBR</v>
      </c>
      <c r="H98" s="11" t="str">
        <f>FR!B158</f>
        <v>TBR</v>
      </c>
      <c r="I98" s="11">
        <f>UK!B157</f>
        <v>56.5</v>
      </c>
      <c r="J98" s="11" t="str">
        <f>IT!B158</f>
        <v>TBR</v>
      </c>
      <c r="K98" s="11" t="str">
        <f>ES!B158</f>
        <v>TBR</v>
      </c>
      <c r="L98" s="11" t="str">
        <f>BR!B158</f>
        <v>TBR</v>
      </c>
      <c r="M98" s="11" t="str">
        <f>RS!B158</f>
        <v>TBR</v>
      </c>
      <c r="N98" s="11" t="str">
        <f>IN!B158</f>
        <v>TBR</v>
      </c>
      <c r="O98" s="11" t="str">
        <f>AU!B158</f>
        <v>TBR</v>
      </c>
      <c r="P98" s="11" t="str">
        <f>IR!B158</f>
        <v>TBR</v>
      </c>
    </row>
    <row r="99" spans="1:16" x14ac:dyDescent="0.35">
      <c r="A99" s="34">
        <v>44044</v>
      </c>
      <c r="B99" s="35" t="str">
        <f>Global!B159</f>
        <v>TBR</v>
      </c>
      <c r="C99" s="11">
        <f>US!B295</f>
        <v>58.1</v>
      </c>
      <c r="D99" s="11" t="str">
        <f>CH!B159</f>
        <v>TBR</v>
      </c>
      <c r="E99" s="11" t="str">
        <f>EZ!B159</f>
        <v>TBR</v>
      </c>
      <c r="F99" s="11" t="str">
        <f>JP!B159</f>
        <v>TBR</v>
      </c>
      <c r="G99" s="11" t="str">
        <f>DE!B159</f>
        <v>TBR</v>
      </c>
      <c r="H99" s="11" t="str">
        <f>FR!B159</f>
        <v>TBR</v>
      </c>
      <c r="I99" s="11">
        <f>UK!B158</f>
        <v>58.8</v>
      </c>
      <c r="J99" s="11" t="str">
        <f>IT!B159</f>
        <v>TBR</v>
      </c>
      <c r="K99" s="11" t="str">
        <f>ES!B159</f>
        <v>TBR</v>
      </c>
      <c r="L99" s="11" t="str">
        <f>BR!B159</f>
        <v>TBR</v>
      </c>
      <c r="M99" s="11" t="str">
        <f>RS!B159</f>
        <v>TBR</v>
      </c>
      <c r="N99" s="11" t="str">
        <f>IN!B159</f>
        <v>TBR</v>
      </c>
      <c r="O99" s="11" t="str">
        <f>AU!B159</f>
        <v>TBR</v>
      </c>
      <c r="P99" s="11" t="str">
        <f>IR!B159</f>
        <v>TBR</v>
      </c>
    </row>
    <row r="100" spans="1:16" x14ac:dyDescent="0.35">
      <c r="A100" s="34">
        <v>44075</v>
      </c>
      <c r="B100" s="35" t="str">
        <f>Global!B160</f>
        <v>TBR</v>
      </c>
      <c r="C100" s="11">
        <f>US!B296</f>
        <v>57.8</v>
      </c>
      <c r="D100" s="11" t="str">
        <f>CH!B160</f>
        <v>TBR</v>
      </c>
      <c r="E100" s="11" t="str">
        <f>EZ!B160</f>
        <v>TBR</v>
      </c>
      <c r="F100" s="11" t="str">
        <f>JP!B160</f>
        <v>TBR</v>
      </c>
      <c r="G100" s="11" t="str">
        <f>DE!B160</f>
        <v>TBR</v>
      </c>
      <c r="H100" s="11" t="str">
        <f>FR!B160</f>
        <v>TBR</v>
      </c>
      <c r="I100" s="11">
        <f>UK!B159</f>
        <v>56.1</v>
      </c>
      <c r="J100" s="11" t="str">
        <f>IT!B160</f>
        <v>TBR</v>
      </c>
      <c r="K100" s="11" t="str">
        <f>ES!B160</f>
        <v>TBR</v>
      </c>
      <c r="L100" s="11" t="str">
        <f>BR!B160</f>
        <v>TBR</v>
      </c>
      <c r="M100" s="11" t="str">
        <f>RS!B160</f>
        <v>TBR</v>
      </c>
      <c r="N100" s="11" t="str">
        <f>IN!B160</f>
        <v>TBR</v>
      </c>
      <c r="O100" s="11" t="str">
        <f>AU!B160</f>
        <v>TBR</v>
      </c>
      <c r="P100" s="11" t="str">
        <f>IR!B160</f>
        <v>TBR</v>
      </c>
    </row>
    <row r="101" spans="1:16" x14ac:dyDescent="0.35">
      <c r="A101" s="34">
        <v>44105</v>
      </c>
      <c r="B101" s="35" t="str">
        <f>Global!B161</f>
        <v>TBR</v>
      </c>
      <c r="C101" s="11">
        <f>US!B297</f>
        <v>56.6</v>
      </c>
      <c r="D101" s="11" t="str">
        <f>CH!B161</f>
        <v>TBR</v>
      </c>
      <c r="E101" s="11" t="str">
        <f>EZ!B161</f>
        <v>TBR</v>
      </c>
      <c r="F101" s="11" t="str">
        <f>JP!B161</f>
        <v>TBR</v>
      </c>
      <c r="G101" s="11" t="str">
        <f>DE!B161</f>
        <v>TBR</v>
      </c>
      <c r="H101" s="11" t="str">
        <f>FR!B161</f>
        <v>TBR</v>
      </c>
      <c r="I101" s="11">
        <f>UK!B160</f>
        <v>51.4</v>
      </c>
      <c r="J101" s="11" t="str">
        <f>IT!B161</f>
        <v>TBR</v>
      </c>
      <c r="K101" s="11" t="str">
        <f>ES!B161</f>
        <v>TBR</v>
      </c>
      <c r="L101" s="11" t="str">
        <f>BR!B161</f>
        <v>TBR</v>
      </c>
      <c r="M101" s="11" t="str">
        <f>RS!B161</f>
        <v>TBR</v>
      </c>
      <c r="N101" s="11" t="str">
        <f>IN!B161</f>
        <v>TBR</v>
      </c>
      <c r="O101" s="11" t="str">
        <f>AU!B161</f>
        <v>TBR</v>
      </c>
      <c r="P101" s="11" t="str">
        <f>IR!B161</f>
        <v>TBR</v>
      </c>
    </row>
    <row r="102" spans="1:16" x14ac:dyDescent="0.35">
      <c r="A102" s="34">
        <v>44136</v>
      </c>
      <c r="B102" s="35" t="str">
        <f>Global!B162</f>
        <v>TBR</v>
      </c>
      <c r="C102" s="11">
        <f>US!B298</f>
        <v>56.6</v>
      </c>
      <c r="D102" s="11" t="str">
        <f>CH!B162</f>
        <v>TBR</v>
      </c>
      <c r="E102" s="11" t="str">
        <f>EZ!B162</f>
        <v>TBR</v>
      </c>
      <c r="F102" s="11" t="str">
        <f>JP!B162</f>
        <v>TBR</v>
      </c>
      <c r="G102" s="11" t="str">
        <f>DE!B162</f>
        <v>TBR</v>
      </c>
      <c r="H102" s="11" t="str">
        <f>FR!B162</f>
        <v>TBR</v>
      </c>
      <c r="I102" s="11">
        <f>UK!B161</f>
        <v>47.6</v>
      </c>
      <c r="J102" s="11" t="str">
        <f>IT!B162</f>
        <v>TBR</v>
      </c>
      <c r="K102" s="11" t="str">
        <f>ES!B162</f>
        <v>TBR</v>
      </c>
      <c r="L102" s="11" t="str">
        <f>BR!B162</f>
        <v>TBR</v>
      </c>
      <c r="M102" s="11" t="str">
        <f>RS!B162</f>
        <v>TBR</v>
      </c>
      <c r="N102" s="11" t="str">
        <f>IN!B162</f>
        <v>TBR</v>
      </c>
      <c r="O102" s="11" t="str">
        <f>AU!B162</f>
        <v>TBR</v>
      </c>
      <c r="P102" s="11" t="str">
        <f>IR!B162</f>
        <v>TBR</v>
      </c>
    </row>
    <row r="103" spans="1:16" x14ac:dyDescent="0.35">
      <c r="A103" s="34">
        <v>44166</v>
      </c>
      <c r="B103" s="35" t="str">
        <f>Global!B163</f>
        <v>TBR</v>
      </c>
      <c r="C103" s="11">
        <f>US!B299</f>
        <v>57.7</v>
      </c>
      <c r="D103" s="11" t="str">
        <f>CH!B163</f>
        <v>TBR</v>
      </c>
      <c r="E103" s="11" t="str">
        <f>EZ!B163</f>
        <v>TBR</v>
      </c>
      <c r="F103" s="11" t="str">
        <f>JP!B163</f>
        <v>TBR</v>
      </c>
      <c r="G103" s="11" t="str">
        <f>DE!B163</f>
        <v>TBR</v>
      </c>
      <c r="H103" s="11" t="str">
        <f>FR!B163</f>
        <v>TBR</v>
      </c>
      <c r="I103" s="11">
        <f>UK!B162</f>
        <v>49.4</v>
      </c>
      <c r="J103" s="11" t="str">
        <f>IT!B163</f>
        <v>TBR</v>
      </c>
      <c r="K103" s="11" t="str">
        <f>ES!B163</f>
        <v>TBR</v>
      </c>
      <c r="L103" s="11" t="str">
        <f>BR!B163</f>
        <v>TBR</v>
      </c>
      <c r="M103" s="11" t="str">
        <f>RS!B163</f>
        <v>TBR</v>
      </c>
      <c r="N103" s="11" t="str">
        <f>IN!B163</f>
        <v>TBR</v>
      </c>
      <c r="O103" s="11" t="str">
        <f>AU!B163</f>
        <v>TBR</v>
      </c>
      <c r="P103" s="11" t="str">
        <f>IR!B163</f>
        <v>TBR</v>
      </c>
    </row>
    <row r="104" spans="1:16" x14ac:dyDescent="0.35">
      <c r="A104" s="34">
        <v>44197</v>
      </c>
      <c r="B104" s="35" t="str">
        <f>Global!B164</f>
        <v>TBR</v>
      </c>
      <c r="C104" s="11">
        <f>US!B300</f>
        <v>58.7</v>
      </c>
      <c r="D104" s="11" t="str">
        <f>CH!B164</f>
        <v>TBR</v>
      </c>
      <c r="E104" s="11" t="str">
        <f>EZ!B164</f>
        <v>TBR</v>
      </c>
      <c r="F104" s="11" t="str">
        <f>JP!B164</f>
        <v>TBR</v>
      </c>
      <c r="G104" s="11" t="str">
        <f>DE!B164</f>
        <v>TBR</v>
      </c>
      <c r="H104" s="11" t="str">
        <f>FR!B164</f>
        <v>TBR</v>
      </c>
      <c r="I104" s="11">
        <f>UK!B163</f>
        <v>39.5</v>
      </c>
      <c r="J104" s="11" t="str">
        <f>IT!B164</f>
        <v>TBR</v>
      </c>
      <c r="K104" s="11" t="str">
        <f>ES!B164</f>
        <v>TBR</v>
      </c>
      <c r="L104" s="11" t="str">
        <f>BR!B164</f>
        <v>TBR</v>
      </c>
      <c r="M104" s="11" t="str">
        <f>RS!B164</f>
        <v>TBR</v>
      </c>
      <c r="N104" s="11" t="str">
        <f>IN!B164</f>
        <v>TBR</v>
      </c>
      <c r="O104" s="11" t="str">
        <f>AU!B164</f>
        <v>TBR</v>
      </c>
      <c r="P104" s="11" t="str">
        <f>IR!B164</f>
        <v>TBR</v>
      </c>
    </row>
    <row r="105" spans="1:16" x14ac:dyDescent="0.35">
      <c r="A105" s="34">
        <v>44228</v>
      </c>
      <c r="B105" s="35" t="str">
        <f>Global!B165</f>
        <v>TBR</v>
      </c>
      <c r="C105" s="11">
        <f>US!B301</f>
        <v>55.3</v>
      </c>
      <c r="D105" s="11" t="str">
        <f>CH!B165</f>
        <v>TBR</v>
      </c>
      <c r="E105" s="11" t="str">
        <f>EZ!B165</f>
        <v>TBR</v>
      </c>
      <c r="F105" s="11" t="str">
        <f>JP!B165</f>
        <v>TBR</v>
      </c>
      <c r="G105" s="11" t="str">
        <f>DE!B165</f>
        <v>TBR</v>
      </c>
      <c r="H105" s="11" t="str">
        <f>FR!B165</f>
        <v>TBR</v>
      </c>
      <c r="I105" s="11">
        <f>UK!B164</f>
        <v>49.5</v>
      </c>
      <c r="J105" s="11" t="str">
        <f>IT!B165</f>
        <v>TBR</v>
      </c>
      <c r="K105" s="11" t="str">
        <f>ES!B165</f>
        <v>TBR</v>
      </c>
      <c r="L105" s="11" t="str">
        <f>BR!B165</f>
        <v>TBR</v>
      </c>
      <c r="M105" s="11" t="str">
        <f>RS!B165</f>
        <v>TBR</v>
      </c>
      <c r="N105" s="11" t="str">
        <f>IN!B165</f>
        <v>TBR</v>
      </c>
      <c r="O105" s="11" t="str">
        <f>AU!B165</f>
        <v>TBR</v>
      </c>
      <c r="P105" s="11" t="str">
        <f>IR!B165</f>
        <v>TBR</v>
      </c>
    </row>
    <row r="106" spans="1:16" x14ac:dyDescent="0.35">
      <c r="A106" s="34">
        <v>44256</v>
      </c>
      <c r="B106" s="35" t="str">
        <f>Global!B166</f>
        <v>TBR</v>
      </c>
      <c r="C106" s="11">
        <f>US!B302</f>
        <v>63.7</v>
      </c>
      <c r="D106" s="11" t="str">
        <f>CH!B166</f>
        <v>TBR</v>
      </c>
      <c r="E106" s="11" t="str">
        <f>EZ!B166</f>
        <v>TBR</v>
      </c>
      <c r="F106" s="11" t="str">
        <f>JP!B166</f>
        <v>TBR</v>
      </c>
      <c r="G106" s="11" t="str">
        <f>DE!B166</f>
        <v>TBR</v>
      </c>
      <c r="H106" s="11" t="str">
        <f>FR!B166</f>
        <v>TBR</v>
      </c>
      <c r="I106" s="11">
        <f>UK!B165</f>
        <v>56.3</v>
      </c>
      <c r="J106" s="11" t="str">
        <f>IT!B166</f>
        <v>TBR</v>
      </c>
      <c r="K106" s="11" t="str">
        <f>ES!B166</f>
        <v>TBR</v>
      </c>
      <c r="L106" s="11" t="str">
        <f>BR!B166</f>
        <v>TBR</v>
      </c>
      <c r="M106" s="11" t="str">
        <f>RS!B166</f>
        <v>TBR</v>
      </c>
      <c r="N106" s="11" t="str">
        <f>IN!B166</f>
        <v>TBR</v>
      </c>
      <c r="O106" s="11" t="str">
        <f>AU!B166</f>
        <v>TBR</v>
      </c>
      <c r="P106" s="11" t="str">
        <f>IR!B166</f>
        <v>TBR</v>
      </c>
    </row>
    <row r="107" spans="1:16" x14ac:dyDescent="0.35">
      <c r="A107" s="34">
        <v>44287</v>
      </c>
      <c r="B107" s="35" t="str">
        <f>Global!B167</f>
        <v>TBR</v>
      </c>
      <c r="C107" s="11">
        <f>US!B303</f>
        <v>62.7</v>
      </c>
      <c r="D107" s="11" t="str">
        <f>CH!B167</f>
        <v>TBR</v>
      </c>
      <c r="E107" s="11" t="str">
        <f>EZ!B167</f>
        <v>TBR</v>
      </c>
      <c r="F107" s="11" t="str">
        <f>JP!B167</f>
        <v>TBR</v>
      </c>
      <c r="G107" s="11" t="str">
        <f>DE!B167</f>
        <v>TBR</v>
      </c>
      <c r="H107" s="11" t="str">
        <f>FR!B167</f>
        <v>TBR</v>
      </c>
      <c r="I107" s="11">
        <f>UK!B166</f>
        <v>61</v>
      </c>
      <c r="J107" s="11" t="str">
        <f>IT!B167</f>
        <v>TBR</v>
      </c>
      <c r="K107" s="11" t="str">
        <f>ES!B167</f>
        <v>TBR</v>
      </c>
      <c r="L107" s="11" t="str">
        <f>BR!B167</f>
        <v>TBR</v>
      </c>
      <c r="M107" s="11" t="str">
        <f>RS!B167</f>
        <v>TBR</v>
      </c>
      <c r="N107" s="11" t="str">
        <f>IN!B167</f>
        <v>TBR</v>
      </c>
      <c r="O107" s="11" t="str">
        <f>AU!B167</f>
        <v>TBR</v>
      </c>
      <c r="P107" s="11" t="str">
        <f>IR!B167</f>
        <v>TBR</v>
      </c>
    </row>
    <row r="108" spans="1:16" x14ac:dyDescent="0.35">
      <c r="A108" s="34">
        <v>44317</v>
      </c>
      <c r="B108" s="35" t="str">
        <f>Global!B168</f>
        <v>TBR</v>
      </c>
      <c r="C108" s="11">
        <f>US!B304</f>
        <v>62.7</v>
      </c>
      <c r="D108" s="11" t="str">
        <f>CH!B168</f>
        <v>TBR</v>
      </c>
      <c r="E108" s="11" t="str">
        <f>EZ!B168</f>
        <v>TBR</v>
      </c>
      <c r="F108" s="11" t="str">
        <f>JP!B168</f>
        <v>TBR</v>
      </c>
      <c r="G108" s="11" t="str">
        <f>DE!B168</f>
        <v>TBR</v>
      </c>
      <c r="H108" s="11" t="str">
        <f>FR!B168</f>
        <v>TBR</v>
      </c>
      <c r="I108" s="11">
        <f>UK!B167</f>
        <v>62.9</v>
      </c>
      <c r="J108" s="11" t="str">
        <f>IT!B168</f>
        <v>TBR</v>
      </c>
      <c r="K108" s="11" t="str">
        <f>ES!B168</f>
        <v>TBR</v>
      </c>
      <c r="L108" s="11" t="str">
        <f>BR!B168</f>
        <v>TBR</v>
      </c>
      <c r="M108" s="11" t="str">
        <f>RS!B168</f>
        <v>TBR</v>
      </c>
      <c r="N108" s="11" t="str">
        <f>IN!B168</f>
        <v>TBR</v>
      </c>
      <c r="O108" s="11" t="str">
        <f>AU!B168</f>
        <v>TBR</v>
      </c>
      <c r="P108" s="11" t="str">
        <f>IR!B168</f>
        <v>TBR</v>
      </c>
    </row>
    <row r="109" spans="1:16" x14ac:dyDescent="0.35">
      <c r="A109" s="34">
        <v>44348</v>
      </c>
      <c r="B109" s="35" t="str">
        <f>Global!B169</f>
        <v>TBR</v>
      </c>
      <c r="C109" s="11">
        <f>US!B305</f>
        <v>60.1</v>
      </c>
      <c r="D109" s="11" t="str">
        <f>CH!B169</f>
        <v>TBR</v>
      </c>
      <c r="E109" s="11" t="str">
        <f>EZ!B169</f>
        <v>TBR</v>
      </c>
      <c r="F109" s="11" t="str">
        <f>JP!B169</f>
        <v>TBR</v>
      </c>
      <c r="G109" s="11" t="str">
        <f>DE!B169</f>
        <v>TBR</v>
      </c>
      <c r="H109" s="11" t="str">
        <f>FR!B169</f>
        <v>TBR</v>
      </c>
      <c r="I109" s="11">
        <f>UK!B168</f>
        <v>62.4</v>
      </c>
      <c r="J109" s="11" t="str">
        <f>IT!B169</f>
        <v>TBR</v>
      </c>
      <c r="K109" s="11" t="str">
        <f>ES!B169</f>
        <v>TBR</v>
      </c>
      <c r="L109" s="11" t="str">
        <f>BR!B169</f>
        <v>TBR</v>
      </c>
      <c r="M109" s="11" t="str">
        <f>RS!B169</f>
        <v>TBR</v>
      </c>
      <c r="N109" s="11" t="str">
        <f>IN!B169</f>
        <v>TBR</v>
      </c>
      <c r="O109" s="11" t="str">
        <f>AU!B169</f>
        <v>TBR</v>
      </c>
      <c r="P109" s="11" t="str">
        <f>IR!B169</f>
        <v>TBR</v>
      </c>
    </row>
    <row r="110" spans="1:16" x14ac:dyDescent="0.35">
      <c r="A110" s="34">
        <v>44378</v>
      </c>
      <c r="B110" s="35" t="str">
        <f>Global!B170</f>
        <v>TBR</v>
      </c>
      <c r="C110" s="11">
        <f>US!B306</f>
        <v>64.099999999999994</v>
      </c>
      <c r="D110" s="11" t="str">
        <f>CH!B170</f>
        <v>TBR</v>
      </c>
      <c r="E110" s="11" t="str">
        <f>EZ!B170</f>
        <v>TBR</v>
      </c>
      <c r="F110" s="11" t="str">
        <f>JP!B170</f>
        <v>TBR</v>
      </c>
      <c r="G110" s="11" t="str">
        <f>DE!B170</f>
        <v>TBR</v>
      </c>
      <c r="H110" s="11" t="str">
        <f>FR!B170</f>
        <v>TBR</v>
      </c>
      <c r="I110" s="11">
        <f>UK!B169</f>
        <v>59.6</v>
      </c>
      <c r="J110" s="11" t="str">
        <f>IT!B170</f>
        <v>TBR</v>
      </c>
      <c r="K110" s="11" t="str">
        <f>ES!B170</f>
        <v>TBR</v>
      </c>
      <c r="L110" s="11" t="str">
        <f>BR!B170</f>
        <v>TBR</v>
      </c>
      <c r="M110" s="11" t="str">
        <f>RS!B170</f>
        <v>TBR</v>
      </c>
      <c r="N110" s="11" t="str">
        <f>IN!B170</f>
        <v>TBR</v>
      </c>
      <c r="O110" s="11" t="str">
        <f>AU!B170</f>
        <v>TBR</v>
      </c>
      <c r="P110" s="11" t="str">
        <f>IR!B170</f>
        <v>TBR</v>
      </c>
    </row>
    <row r="111" spans="1:16" x14ac:dyDescent="0.35">
      <c r="A111" s="34">
        <v>44409</v>
      </c>
      <c r="B111" s="35" t="str">
        <f>Global!B171</f>
        <v>TBR</v>
      </c>
      <c r="C111" s="11">
        <f>US!B307</f>
        <v>64.099999999999994</v>
      </c>
      <c r="D111" s="11" t="str">
        <f>CH!B171</f>
        <v>TBR</v>
      </c>
      <c r="E111" s="11" t="str">
        <f>EZ!B171</f>
        <v>TBR</v>
      </c>
      <c r="F111" s="11" t="str">
        <f>JP!B171</f>
        <v>TBR</v>
      </c>
      <c r="G111" s="11" t="str">
        <f>DE!B171</f>
        <v>TBR</v>
      </c>
      <c r="H111" s="11" t="str">
        <f>FR!B171</f>
        <v>TBR</v>
      </c>
      <c r="I111" s="11">
        <f>UK!B170</f>
        <v>55</v>
      </c>
      <c r="J111" s="11" t="str">
        <f>IT!B171</f>
        <v>TBR</v>
      </c>
      <c r="K111" s="11" t="str">
        <f>ES!B171</f>
        <v>TBR</v>
      </c>
      <c r="L111" s="11" t="str">
        <f>BR!B171</f>
        <v>TBR</v>
      </c>
      <c r="M111" s="11" t="str">
        <f>RS!B171</f>
        <v>TBR</v>
      </c>
      <c r="N111" s="11" t="str">
        <f>IN!B171</f>
        <v>TBR</v>
      </c>
      <c r="O111" s="11" t="str">
        <f>AU!B171</f>
        <v>TBR</v>
      </c>
      <c r="P111" s="11" t="str">
        <f>IR!B171</f>
        <v>TBR</v>
      </c>
    </row>
    <row r="112" spans="1:16" x14ac:dyDescent="0.35">
      <c r="A112" s="34">
        <v>44440</v>
      </c>
      <c r="B112" s="35" t="str">
        <f>Global!B172</f>
        <v>TBR</v>
      </c>
      <c r="C112" s="11">
        <f>US!B308</f>
        <v>61.9</v>
      </c>
      <c r="D112" s="11" t="str">
        <f>CH!B172</f>
        <v>TBR</v>
      </c>
      <c r="E112" s="11" t="str">
        <f>EZ!B172</f>
        <v>TBR</v>
      </c>
      <c r="F112" s="11" t="str">
        <f>JP!B172</f>
        <v>TBR</v>
      </c>
      <c r="G112" s="11" t="str">
        <f>DE!B172</f>
        <v>TBR</v>
      </c>
      <c r="H112" s="11" t="str">
        <f>FR!B172</f>
        <v>TBR</v>
      </c>
      <c r="I112" s="11">
        <f>UK!B171</f>
        <v>55.4</v>
      </c>
      <c r="J112" s="11" t="str">
        <f>IT!B172</f>
        <v>TBR</v>
      </c>
      <c r="K112" s="11" t="str">
        <f>ES!B172</f>
        <v>TBR</v>
      </c>
      <c r="L112" s="11" t="str">
        <f>BR!B172</f>
        <v>TBR</v>
      </c>
      <c r="M112" s="11" t="str">
        <f>RS!B172</f>
        <v>TBR</v>
      </c>
      <c r="N112" s="11" t="str">
        <f>IN!B172</f>
        <v>TBR</v>
      </c>
      <c r="O112" s="11" t="str">
        <f>AU!B172</f>
        <v>TBR</v>
      </c>
      <c r="P112" s="11" t="str">
        <f>IR!B172</f>
        <v>TBR</v>
      </c>
    </row>
    <row r="113" spans="1:16" x14ac:dyDescent="0.35">
      <c r="A113" s="34">
        <v>44470</v>
      </c>
      <c r="B113" s="35" t="str">
        <f>Global!B173</f>
        <v>TBR</v>
      </c>
      <c r="C113" s="11">
        <f>US!B309</f>
        <v>66.7</v>
      </c>
      <c r="D113" s="11" t="str">
        <f>CH!B173</f>
        <v>TBR</v>
      </c>
      <c r="E113" s="11" t="str">
        <f>EZ!B173</f>
        <v>TBR</v>
      </c>
      <c r="F113" s="11" t="str">
        <f>JP!B173</f>
        <v>TBR</v>
      </c>
      <c r="G113" s="11" t="str">
        <f>DE!B173</f>
        <v>TBR</v>
      </c>
      <c r="H113" s="11" t="str">
        <f>FR!B173</f>
        <v>TBR</v>
      </c>
      <c r="I113" s="11">
        <f>UK!B172</f>
        <v>59.1</v>
      </c>
      <c r="J113" s="11" t="str">
        <f>IT!B173</f>
        <v>TBR</v>
      </c>
      <c r="K113" s="11" t="str">
        <f>ES!B173</f>
        <v>TBR</v>
      </c>
      <c r="L113" s="11" t="str">
        <f>BR!B173</f>
        <v>TBR</v>
      </c>
      <c r="M113" s="11" t="str">
        <f>RS!B173</f>
        <v>TBR</v>
      </c>
      <c r="N113" s="11" t="str">
        <f>IN!B173</f>
        <v>TBR</v>
      </c>
      <c r="O113" s="11" t="str">
        <f>AU!B173</f>
        <v>TBR</v>
      </c>
      <c r="P113" s="11" t="str">
        <f>IR!B173</f>
        <v>TBR</v>
      </c>
    </row>
    <row r="114" spans="1:16" x14ac:dyDescent="0.35">
      <c r="A114" s="34">
        <v>44501</v>
      </c>
      <c r="B114" s="35" t="str">
        <f>Global!B174</f>
        <v>TBR</v>
      </c>
      <c r="C114" s="11">
        <f>US!B310</f>
        <v>67.599999999999994</v>
      </c>
      <c r="D114" s="11" t="str">
        <f>CH!B174</f>
        <v>TBR</v>
      </c>
      <c r="E114" s="11" t="str">
        <f>EZ!B174</f>
        <v>TBR</v>
      </c>
      <c r="F114" s="11" t="str">
        <f>JP!B174</f>
        <v>TBR</v>
      </c>
      <c r="G114" s="11" t="str">
        <f>DE!B174</f>
        <v>TBR</v>
      </c>
      <c r="H114" s="11" t="str">
        <f>FR!B174</f>
        <v>TBR</v>
      </c>
      <c r="I114" s="11">
        <f>UK!B173</f>
        <v>58.5</v>
      </c>
      <c r="J114" s="11" t="str">
        <f>IT!B174</f>
        <v>TBR</v>
      </c>
      <c r="K114" s="11" t="str">
        <f>ES!B174</f>
        <v>TBR</v>
      </c>
      <c r="L114" s="11" t="str">
        <f>BR!B174</f>
        <v>TBR</v>
      </c>
      <c r="M114" s="11" t="str">
        <f>RS!B174</f>
        <v>TBR</v>
      </c>
      <c r="N114" s="11" t="str">
        <f>IN!B174</f>
        <v>TBR</v>
      </c>
      <c r="O114" s="11" t="str">
        <f>AU!B174</f>
        <v>TBR</v>
      </c>
      <c r="P114" s="11" t="str">
        <f>IR!B174</f>
        <v>TBR</v>
      </c>
    </row>
    <row r="115" spans="1:16" x14ac:dyDescent="0.35">
      <c r="A115" s="34">
        <v>44531</v>
      </c>
      <c r="B115" s="35" t="str">
        <f>Global!B175</f>
        <v>TBR</v>
      </c>
      <c r="C115" s="11">
        <f>US!B311</f>
        <v>62.3</v>
      </c>
      <c r="D115" s="11" t="str">
        <f>CH!B175</f>
        <v>TBR</v>
      </c>
      <c r="E115" s="11" t="str">
        <f>EZ!B175</f>
        <v>TBR</v>
      </c>
      <c r="F115" s="11" t="str">
        <f>JP!B175</f>
        <v>TBR</v>
      </c>
      <c r="G115" s="11" t="str">
        <f>DE!B175</f>
        <v>TBR</v>
      </c>
      <c r="H115" s="11" t="str">
        <f>FR!B175</f>
        <v>TBR</v>
      </c>
      <c r="I115" s="11">
        <f>UK!B174</f>
        <v>53.6</v>
      </c>
      <c r="J115" s="11" t="str">
        <f>IT!B175</f>
        <v>TBR</v>
      </c>
      <c r="K115" s="11" t="str">
        <f>ES!B175</f>
        <v>TBR</v>
      </c>
      <c r="L115" s="11" t="str">
        <f>BR!B175</f>
        <v>TBR</v>
      </c>
      <c r="M115" s="11" t="str">
        <f>RS!B175</f>
        <v>TBR</v>
      </c>
      <c r="N115" s="11" t="str">
        <f>IN!B175</f>
        <v>TBR</v>
      </c>
      <c r="O115" s="11" t="str">
        <f>AU!B175</f>
        <v>TBR</v>
      </c>
      <c r="P115" s="11" t="str">
        <f>IR!B175</f>
        <v>TBR</v>
      </c>
    </row>
    <row r="116" spans="1:16" x14ac:dyDescent="0.35">
      <c r="A116" s="34">
        <v>44562</v>
      </c>
      <c r="B116" s="35" t="str">
        <f>Global!B176</f>
        <v>TBR</v>
      </c>
      <c r="C116" s="11">
        <f>US!B312</f>
        <v>62.3</v>
      </c>
      <c r="D116" s="11" t="str">
        <f>CH!B176</f>
        <v>TBR</v>
      </c>
      <c r="E116" s="11" t="str">
        <f>EZ!B176</f>
        <v>TBR</v>
      </c>
      <c r="F116" s="11" t="str">
        <f>JP!B176</f>
        <v>TBR</v>
      </c>
      <c r="G116" s="11" t="str">
        <f>DE!B176</f>
        <v>TBR</v>
      </c>
      <c r="H116" s="11" t="str">
        <f>FR!B176</f>
        <v>TBR</v>
      </c>
      <c r="I116" s="11">
        <f>UK!B175</f>
        <v>54.1</v>
      </c>
      <c r="J116" s="11" t="str">
        <f>IT!B176</f>
        <v>TBR</v>
      </c>
      <c r="K116" s="11" t="str">
        <f>ES!B176</f>
        <v>TBR</v>
      </c>
      <c r="L116" s="11" t="str">
        <f>BR!B176</f>
        <v>TBR</v>
      </c>
      <c r="M116" s="11" t="str">
        <f>RS!B176</f>
        <v>TBR</v>
      </c>
      <c r="N116" s="11" t="str">
        <f>IN!B176</f>
        <v>TBR</v>
      </c>
      <c r="O116" s="11" t="str">
        <f>AU!B176</f>
        <v>TBR</v>
      </c>
      <c r="P116" s="11" t="str">
        <f>IR!B176</f>
        <v>TBR</v>
      </c>
    </row>
    <row r="117" spans="1:16" x14ac:dyDescent="0.35">
      <c r="A117" s="34">
        <v>44593</v>
      </c>
      <c r="B117" s="35" t="str">
        <f>Global!B177</f>
        <v>TBR</v>
      </c>
      <c r="C117" s="11">
        <f>US!B313</f>
        <v>56.5</v>
      </c>
      <c r="D117" s="11" t="str">
        <f>CH!B177</f>
        <v>TBR</v>
      </c>
      <c r="E117" s="11" t="str">
        <f>EZ!B177</f>
        <v>TBR</v>
      </c>
      <c r="F117" s="11" t="str">
        <f>JP!B177</f>
        <v>TBR</v>
      </c>
      <c r="G117" s="11" t="str">
        <f>DE!B177</f>
        <v>TBR</v>
      </c>
      <c r="H117" s="11" t="str">
        <f>FR!B177</f>
        <v>TBR</v>
      </c>
      <c r="I117" s="11">
        <f>UK!B176</f>
        <v>60.5</v>
      </c>
      <c r="J117" s="11" t="str">
        <f>IT!B177</f>
        <v>TBR</v>
      </c>
      <c r="K117" s="11" t="str">
        <f>ES!B177</f>
        <v>TBR</v>
      </c>
      <c r="L117" s="11" t="str">
        <f>BR!B177</f>
        <v>TBR</v>
      </c>
      <c r="M117" s="11" t="str">
        <f>RS!B177</f>
        <v>TBR</v>
      </c>
      <c r="N117" s="11" t="str">
        <f>IN!B177</f>
        <v>TBR</v>
      </c>
      <c r="O117" s="11" t="str">
        <f>AU!B177</f>
        <v>TBR</v>
      </c>
      <c r="P117" s="11" t="str">
        <f>IR!B177</f>
        <v>TBR</v>
      </c>
    </row>
    <row r="118" spans="1:16" x14ac:dyDescent="0.35">
      <c r="A118" s="34">
        <v>44621</v>
      </c>
      <c r="B118" s="35" t="str">
        <f>Global!B178</f>
        <v>TBR</v>
      </c>
      <c r="C118" s="11">
        <f>US!B314</f>
        <v>58.3</v>
      </c>
      <c r="D118" s="11" t="str">
        <f>CH!B178</f>
        <v>TBR</v>
      </c>
      <c r="E118" s="11" t="str">
        <f>EZ!B178</f>
        <v>TBR</v>
      </c>
      <c r="F118" s="11" t="str">
        <f>JP!B178</f>
        <v>TBR</v>
      </c>
      <c r="G118" s="11" t="str">
        <f>DE!B178</f>
        <v>TBR</v>
      </c>
      <c r="H118" s="11" t="str">
        <f>FR!B178</f>
        <v>TBR</v>
      </c>
      <c r="I118" s="11">
        <f>UK!B177</f>
        <v>62.6</v>
      </c>
      <c r="J118" s="11" t="str">
        <f>IT!B178</f>
        <v>TBR</v>
      </c>
      <c r="K118" s="11" t="str">
        <f>ES!B178</f>
        <v>TBR</v>
      </c>
      <c r="L118" s="11" t="str">
        <f>BR!B178</f>
        <v>TBR</v>
      </c>
      <c r="M118" s="11" t="str">
        <f>RS!B178</f>
        <v>TBR</v>
      </c>
      <c r="N118" s="11" t="str">
        <f>IN!B178</f>
        <v>TBR</v>
      </c>
      <c r="O118" s="11" t="str">
        <f>AU!B178</f>
        <v>TBR</v>
      </c>
      <c r="P118" s="11" t="str">
        <f>IR!B178</f>
        <v>TBR</v>
      </c>
    </row>
    <row r="119" spans="1:16" x14ac:dyDescent="0.35">
      <c r="A119" s="34">
        <v>44652</v>
      </c>
      <c r="B119" s="35" t="str">
        <f>Global!B179</f>
        <v>TBR</v>
      </c>
      <c r="C119" s="11">
        <f>US!B315</f>
        <v>57.1</v>
      </c>
      <c r="D119" s="11" t="str">
        <f>CH!B179</f>
        <v>TBR</v>
      </c>
      <c r="E119" s="11" t="str">
        <f>EZ!B179</f>
        <v>TBR</v>
      </c>
      <c r="F119" s="11" t="str">
        <f>JP!B179</f>
        <v>TBR</v>
      </c>
      <c r="G119" s="11" t="str">
        <f>DE!B179</f>
        <v>TBR</v>
      </c>
      <c r="H119" s="11" t="str">
        <f>FR!B179</f>
        <v>TBR</v>
      </c>
      <c r="I119" s="11">
        <f>UK!B178</f>
        <v>58.9</v>
      </c>
      <c r="J119" s="11" t="str">
        <f>IT!B179</f>
        <v>TBR</v>
      </c>
      <c r="K119" s="11" t="str">
        <f>ES!B179</f>
        <v>TBR</v>
      </c>
      <c r="L119" s="11" t="str">
        <f>BR!B179</f>
        <v>TBR</v>
      </c>
      <c r="M119" s="11" t="str">
        <f>RS!B179</f>
        <v>TBR</v>
      </c>
      <c r="N119" s="11" t="str">
        <f>IN!B179</f>
        <v>TBR</v>
      </c>
      <c r="O119" s="11" t="str">
        <f>AU!B179</f>
        <v>TBR</v>
      </c>
      <c r="P119" s="11" t="str">
        <f>IR!B179</f>
        <v>TBR</v>
      </c>
    </row>
    <row r="120" spans="1:16" x14ac:dyDescent="0.35">
      <c r="A120" s="34">
        <v>44682</v>
      </c>
      <c r="B120" s="35" t="str">
        <f>Global!B180</f>
        <v>TBR</v>
      </c>
      <c r="C120" s="11">
        <f>US!B316</f>
        <v>57.1</v>
      </c>
      <c r="D120" s="11" t="str">
        <f>CH!B180</f>
        <v>TBR</v>
      </c>
      <c r="E120" s="11" t="str">
        <f>EZ!B180</f>
        <v>TBR</v>
      </c>
      <c r="F120" s="11" t="str">
        <f>JP!B180</f>
        <v>TBR</v>
      </c>
      <c r="G120" s="11" t="str">
        <f>DE!B180</f>
        <v>TBR</v>
      </c>
      <c r="H120" s="11" t="str">
        <f>FR!B180</f>
        <v>TBR</v>
      </c>
      <c r="I120" s="11">
        <f>UK!B179</f>
        <v>53.4</v>
      </c>
      <c r="J120" s="11" t="str">
        <f>IT!B180</f>
        <v>TBR</v>
      </c>
      <c r="K120" s="11" t="str">
        <f>ES!B180</f>
        <v>TBR</v>
      </c>
      <c r="L120" s="11" t="str">
        <f>BR!B180</f>
        <v>TBR</v>
      </c>
      <c r="M120" s="11" t="str">
        <f>RS!B180</f>
        <v>TBR</v>
      </c>
      <c r="N120" s="11" t="str">
        <f>IN!B180</f>
        <v>TBR</v>
      </c>
      <c r="O120" s="11" t="str">
        <f>AU!B180</f>
        <v>TBR</v>
      </c>
      <c r="P120" s="11" t="str">
        <f>IR!B180</f>
        <v>TBR</v>
      </c>
    </row>
    <row r="121" spans="1:16" x14ac:dyDescent="0.35">
      <c r="A121" s="34">
        <v>44713</v>
      </c>
      <c r="B121" s="35" t="str">
        <f>Global!B181</f>
        <v>TBR</v>
      </c>
      <c r="C121" s="11">
        <f>US!B317</f>
        <v>55.3</v>
      </c>
      <c r="D121" s="11" t="str">
        <f>CH!B181</f>
        <v>TBR</v>
      </c>
      <c r="E121" s="11" t="str">
        <f>EZ!B181</f>
        <v>TBR</v>
      </c>
      <c r="F121" s="11" t="str">
        <f>JP!B181</f>
        <v>TBR</v>
      </c>
      <c r="G121" s="11" t="str">
        <f>DE!B181</f>
        <v>TBR</v>
      </c>
      <c r="H121" s="11" t="str">
        <f>FR!B181</f>
        <v>TBR</v>
      </c>
      <c r="I121" s="11">
        <f>UK!B180</f>
        <v>54.3</v>
      </c>
      <c r="J121" s="11" t="str">
        <f>IT!B181</f>
        <v>TBR</v>
      </c>
      <c r="K121" s="11" t="str">
        <f>ES!B181</f>
        <v>TBR</v>
      </c>
      <c r="L121" s="11" t="str">
        <f>BR!B181</f>
        <v>TBR</v>
      </c>
      <c r="M121" s="11" t="str">
        <f>RS!B181</f>
        <v>TBR</v>
      </c>
      <c r="N121" s="11" t="str">
        <f>IN!B181</f>
        <v>TBR</v>
      </c>
      <c r="O121" s="11" t="str">
        <f>AU!B181</f>
        <v>TBR</v>
      </c>
      <c r="P121" s="11" t="str">
        <f>IR!B181</f>
        <v>TBR</v>
      </c>
    </row>
    <row r="122" spans="1:16" x14ac:dyDescent="0.35">
      <c r="A122" s="34">
        <v>44743</v>
      </c>
      <c r="B122" s="35" t="str">
        <f>Global!B182</f>
        <v>TBR</v>
      </c>
      <c r="C122" s="11">
        <f>US!B318</f>
        <v>56.7</v>
      </c>
      <c r="D122" s="11" t="str">
        <f>CH!B182</f>
        <v>TBR</v>
      </c>
      <c r="E122" s="11" t="str">
        <f>EZ!B182</f>
        <v>TBR</v>
      </c>
      <c r="F122" s="11" t="str">
        <f>JP!B182</f>
        <v>TBR</v>
      </c>
      <c r="G122" s="11" t="str">
        <f>DE!B182</f>
        <v>TBR</v>
      </c>
      <c r="H122" s="11" t="str">
        <f>FR!B182</f>
        <v>TBR</v>
      </c>
      <c r="I122" s="11">
        <f>UK!B181</f>
        <v>52.6</v>
      </c>
      <c r="J122" s="11" t="str">
        <f>IT!B182</f>
        <v>TBR</v>
      </c>
      <c r="K122" s="11" t="str">
        <f>ES!B182</f>
        <v>TBR</v>
      </c>
      <c r="L122" s="11" t="str">
        <f>BR!B182</f>
        <v>TBR</v>
      </c>
      <c r="M122" s="11" t="str">
        <f>RS!B182</f>
        <v>TBR</v>
      </c>
      <c r="N122" s="11" t="str">
        <f>IN!B182</f>
        <v>TBR</v>
      </c>
      <c r="O122" s="11" t="str">
        <f>AU!B182</f>
        <v>TBR</v>
      </c>
      <c r="P122" s="11" t="str">
        <f>IR!B182</f>
        <v>TBR</v>
      </c>
    </row>
    <row r="123" spans="1:16" x14ac:dyDescent="0.35">
      <c r="A123" s="34">
        <v>44774</v>
      </c>
      <c r="B123" s="35" t="str">
        <f>Global!B183</f>
        <v>TBR</v>
      </c>
      <c r="C123" s="11">
        <f>US!B319</f>
        <v>56.9</v>
      </c>
      <c r="D123" s="11" t="str">
        <f>CH!B183</f>
        <v>TBR</v>
      </c>
      <c r="E123" s="11" t="str">
        <f>EZ!B183</f>
        <v>TBR</v>
      </c>
      <c r="F123" s="11" t="str">
        <f>JP!B183</f>
        <v>TBR</v>
      </c>
      <c r="G123" s="11" t="str">
        <f>DE!B183</f>
        <v>TBR</v>
      </c>
      <c r="H123" s="11" t="str">
        <f>FR!B183</f>
        <v>TBR</v>
      </c>
      <c r="I123" s="11">
        <f>UK!B182</f>
        <v>50.9</v>
      </c>
      <c r="J123" s="11" t="str">
        <f>IT!B183</f>
        <v>TBR</v>
      </c>
      <c r="K123" s="11" t="str">
        <f>ES!B183</f>
        <v>TBR</v>
      </c>
      <c r="L123" s="11" t="str">
        <f>BR!B183</f>
        <v>TBR</v>
      </c>
      <c r="M123" s="11" t="str">
        <f>RS!B183</f>
        <v>TBR</v>
      </c>
      <c r="N123" s="11" t="str">
        <f>IN!B183</f>
        <v>TBR</v>
      </c>
      <c r="O123" s="11" t="str">
        <f>AU!B183</f>
        <v>TBR</v>
      </c>
      <c r="P123" s="11" t="str">
        <f>IR!B183</f>
        <v>TBR</v>
      </c>
    </row>
    <row r="124" spans="1:16" x14ac:dyDescent="0.35">
      <c r="A124" s="34">
        <v>44805</v>
      </c>
      <c r="B124" s="35" t="str">
        <f>Global!B184</f>
        <v>TBR</v>
      </c>
      <c r="C124" s="11">
        <f>US!B320</f>
        <v>56.7</v>
      </c>
      <c r="D124" s="11" t="str">
        <f>CH!B184</f>
        <v>TBR</v>
      </c>
      <c r="E124" s="11" t="str">
        <f>EZ!B184</f>
        <v>TBR</v>
      </c>
      <c r="F124" s="11" t="str">
        <f>JP!B184</f>
        <v>TBR</v>
      </c>
      <c r="G124" s="11" t="str">
        <f>DE!B184</f>
        <v>TBR</v>
      </c>
      <c r="H124" s="11" t="str">
        <f>FR!B184</f>
        <v>TBR</v>
      </c>
      <c r="I124" s="11">
        <f>UK!B183</f>
        <v>50</v>
      </c>
      <c r="J124" s="11" t="str">
        <f>IT!B184</f>
        <v>TBR</v>
      </c>
      <c r="K124" s="11" t="str">
        <f>ES!B184</f>
        <v>TBR</v>
      </c>
      <c r="L124" s="11" t="str">
        <f>BR!B184</f>
        <v>TBR</v>
      </c>
      <c r="M124" s="11" t="str">
        <f>RS!B184</f>
        <v>TBR</v>
      </c>
      <c r="N124" s="11" t="str">
        <f>IN!B184</f>
        <v>TBR</v>
      </c>
      <c r="O124" s="11" t="str">
        <f>AU!B184</f>
        <v>TBR</v>
      </c>
      <c r="P124" s="11" t="str">
        <f>IR!B184</f>
        <v>TBR</v>
      </c>
    </row>
    <row r="125" spans="1:16" x14ac:dyDescent="0.35">
      <c r="A125" s="34">
        <v>44835</v>
      </c>
      <c r="B125" s="35" t="str">
        <f>Global!B185</f>
        <v>TBR</v>
      </c>
      <c r="C125" s="11">
        <f>US!B321</f>
        <v>56.7</v>
      </c>
      <c r="D125" s="11" t="str">
        <f>CH!B185</f>
        <v>TBR</v>
      </c>
      <c r="E125" s="11" t="str">
        <f>EZ!B185</f>
        <v>TBR</v>
      </c>
      <c r="F125" s="11" t="str">
        <f>JP!B185</f>
        <v>TBR</v>
      </c>
      <c r="G125" s="11" t="str">
        <f>DE!B185</f>
        <v>TBR</v>
      </c>
      <c r="H125" s="11" t="str">
        <f>FR!B185</f>
        <v>TBR</v>
      </c>
      <c r="I125" s="11">
        <f>UK!B184</f>
        <v>48.8</v>
      </c>
      <c r="J125" s="11" t="str">
        <f>IT!B185</f>
        <v>TBR</v>
      </c>
      <c r="K125" s="11" t="str">
        <f>ES!B185</f>
        <v>TBR</v>
      </c>
      <c r="L125" s="11" t="str">
        <f>BR!B185</f>
        <v>TBR</v>
      </c>
      <c r="M125" s="11" t="str">
        <f>RS!B185</f>
        <v>TBR</v>
      </c>
      <c r="N125" s="11" t="str">
        <f>IN!B185</f>
        <v>TBR</v>
      </c>
      <c r="O125" s="11" t="str">
        <f>AU!B185</f>
        <v>TBR</v>
      </c>
      <c r="P125" s="11" t="str">
        <f>IR!B185</f>
        <v>TBR</v>
      </c>
    </row>
    <row r="126" spans="1:16" x14ac:dyDescent="0.35">
      <c r="A126" s="34">
        <v>44866</v>
      </c>
      <c r="B126" s="35" t="str">
        <f>Global!B186</f>
        <v>TBR</v>
      </c>
      <c r="C126" s="11">
        <f>US!B322</f>
        <v>56.5</v>
      </c>
      <c r="D126" s="11" t="str">
        <f>CH!B186</f>
        <v>TBR</v>
      </c>
      <c r="E126" s="11" t="str">
        <f>EZ!B186</f>
        <v>TBR</v>
      </c>
      <c r="F126" s="11" t="str">
        <f>JP!B186</f>
        <v>TBR</v>
      </c>
      <c r="G126" s="11" t="str">
        <f>DE!B186</f>
        <v>TBR</v>
      </c>
      <c r="H126" s="11" t="str">
        <f>FR!B186</f>
        <v>TBR</v>
      </c>
      <c r="I126" s="11">
        <f>UK!B185</f>
        <v>48.8</v>
      </c>
      <c r="J126" s="11" t="str">
        <f>IT!B186</f>
        <v>TBR</v>
      </c>
      <c r="K126" s="11" t="str">
        <f>ES!B186</f>
        <v>TBR</v>
      </c>
      <c r="L126" s="11" t="str">
        <f>BR!B186</f>
        <v>TBR</v>
      </c>
      <c r="M126" s="11" t="str">
        <f>RS!B186</f>
        <v>TBR</v>
      </c>
      <c r="N126" s="11" t="str">
        <f>IN!B186</f>
        <v>TBR</v>
      </c>
      <c r="O126" s="11" t="str">
        <f>AU!B186</f>
        <v>TBR</v>
      </c>
      <c r="P126" s="11" t="str">
        <f>IR!B186</f>
        <v>TBR</v>
      </c>
    </row>
    <row r="127" spans="1:16" x14ac:dyDescent="0.35">
      <c r="A127" s="34">
        <v>44896</v>
      </c>
      <c r="B127" s="35" t="str">
        <f>Global!B187</f>
        <v>TBR</v>
      </c>
      <c r="C127" s="11">
        <f>US!B323</f>
        <v>49.2</v>
      </c>
      <c r="D127" s="11" t="str">
        <f>CH!B187</f>
        <v>TBR</v>
      </c>
      <c r="E127" s="11" t="str">
        <f>EZ!B187</f>
        <v>TBR</v>
      </c>
      <c r="F127" s="11" t="str">
        <f>JP!B187</f>
        <v>TBR</v>
      </c>
      <c r="G127" s="11" t="str">
        <f>DE!B187</f>
        <v>TBR</v>
      </c>
      <c r="H127" s="11" t="str">
        <f>FR!B187</f>
        <v>TBR</v>
      </c>
      <c r="I127" s="11">
        <f>UK!B186</f>
        <v>49.9</v>
      </c>
      <c r="J127" s="11" t="str">
        <f>IT!B187</f>
        <v>TBR</v>
      </c>
      <c r="K127" s="11" t="str">
        <f>ES!B187</f>
        <v>TBR</v>
      </c>
      <c r="L127" s="11" t="str">
        <f>BR!B187</f>
        <v>TBR</v>
      </c>
      <c r="M127" s="11" t="str">
        <f>RS!B187</f>
        <v>TBR</v>
      </c>
      <c r="N127" s="11" t="str">
        <f>IN!B187</f>
        <v>TBR</v>
      </c>
      <c r="O127" s="11" t="str">
        <f>AU!B187</f>
        <v>TBR</v>
      </c>
      <c r="P127" s="11" t="str">
        <f>IR!B187</f>
        <v>TBR</v>
      </c>
    </row>
    <row r="128" spans="1:16" x14ac:dyDescent="0.35">
      <c r="A128" s="34">
        <v>44927</v>
      </c>
      <c r="B128" s="35" t="str">
        <f>Global!B188</f>
        <v>TBR</v>
      </c>
      <c r="C128" s="11">
        <f>US!B324</f>
        <v>49.2</v>
      </c>
      <c r="D128" s="11" t="str">
        <f>CH!B188</f>
        <v>TBR</v>
      </c>
      <c r="E128" s="11" t="str">
        <f>EZ!B188</f>
        <v>TBR</v>
      </c>
      <c r="F128" s="11" t="str">
        <f>JP!B188</f>
        <v>TBR</v>
      </c>
      <c r="G128" s="11" t="str">
        <f>DE!B188</f>
        <v>TBR</v>
      </c>
      <c r="H128" s="11" t="str">
        <f>FR!B188</f>
        <v>TBR</v>
      </c>
      <c r="I128" s="11">
        <f>UK!B187</f>
        <v>48.7</v>
      </c>
      <c r="J128" s="11" t="str">
        <f>IT!B188</f>
        <v>TBR</v>
      </c>
      <c r="K128" s="11" t="str">
        <f>ES!B188</f>
        <v>TBR</v>
      </c>
      <c r="L128" s="11" t="str">
        <f>BR!B188</f>
        <v>TBR</v>
      </c>
      <c r="M128" s="11" t="str">
        <f>RS!B188</f>
        <v>TBR</v>
      </c>
      <c r="N128" s="11" t="str">
        <f>IN!B188</f>
        <v>TBR</v>
      </c>
      <c r="O128" s="11" t="str">
        <f>AU!B188</f>
        <v>TBR</v>
      </c>
      <c r="P128" s="11" t="str">
        <f>IR!B188</f>
        <v>TBR</v>
      </c>
    </row>
    <row r="129" spans="1:16" x14ac:dyDescent="0.35">
      <c r="A129" s="34">
        <v>44958</v>
      </c>
      <c r="B129" s="35" t="str">
        <f>Global!B189</f>
        <v>TBR</v>
      </c>
      <c r="C129" s="11">
        <f>US!B325</f>
        <v>55.1</v>
      </c>
      <c r="D129" s="11" t="str">
        <f>CH!B189</f>
        <v>TBR</v>
      </c>
      <c r="E129" s="11" t="str">
        <f>EZ!B189</f>
        <v>TBR</v>
      </c>
      <c r="F129" s="11" t="str">
        <f>JP!B189</f>
        <v>TBR</v>
      </c>
      <c r="G129" s="11" t="str">
        <f>DE!B189</f>
        <v>TBR</v>
      </c>
      <c r="H129" s="11" t="str">
        <f>FR!B189</f>
        <v>TBR</v>
      </c>
      <c r="I129" s="11">
        <f>UK!B188</f>
        <v>53.5</v>
      </c>
      <c r="J129" s="11" t="str">
        <f>IT!B189</f>
        <v>TBR</v>
      </c>
      <c r="K129" s="11" t="str">
        <f>ES!B189</f>
        <v>TBR</v>
      </c>
      <c r="L129" s="11" t="str">
        <f>BR!B189</f>
        <v>TBR</v>
      </c>
      <c r="M129" s="11" t="str">
        <f>RS!B189</f>
        <v>TBR</v>
      </c>
      <c r="N129" s="11" t="str">
        <f>IN!B189</f>
        <v>TBR</v>
      </c>
      <c r="O129" s="11" t="str">
        <f>AU!B189</f>
        <v>TBR</v>
      </c>
      <c r="P129" s="11" t="str">
        <f>IR!B189</f>
        <v>TBR</v>
      </c>
    </row>
    <row r="130" spans="1:16" x14ac:dyDescent="0.35">
      <c r="A130" s="34">
        <v>44986</v>
      </c>
      <c r="B130" s="35" t="str">
        <f>Global!B190</f>
        <v>TBR</v>
      </c>
      <c r="C130" s="11">
        <f>US!B326</f>
        <v>51.2</v>
      </c>
      <c r="D130" s="11" t="str">
        <f>CH!B190</f>
        <v>TBR</v>
      </c>
      <c r="E130" s="11" t="str">
        <f>EZ!B190</f>
        <v>TBR</v>
      </c>
      <c r="F130" s="11" t="str">
        <f>JP!B190</f>
        <v>TBR</v>
      </c>
      <c r="G130" s="11" t="str">
        <f>DE!B190</f>
        <v>TBR</v>
      </c>
      <c r="H130" s="11" t="str">
        <f>FR!B190</f>
        <v>TBR</v>
      </c>
      <c r="I130" s="11">
        <f>UK!B189</f>
        <v>52.9</v>
      </c>
      <c r="J130" s="11" t="str">
        <f>IT!B190</f>
        <v>TBR</v>
      </c>
      <c r="K130" s="11" t="str">
        <f>ES!B190</f>
        <v>TBR</v>
      </c>
      <c r="L130" s="11" t="str">
        <f>BR!B190</f>
        <v>TBR</v>
      </c>
      <c r="M130" s="11" t="str">
        <f>RS!B190</f>
        <v>TBR</v>
      </c>
      <c r="N130" s="11" t="str">
        <f>IN!B190</f>
        <v>TBR</v>
      </c>
      <c r="O130" s="11" t="str">
        <f>AU!B190</f>
        <v>TBR</v>
      </c>
      <c r="P130" s="11" t="str">
        <f>IR!B190</f>
        <v>TBR</v>
      </c>
    </row>
    <row r="131" spans="1:16" x14ac:dyDescent="0.35">
      <c r="A131" s="34">
        <v>45017</v>
      </c>
      <c r="B131" s="35" t="str">
        <f>Global!B191</f>
        <v>TBR</v>
      </c>
      <c r="C131" s="11">
        <f>US!B327</f>
        <v>51.2</v>
      </c>
      <c r="D131" s="11" t="str">
        <f>CH!B191</f>
        <v>TBR</v>
      </c>
      <c r="E131" s="11" t="str">
        <f>EZ!B191</f>
        <v>TBR</v>
      </c>
      <c r="F131" s="11" t="str">
        <f>JP!B191</f>
        <v>TBR</v>
      </c>
      <c r="G131" s="11" t="str">
        <f>DE!B191</f>
        <v>TBR</v>
      </c>
      <c r="H131" s="11" t="str">
        <f>FR!B191</f>
        <v>TBR</v>
      </c>
      <c r="I131" s="11">
        <f>UK!B190</f>
        <v>55.9</v>
      </c>
      <c r="J131" s="11" t="str">
        <f>IT!B191</f>
        <v>TBR</v>
      </c>
      <c r="K131" s="11" t="str">
        <f>ES!B191</f>
        <v>TBR</v>
      </c>
      <c r="L131" s="11" t="str">
        <f>BR!B191</f>
        <v>TBR</v>
      </c>
      <c r="M131" s="11" t="str">
        <f>RS!B191</f>
        <v>TBR</v>
      </c>
      <c r="N131" s="11" t="str">
        <f>IN!B191</f>
        <v>TBR</v>
      </c>
      <c r="O131" s="11" t="str">
        <f>AU!B191</f>
        <v>TBR</v>
      </c>
      <c r="P131" s="11" t="str">
        <f>IR!B191</f>
        <v>TBR</v>
      </c>
    </row>
    <row r="132" spans="1:16" x14ac:dyDescent="0.35">
      <c r="A132" s="34">
        <v>45047</v>
      </c>
      <c r="B132" s="35" t="str">
        <f>Global!B192</f>
        <v>TBR</v>
      </c>
      <c r="C132" s="11">
        <f>US!B328</f>
        <v>50.3</v>
      </c>
      <c r="D132" s="11" t="str">
        <f>CH!B192</f>
        <v>TBR</v>
      </c>
      <c r="E132" s="11" t="str">
        <f>EZ!B192</f>
        <v>TBR</v>
      </c>
      <c r="F132" s="11" t="str">
        <f>JP!B192</f>
        <v>TBR</v>
      </c>
      <c r="G132" s="11" t="str">
        <f>DE!B192</f>
        <v>TBR</v>
      </c>
      <c r="H132" s="11" t="str">
        <f>FR!B192</f>
        <v>TBR</v>
      </c>
      <c r="I132" s="11">
        <f>UK!B191</f>
        <v>55.2</v>
      </c>
      <c r="J132" s="11" t="str">
        <f>IT!B192</f>
        <v>TBR</v>
      </c>
      <c r="K132" s="11" t="str">
        <f>ES!B192</f>
        <v>TBR</v>
      </c>
      <c r="L132" s="11" t="str">
        <f>BR!B192</f>
        <v>TBR</v>
      </c>
      <c r="M132" s="11" t="str">
        <f>RS!B192</f>
        <v>TBR</v>
      </c>
      <c r="N132" s="11" t="str">
        <f>IN!B192</f>
        <v>TBR</v>
      </c>
      <c r="O132" s="11" t="str">
        <f>AU!B192</f>
        <v>TBR</v>
      </c>
      <c r="P132" s="11" t="str">
        <f>IR!B192</f>
        <v>TBR</v>
      </c>
    </row>
    <row r="133" spans="1:16" x14ac:dyDescent="0.35">
      <c r="A133" s="34">
        <v>45078</v>
      </c>
      <c r="B133" s="35" t="str">
        <f>Global!B193</f>
        <v>TBR</v>
      </c>
      <c r="C133" s="11">
        <f>US!B329</f>
        <v>53.9</v>
      </c>
      <c r="D133" s="11" t="str">
        <f>CH!B193</f>
        <v>TBR</v>
      </c>
      <c r="E133" s="11" t="str">
        <f>EZ!B193</f>
        <v>TBR</v>
      </c>
      <c r="F133" s="11" t="str">
        <f>JP!B193</f>
        <v>TBR</v>
      </c>
      <c r="G133" s="11" t="str">
        <f>DE!B193</f>
        <v>TBR</v>
      </c>
      <c r="H133" s="11" t="str">
        <f>FR!B193</f>
        <v>TBR</v>
      </c>
      <c r="I133" s="11">
        <f>UK!B192</f>
        <v>53.7</v>
      </c>
      <c r="J133" s="11" t="str">
        <f>IT!B193</f>
        <v>TBR</v>
      </c>
      <c r="K133" s="11" t="str">
        <f>ES!B193</f>
        <v>TBR</v>
      </c>
      <c r="L133" s="11" t="str">
        <f>BR!B193</f>
        <v>TBR</v>
      </c>
      <c r="M133" s="11" t="str">
        <f>RS!B193</f>
        <v>TBR</v>
      </c>
      <c r="N133" s="11" t="str">
        <f>IN!B193</f>
        <v>TBR</v>
      </c>
      <c r="O133" s="11" t="str">
        <f>AU!B193</f>
        <v>TBR</v>
      </c>
      <c r="P133" s="11" t="str">
        <f>IR!B193</f>
        <v>TBR</v>
      </c>
    </row>
    <row r="134" spans="1:16" x14ac:dyDescent="0.35">
      <c r="A134" s="34">
        <v>45108</v>
      </c>
      <c r="B134" s="35" t="str">
        <f>Global!B194</f>
        <v>TBR</v>
      </c>
      <c r="C134" s="11">
        <f>US!B330</f>
        <v>53.9</v>
      </c>
      <c r="D134" s="11" t="str">
        <f>CH!B194</f>
        <v>TBR</v>
      </c>
      <c r="E134" s="11" t="str">
        <f>EZ!B194</f>
        <v>TBR</v>
      </c>
      <c r="F134" s="11" t="str">
        <f>JP!B194</f>
        <v>TBR</v>
      </c>
      <c r="G134" s="11" t="str">
        <f>DE!B194</f>
        <v>TBR</v>
      </c>
      <c r="H134" s="11" t="str">
        <f>FR!B194</f>
        <v>TBR</v>
      </c>
      <c r="I134" s="11">
        <f>UK!B193</f>
        <v>51.5</v>
      </c>
      <c r="J134" s="11" t="str">
        <f>IT!B194</f>
        <v>TBR</v>
      </c>
      <c r="K134" s="11" t="str">
        <f>ES!B194</f>
        <v>TBR</v>
      </c>
      <c r="L134" s="11" t="str">
        <f>BR!B194</f>
        <v>TBR</v>
      </c>
      <c r="M134" s="11" t="str">
        <f>RS!B194</f>
        <v>TBR</v>
      </c>
      <c r="N134" s="11" t="str">
        <f>IN!B194</f>
        <v>TBR</v>
      </c>
      <c r="O134" s="11" t="str">
        <f>AU!B194</f>
        <v>TBR</v>
      </c>
      <c r="P134" s="11" t="str">
        <f>IR!B194</f>
        <v>TBR</v>
      </c>
    </row>
    <row r="135" spans="1:16" x14ac:dyDescent="0.35">
      <c r="A135" s="34">
        <v>45139</v>
      </c>
      <c r="B135" s="35" t="str">
        <f>Global!B195</f>
        <v>TBR</v>
      </c>
      <c r="C135" s="11">
        <f>US!B331</f>
        <v>54.5</v>
      </c>
      <c r="D135" s="11" t="str">
        <f>CH!B195</f>
        <v>TBR</v>
      </c>
      <c r="E135" s="11" t="str">
        <f>EZ!B195</f>
        <v>TBR</v>
      </c>
      <c r="F135" s="11" t="str">
        <f>JP!B195</f>
        <v>TBR</v>
      </c>
      <c r="G135" s="11" t="str">
        <f>DE!B195</f>
        <v>TBR</v>
      </c>
      <c r="H135" s="11" t="str">
        <f>FR!B195</f>
        <v>TBR</v>
      </c>
      <c r="I135" s="11">
        <f>UK!B194</f>
        <v>49.5</v>
      </c>
      <c r="J135" s="11" t="str">
        <f>IT!B195</f>
        <v>TBR</v>
      </c>
      <c r="K135" s="11" t="str">
        <f>ES!B195</f>
        <v>TBR</v>
      </c>
      <c r="L135" s="11" t="str">
        <f>BR!B195</f>
        <v>TBR</v>
      </c>
      <c r="M135" s="11" t="str">
        <f>RS!B195</f>
        <v>TBR</v>
      </c>
      <c r="N135" s="11" t="str">
        <f>IN!B195</f>
        <v>TBR</v>
      </c>
      <c r="O135" s="11" t="str">
        <f>AU!B195</f>
        <v>TBR</v>
      </c>
      <c r="P135" s="11" t="str">
        <f>IR!B195</f>
        <v>TBR</v>
      </c>
    </row>
    <row r="136" spans="1:16" x14ac:dyDescent="0.35">
      <c r="A136" s="34">
        <v>45170</v>
      </c>
      <c r="B136" s="35" t="str">
        <f>Global!B196</f>
        <v>TBR</v>
      </c>
      <c r="C136" s="11">
        <f>US!B332</f>
        <v>53.6</v>
      </c>
      <c r="D136" s="11" t="str">
        <f>CH!B196</f>
        <v>TBR</v>
      </c>
      <c r="E136" s="11" t="str">
        <f>EZ!B196</f>
        <v>TBR</v>
      </c>
      <c r="F136" s="11" t="str">
        <f>JP!B196</f>
        <v>TBR</v>
      </c>
      <c r="G136" s="11" t="str">
        <f>DE!B196</f>
        <v>TBR</v>
      </c>
      <c r="H136" s="11" t="str">
        <f>FR!B196</f>
        <v>TBR</v>
      </c>
      <c r="I136" s="11">
        <f>UK!B195</f>
        <v>49.3</v>
      </c>
      <c r="J136" s="11" t="str">
        <f>IT!B196</f>
        <v>TBR</v>
      </c>
      <c r="K136" s="11" t="str">
        <f>ES!B196</f>
        <v>TBR</v>
      </c>
      <c r="L136" s="11" t="str">
        <f>BR!B196</f>
        <v>TBR</v>
      </c>
      <c r="M136" s="11" t="str">
        <f>RS!B196</f>
        <v>TBR</v>
      </c>
      <c r="N136" s="11" t="str">
        <f>IN!B196</f>
        <v>TBR</v>
      </c>
      <c r="O136" s="11" t="str">
        <f>AU!B196</f>
        <v>TBR</v>
      </c>
      <c r="P136" s="11" t="str">
        <f>IR!B196</f>
        <v>TBR</v>
      </c>
    </row>
    <row r="137" spans="1:16" x14ac:dyDescent="0.35">
      <c r="A137" s="34">
        <v>45200</v>
      </c>
      <c r="B137" s="35" t="str">
        <f>Global!B197</f>
        <v>TBR</v>
      </c>
      <c r="C137" s="11">
        <f>US!B333</f>
        <v>53.6</v>
      </c>
      <c r="D137" s="11" t="str">
        <f>CH!B197</f>
        <v>TBR</v>
      </c>
      <c r="E137" s="11" t="str">
        <f>EZ!B197</f>
        <v>TBR</v>
      </c>
      <c r="F137" s="11" t="str">
        <f>JP!B197</f>
        <v>TBR</v>
      </c>
      <c r="G137" s="11" t="str">
        <f>DE!B197</f>
        <v>TBR</v>
      </c>
      <c r="H137" s="11" t="str">
        <f>FR!B197</f>
        <v>TBR</v>
      </c>
      <c r="I137" s="11">
        <f>UK!B196</f>
        <v>49.5</v>
      </c>
      <c r="J137" s="11" t="str">
        <f>IT!B197</f>
        <v>TBR</v>
      </c>
      <c r="K137" s="11" t="str">
        <f>ES!B197</f>
        <v>TBR</v>
      </c>
      <c r="L137" s="11" t="str">
        <f>BR!B197</f>
        <v>TBR</v>
      </c>
      <c r="M137" s="11" t="str">
        <f>RS!B197</f>
        <v>TBR</v>
      </c>
      <c r="N137" s="11" t="str">
        <f>IN!B197</f>
        <v>TBR</v>
      </c>
      <c r="O137" s="11" t="str">
        <f>AU!B197</f>
        <v>TBR</v>
      </c>
      <c r="P137" s="11" t="str">
        <f>IR!B197</f>
        <v>TBR</v>
      </c>
    </row>
    <row r="138" spans="1:16" x14ac:dyDescent="0.35">
      <c r="A138" s="34">
        <v>45231</v>
      </c>
      <c r="B138" s="35" t="str">
        <f>Global!B198</f>
        <v>TBR</v>
      </c>
      <c r="C138" s="11">
        <f>US!B334</f>
        <v>52.7</v>
      </c>
      <c r="D138" s="11" t="str">
        <f>CH!B198</f>
        <v>TBR</v>
      </c>
      <c r="E138" s="11" t="str">
        <f>EZ!B198</f>
        <v>TBR</v>
      </c>
      <c r="F138" s="11" t="str">
        <f>JP!B198</f>
        <v>TBR</v>
      </c>
      <c r="G138" s="11" t="str">
        <f>DE!B198</f>
        <v>TBR</v>
      </c>
      <c r="H138" s="11" t="str">
        <f>FR!B198</f>
        <v>TBR</v>
      </c>
      <c r="I138" s="11">
        <f>UK!B197</f>
        <v>50.9</v>
      </c>
      <c r="J138" s="11" t="str">
        <f>IT!B198</f>
        <v>TBR</v>
      </c>
      <c r="K138" s="11" t="str">
        <f>ES!B198</f>
        <v>TBR</v>
      </c>
      <c r="L138" s="11" t="str">
        <f>BR!B198</f>
        <v>TBR</v>
      </c>
      <c r="M138" s="11" t="str">
        <f>RS!B198</f>
        <v>TBR</v>
      </c>
      <c r="N138" s="11" t="str">
        <f>IN!B198</f>
        <v>TBR</v>
      </c>
      <c r="O138" s="11" t="str">
        <f>AU!B198</f>
        <v>TBR</v>
      </c>
      <c r="P138" s="11" t="str">
        <f>IR!B198</f>
        <v>TBR</v>
      </c>
    </row>
    <row r="139" spans="1:16" x14ac:dyDescent="0.35">
      <c r="A139" s="34">
        <v>45261</v>
      </c>
      <c r="B139" s="35" t="str">
        <f>Global!B199</f>
        <v>TBR</v>
      </c>
      <c r="C139" s="11">
        <f>US!B335</f>
        <v>50.5</v>
      </c>
      <c r="D139" s="11" t="str">
        <f>CH!B199</f>
        <v>TBR</v>
      </c>
      <c r="E139" s="11" t="str">
        <f>EZ!B199</f>
        <v>TBR</v>
      </c>
      <c r="F139" s="11" t="str">
        <f>JP!B199</f>
        <v>TBR</v>
      </c>
      <c r="G139" s="11" t="str">
        <f>DE!B199</f>
        <v>TBR</v>
      </c>
      <c r="H139" s="11" t="str">
        <f>FR!B199</f>
        <v>TBR</v>
      </c>
      <c r="I139" s="11">
        <f>UK!B198</f>
        <v>53.4</v>
      </c>
      <c r="J139" s="11" t="str">
        <f>IT!B199</f>
        <v>TBR</v>
      </c>
      <c r="K139" s="11" t="str">
        <f>ES!B199</f>
        <v>TBR</v>
      </c>
      <c r="L139" s="11" t="str">
        <f>BR!B199</f>
        <v>TBR</v>
      </c>
      <c r="M139" s="11" t="str">
        <f>RS!B199</f>
        <v>TBR</v>
      </c>
      <c r="N139" s="11" t="str">
        <f>IN!B199</f>
        <v>TBR</v>
      </c>
      <c r="O139" s="11" t="str">
        <f>AU!B199</f>
        <v>TBR</v>
      </c>
      <c r="P139" s="11" t="str">
        <f>IR!B199</f>
        <v>TBR</v>
      </c>
    </row>
    <row r="140" spans="1:16" x14ac:dyDescent="0.35">
      <c r="A140" s="34">
        <v>45292</v>
      </c>
      <c r="B140" s="35" t="str">
        <f>Global!B200</f>
        <v>TBR</v>
      </c>
      <c r="C140" s="11">
        <f>US!B336</f>
        <v>53.4</v>
      </c>
      <c r="D140" s="11" t="str">
        <f>CH!B200</f>
        <v>TBR</v>
      </c>
      <c r="E140" s="11" t="str">
        <f>EZ!B200</f>
        <v>TBR</v>
      </c>
      <c r="F140" s="11" t="str">
        <f>JP!B200</f>
        <v>TBR</v>
      </c>
      <c r="G140" s="11" t="str">
        <f>DE!B200</f>
        <v>TBR</v>
      </c>
      <c r="H140" s="11" t="str">
        <f>FR!B200</f>
        <v>TBR</v>
      </c>
      <c r="I140" s="11">
        <f>UK!B199</f>
        <v>54.3</v>
      </c>
      <c r="J140" s="11" t="str">
        <f>IT!B200</f>
        <v>TBR</v>
      </c>
      <c r="K140" s="11" t="str">
        <f>ES!B200</f>
        <v>TBR</v>
      </c>
      <c r="L140" s="11" t="str">
        <f>BR!B200</f>
        <v>TBR</v>
      </c>
      <c r="M140" s="11" t="str">
        <f>RS!B200</f>
        <v>TBR</v>
      </c>
      <c r="N140" s="11" t="str">
        <f>IN!B200</f>
        <v>TBR</v>
      </c>
      <c r="O140" s="11" t="str">
        <f>AU!B200</f>
        <v>TBR</v>
      </c>
      <c r="P140" s="11" t="str">
        <f>IR!B200</f>
        <v>TBR</v>
      </c>
    </row>
    <row r="141" spans="1:16" x14ac:dyDescent="0.35">
      <c r="A141" s="34">
        <v>45323</v>
      </c>
      <c r="B141" s="35" t="str">
        <f>Global!B201</f>
        <v>TBR</v>
      </c>
      <c r="C141" s="11">
        <f>US!B337</f>
        <v>52.6</v>
      </c>
      <c r="D141" s="11" t="str">
        <f>CH!B201</f>
        <v>TBR</v>
      </c>
      <c r="E141" s="11" t="str">
        <f>EZ!B201</f>
        <v>TBR</v>
      </c>
      <c r="F141" s="11" t="str">
        <f>JP!B201</f>
        <v>TBR</v>
      </c>
      <c r="G141" s="11" t="str">
        <f>DE!B201</f>
        <v>TBR</v>
      </c>
      <c r="H141" s="11" t="str">
        <f>FR!B201</f>
        <v>TBR</v>
      </c>
      <c r="I141" s="11">
        <f>UK!B200</f>
        <v>53.8</v>
      </c>
      <c r="J141" s="11" t="str">
        <f>IT!B201</f>
        <v>TBR</v>
      </c>
      <c r="K141" s="11" t="str">
        <f>ES!B201</f>
        <v>TBR</v>
      </c>
      <c r="L141" s="11" t="str">
        <f>BR!B201</f>
        <v>TBR</v>
      </c>
      <c r="M141" s="11" t="str">
        <f>RS!B201</f>
        <v>TBR</v>
      </c>
      <c r="N141" s="11" t="str">
        <f>IN!B201</f>
        <v>TBR</v>
      </c>
      <c r="O141" s="11" t="str">
        <f>AU!B201</f>
        <v>TBR</v>
      </c>
      <c r="P141" s="11" t="str">
        <f>IR!B201</f>
        <v>TBR</v>
      </c>
    </row>
    <row r="142" spans="1:16" x14ac:dyDescent="0.35">
      <c r="A142" s="34">
        <v>45352</v>
      </c>
      <c r="B142" s="35" t="str">
        <f>Global!B202</f>
        <v>TBR</v>
      </c>
      <c r="C142" s="11">
        <f>US!B338</f>
        <v>51.4</v>
      </c>
      <c r="D142" s="11" t="str">
        <f>CH!B202</f>
        <v>TBR</v>
      </c>
      <c r="E142" s="11" t="str">
        <f>EZ!B202</f>
        <v>TBR</v>
      </c>
      <c r="F142" s="11" t="str">
        <f>JP!B202</f>
        <v>TBR</v>
      </c>
      <c r="G142" s="11" t="str">
        <f>DE!B202</f>
        <v>TBR</v>
      </c>
      <c r="H142" s="11" t="str">
        <f>FR!B202</f>
        <v>TBR</v>
      </c>
      <c r="I142" s="11">
        <f>UK!B201</f>
        <v>53.1</v>
      </c>
      <c r="J142" s="11" t="str">
        <f>IT!B202</f>
        <v>TBR</v>
      </c>
      <c r="K142" s="11" t="str">
        <f>ES!B202</f>
        <v>TBR</v>
      </c>
      <c r="L142" s="11" t="str">
        <f>BR!B202</f>
        <v>TBR</v>
      </c>
      <c r="M142" s="11" t="str">
        <f>RS!B202</f>
        <v>TBR</v>
      </c>
      <c r="N142" s="11" t="str">
        <f>IN!B202</f>
        <v>TBR</v>
      </c>
      <c r="O142" s="11" t="str">
        <f>AU!B202</f>
        <v>TBR</v>
      </c>
      <c r="P142" s="11" t="str">
        <f>IR!B202</f>
        <v>TBR</v>
      </c>
    </row>
    <row r="143" spans="1:16" x14ac:dyDescent="0.35">
      <c r="A143" s="34">
        <v>45383</v>
      </c>
      <c r="B143" s="35" t="str">
        <f>Global!B203</f>
        <v>TBR</v>
      </c>
      <c r="C143" s="11">
        <f>US!B339</f>
        <v>49.4</v>
      </c>
      <c r="D143" s="11" t="str">
        <f>CH!B203</f>
        <v>TBR</v>
      </c>
      <c r="E143" s="11" t="str">
        <f>EZ!B203</f>
        <v>TBR</v>
      </c>
      <c r="F143" s="11" t="str">
        <f>JP!B203</f>
        <v>TBR</v>
      </c>
      <c r="G143" s="11" t="str">
        <f>DE!B203</f>
        <v>TBR</v>
      </c>
      <c r="H143" s="11" t="str">
        <f>FR!B203</f>
        <v>TBR</v>
      </c>
      <c r="I143" s="11">
        <f>UK!B202</f>
        <v>55</v>
      </c>
      <c r="J143" s="11" t="str">
        <f>IT!B203</f>
        <v>TBR</v>
      </c>
      <c r="K143" s="11" t="str">
        <f>ES!B203</f>
        <v>TBR</v>
      </c>
      <c r="L143" s="11" t="str">
        <f>BR!B203</f>
        <v>TBR</v>
      </c>
      <c r="M143" s="11" t="str">
        <f>RS!B203</f>
        <v>TBR</v>
      </c>
      <c r="N143" s="11" t="str">
        <f>IN!B203</f>
        <v>TBR</v>
      </c>
      <c r="O143" s="11" t="str">
        <f>AU!B203</f>
        <v>TBR</v>
      </c>
      <c r="P143" s="11" t="str">
        <f>IR!B203</f>
        <v>TBR</v>
      </c>
    </row>
    <row r="144" spans="1:16" x14ac:dyDescent="0.35">
      <c r="A144" s="34">
        <v>45413</v>
      </c>
      <c r="B144" s="35" t="str">
        <f>Global!B204</f>
        <v>TBR</v>
      </c>
      <c r="C144" s="11">
        <f>US!B340</f>
        <v>53.8</v>
      </c>
      <c r="D144" s="11" t="str">
        <f>CH!B204</f>
        <v>TBR</v>
      </c>
      <c r="E144" s="11" t="str">
        <f>EZ!B204</f>
        <v>TBR</v>
      </c>
      <c r="F144" s="11" t="str">
        <f>JP!B204</f>
        <v>TBR</v>
      </c>
      <c r="G144" s="11" t="str">
        <f>DE!B204</f>
        <v>TBR</v>
      </c>
      <c r="H144" s="11" t="str">
        <f>FR!B204</f>
        <v>TBR</v>
      </c>
      <c r="I144" s="11">
        <f>UK!B203</f>
        <v>52.9</v>
      </c>
      <c r="J144" s="11" t="str">
        <f>IT!B204</f>
        <v>TBR</v>
      </c>
      <c r="K144" s="11" t="str">
        <f>ES!B204</f>
        <v>TBR</v>
      </c>
      <c r="L144" s="11" t="str">
        <f>BR!B204</f>
        <v>TBR</v>
      </c>
      <c r="M144" s="11" t="str">
        <f>RS!B204</f>
        <v>TBR</v>
      </c>
      <c r="N144" s="11" t="str">
        <f>IN!B204</f>
        <v>TBR</v>
      </c>
      <c r="O144" s="11" t="str">
        <f>AU!B204</f>
        <v>TBR</v>
      </c>
      <c r="P144" s="11" t="str">
        <f>IR!B204</f>
        <v>TBR</v>
      </c>
    </row>
    <row r="145" spans="1:16" x14ac:dyDescent="0.35">
      <c r="A145" s="34">
        <v>45444</v>
      </c>
      <c r="B145" s="35" t="str">
        <f>Global!B205</f>
        <v>TBR</v>
      </c>
      <c r="C145" s="11">
        <f>US!B341</f>
        <v>53.8</v>
      </c>
      <c r="D145" s="11" t="str">
        <f>CH!B205</f>
        <v>TBR</v>
      </c>
      <c r="E145" s="11" t="str">
        <f>EZ!B205</f>
        <v>TBR</v>
      </c>
      <c r="F145" s="11" t="str">
        <f>JP!B205</f>
        <v>TBR</v>
      </c>
      <c r="G145" s="11" t="str">
        <f>DE!B205</f>
        <v>TBR</v>
      </c>
      <c r="H145" s="11" t="str">
        <f>FR!B205</f>
        <v>TBR</v>
      </c>
      <c r="I145" s="11">
        <f>UK!B204</f>
        <v>52.1</v>
      </c>
      <c r="J145" s="11" t="str">
        <f>IT!B205</f>
        <v>TBR</v>
      </c>
      <c r="K145" s="11" t="str">
        <f>ES!B205</f>
        <v>TBR</v>
      </c>
      <c r="L145" s="11" t="str">
        <f>BR!B205</f>
        <v>TBR</v>
      </c>
      <c r="M145" s="11" t="str">
        <f>RS!B205</f>
        <v>TBR</v>
      </c>
      <c r="N145" s="11" t="str">
        <f>IN!B205</f>
        <v>TBR</v>
      </c>
      <c r="O145" s="11" t="str">
        <f>AU!B205</f>
        <v>TBR</v>
      </c>
      <c r="P145" s="11" t="str">
        <f>IR!B205</f>
        <v>TBR</v>
      </c>
    </row>
    <row r="146" spans="1:16" x14ac:dyDescent="0.35">
      <c r="A146" s="34">
        <v>45474</v>
      </c>
      <c r="B146" s="35" t="str">
        <f>Global!B206</f>
        <v>TBR</v>
      </c>
      <c r="C146" s="11">
        <f>US!B342</f>
        <v>51.4</v>
      </c>
      <c r="D146" s="11" t="str">
        <f>CH!B206</f>
        <v>TBR</v>
      </c>
      <c r="E146" s="11" t="str">
        <f>EZ!B206</f>
        <v>TBR</v>
      </c>
      <c r="F146" s="11" t="str">
        <f>JP!B206</f>
        <v>TBR</v>
      </c>
      <c r="G146" s="11" t="str">
        <f>DE!B206</f>
        <v>TBR</v>
      </c>
      <c r="H146" s="11" t="str">
        <f>FR!B206</f>
        <v>TBR</v>
      </c>
      <c r="I146" s="11">
        <f>UK!B205</f>
        <v>52.5</v>
      </c>
      <c r="J146" s="11" t="str">
        <f>IT!B206</f>
        <v>TBR</v>
      </c>
      <c r="K146" s="11" t="str">
        <f>ES!B206</f>
        <v>TBR</v>
      </c>
      <c r="L146" s="11" t="str">
        <f>BR!B206</f>
        <v>TBR</v>
      </c>
      <c r="M146" s="11" t="str">
        <f>RS!B206</f>
        <v>TBR</v>
      </c>
      <c r="N146" s="11" t="str">
        <f>IN!B206</f>
        <v>TBR</v>
      </c>
      <c r="O146" s="11" t="str">
        <f>AU!B206</f>
        <v>TBR</v>
      </c>
      <c r="P146" s="11" t="str">
        <f>IR!B206</f>
        <v>TBR</v>
      </c>
    </row>
    <row r="147" spans="1:16" x14ac:dyDescent="0.35">
      <c r="A147" s="34">
        <v>45505</v>
      </c>
      <c r="B147" s="35" t="str">
        <f>Global!B207</f>
        <v>TBR</v>
      </c>
      <c r="C147" s="11">
        <f>US!B343</f>
        <v>51.5</v>
      </c>
      <c r="D147" s="11" t="str">
        <f>CH!B207</f>
        <v>TBR</v>
      </c>
      <c r="E147" s="11" t="str">
        <f>EZ!B207</f>
        <v>TBR</v>
      </c>
      <c r="F147" s="11" t="str">
        <f>JP!B207</f>
        <v>TBR</v>
      </c>
      <c r="G147" s="11" t="str">
        <f>DE!B207</f>
        <v>TBR</v>
      </c>
      <c r="H147" s="11" t="str">
        <f>FR!B207</f>
        <v>TBR</v>
      </c>
      <c r="I147" s="11">
        <f>UK!B206</f>
        <v>53.7</v>
      </c>
      <c r="J147" s="11" t="str">
        <f>IT!B207</f>
        <v>TBR</v>
      </c>
      <c r="K147" s="11" t="str">
        <f>ES!B207</f>
        <v>TBR</v>
      </c>
      <c r="L147" s="11" t="str">
        <f>BR!B207</f>
        <v>TBR</v>
      </c>
      <c r="M147" s="11" t="str">
        <f>RS!B207</f>
        <v>TBR</v>
      </c>
      <c r="N147" s="11" t="str">
        <f>IN!B207</f>
        <v>TBR</v>
      </c>
      <c r="O147" s="11" t="str">
        <f>AU!B207</f>
        <v>TBR</v>
      </c>
      <c r="P147" s="11" t="str">
        <f>IR!B207</f>
        <v>TBR</v>
      </c>
    </row>
    <row r="148" spans="1:16" x14ac:dyDescent="0.35">
      <c r="A148" s="34">
        <v>45536</v>
      </c>
      <c r="B148" s="35" t="str">
        <f>Global!B208</f>
        <v>TBR</v>
      </c>
      <c r="C148" s="11">
        <f>US!B344</f>
        <v>51.5</v>
      </c>
      <c r="D148" s="11" t="str">
        <f>CH!B208</f>
        <v>TBR</v>
      </c>
      <c r="E148" s="11" t="str">
        <f>EZ!B208</f>
        <v>TBR</v>
      </c>
      <c r="F148" s="11" t="str">
        <f>JP!B208</f>
        <v>TBR</v>
      </c>
      <c r="G148" s="11" t="str">
        <f>DE!B208</f>
        <v>TBR</v>
      </c>
      <c r="H148" s="11" t="str">
        <f>FR!B208</f>
        <v>TBR</v>
      </c>
      <c r="I148" s="11">
        <f>UK!B207</f>
        <v>52.4</v>
      </c>
      <c r="J148" s="11" t="str">
        <f>IT!B208</f>
        <v>TBR</v>
      </c>
      <c r="K148" s="11" t="str">
        <f>ES!B208</f>
        <v>TBR</v>
      </c>
      <c r="L148" s="11" t="str">
        <f>BR!B208</f>
        <v>TBR</v>
      </c>
      <c r="M148" s="11" t="str">
        <f>RS!B208</f>
        <v>TBR</v>
      </c>
      <c r="N148" s="11" t="str">
        <f>IN!B208</f>
        <v>TBR</v>
      </c>
      <c r="O148" s="11" t="str">
        <f>AU!B208</f>
        <v>TBR</v>
      </c>
      <c r="P148" s="11" t="str">
        <f>IR!B208</f>
        <v>TBR</v>
      </c>
    </row>
    <row r="149" spans="1:16" x14ac:dyDescent="0.35">
      <c r="A149" s="34">
        <v>45566</v>
      </c>
      <c r="B149" s="35" t="str">
        <f>Global!B209</f>
        <v>TBR</v>
      </c>
      <c r="C149" s="11">
        <f>US!B345</f>
        <v>56</v>
      </c>
      <c r="D149" s="11" t="str">
        <f>CH!B209</f>
        <v>TBR</v>
      </c>
      <c r="E149" s="11" t="str">
        <f>EZ!B209</f>
        <v>TBR</v>
      </c>
      <c r="F149" s="11" t="str">
        <f>JP!B209</f>
        <v>TBR</v>
      </c>
      <c r="G149" s="11" t="str">
        <f>DE!B209</f>
        <v>TBR</v>
      </c>
      <c r="H149" s="11" t="str">
        <f>FR!B209</f>
        <v>TBR</v>
      </c>
      <c r="I149" s="11">
        <f>UK!B208</f>
        <v>52</v>
      </c>
      <c r="J149" s="11" t="str">
        <f>IT!B209</f>
        <v>TBR</v>
      </c>
      <c r="K149" s="11" t="str">
        <f>ES!B209</f>
        <v>TBR</v>
      </c>
      <c r="L149" s="11" t="str">
        <f>BR!B209</f>
        <v>TBR</v>
      </c>
      <c r="M149" s="11" t="str">
        <f>RS!B209</f>
        <v>TBR</v>
      </c>
      <c r="N149" s="11" t="str">
        <f>IN!B209</f>
        <v>TBR</v>
      </c>
      <c r="O149" s="11" t="str">
        <f>AU!B209</f>
        <v>TBR</v>
      </c>
      <c r="P149" s="11" t="str">
        <f>IR!B209</f>
        <v>TBR</v>
      </c>
    </row>
    <row r="150" spans="1:16" x14ac:dyDescent="0.35">
      <c r="A150" s="34">
        <v>45597</v>
      </c>
      <c r="B150" s="35" t="str">
        <f>Global!B210</f>
        <v>TBR</v>
      </c>
      <c r="C150" s="11">
        <f>US!B346</f>
        <v>52.1</v>
      </c>
      <c r="D150" s="11" t="str">
        <f>CH!B210</f>
        <v>TBR</v>
      </c>
      <c r="E150" s="11" t="str">
        <f>EZ!B210</f>
        <v>TBR</v>
      </c>
      <c r="F150" s="11" t="str">
        <f>JP!B210</f>
        <v>TBR</v>
      </c>
      <c r="G150" s="11" t="str">
        <f>DE!B210</f>
        <v>TBR</v>
      </c>
      <c r="H150" s="11" t="str">
        <f>FR!B210</f>
        <v>TBR</v>
      </c>
      <c r="I150" s="11">
        <f>UK!B209</f>
        <v>50.8</v>
      </c>
      <c r="J150" s="11" t="str">
        <f>IT!B210</f>
        <v>TBR</v>
      </c>
      <c r="K150" s="11" t="str">
        <f>ES!B210</f>
        <v>TBR</v>
      </c>
      <c r="L150" s="11" t="str">
        <f>BR!B210</f>
        <v>TBR</v>
      </c>
      <c r="M150" s="11" t="str">
        <f>RS!B210</f>
        <v>TBR</v>
      </c>
      <c r="N150" s="11" t="str">
        <f>IN!B210</f>
        <v>TBR</v>
      </c>
      <c r="O150" s="11" t="str">
        <f>AU!B210</f>
        <v>TBR</v>
      </c>
      <c r="P150" s="11" t="str">
        <f>IR!B210</f>
        <v>TBR</v>
      </c>
    </row>
    <row r="151" spans="1:16" x14ac:dyDescent="0.35">
      <c r="A151" s="34">
        <v>45627</v>
      </c>
      <c r="B151" s="35" t="str">
        <f>Global!B211</f>
        <v>TBR</v>
      </c>
      <c r="C151" s="11">
        <f>US!B347</f>
        <v>52.1</v>
      </c>
      <c r="D151" s="11" t="str">
        <f>CH!B211</f>
        <v>TBR</v>
      </c>
      <c r="E151" s="11" t="str">
        <f>EZ!B211</f>
        <v>TBR</v>
      </c>
      <c r="F151" s="11" t="str">
        <f>JP!B211</f>
        <v>TBR</v>
      </c>
      <c r="G151" s="11" t="str">
        <f>DE!B211</f>
        <v>TBR</v>
      </c>
      <c r="H151" s="11" t="str">
        <f>FR!B211</f>
        <v>TBR</v>
      </c>
      <c r="I151" s="11">
        <f>UK!B210</f>
        <v>51.1</v>
      </c>
      <c r="J151" s="11" t="str">
        <f>IT!B211</f>
        <v>TBR</v>
      </c>
      <c r="K151" s="11" t="str">
        <f>ES!B211</f>
        <v>TBR</v>
      </c>
      <c r="L151" s="11" t="str">
        <f>BR!B211</f>
        <v>TBR</v>
      </c>
      <c r="M151" s="11" t="str">
        <f>RS!B211</f>
        <v>TBR</v>
      </c>
      <c r="N151" s="11" t="str">
        <f>IN!B211</f>
        <v>TBR</v>
      </c>
      <c r="O151" s="11" t="str">
        <f>AU!B211</f>
        <v>TBR</v>
      </c>
      <c r="P151" s="11" t="str">
        <f>IR!B211</f>
        <v>TBR</v>
      </c>
    </row>
    <row r="152" spans="1:16" x14ac:dyDescent="0.35">
      <c r="A152" s="34">
        <v>45658</v>
      </c>
      <c r="B152" s="35" t="str">
        <f>Global!B212</f>
        <v>TBR</v>
      </c>
      <c r="C152" s="11">
        <f>US!B348</f>
        <v>52.8</v>
      </c>
      <c r="D152" s="11" t="str">
        <f>CH!B212</f>
        <v>TBR</v>
      </c>
      <c r="E152" s="11" t="str">
        <f>EZ!B212</f>
        <v>TBR</v>
      </c>
      <c r="F152" s="11" t="str">
        <f>JP!B212</f>
        <v>TBR</v>
      </c>
      <c r="G152" s="11" t="str">
        <f>DE!B212</f>
        <v>TBR</v>
      </c>
      <c r="H152" s="11" t="str">
        <f>FR!B212</f>
        <v>TBR</v>
      </c>
      <c r="I152" s="11">
        <f>UK!B211</f>
        <v>50.8</v>
      </c>
      <c r="J152" s="11" t="str">
        <f>IT!B212</f>
        <v>TBR</v>
      </c>
      <c r="K152" s="11" t="str">
        <f>ES!B212</f>
        <v>TBR</v>
      </c>
      <c r="L152" s="11" t="str">
        <f>BR!B212</f>
        <v>TBR</v>
      </c>
      <c r="M152" s="11" t="str">
        <f>RS!B212</f>
        <v>TBR</v>
      </c>
      <c r="N152" s="11" t="str">
        <f>IN!B212</f>
        <v>TBR</v>
      </c>
      <c r="O152" s="11" t="str">
        <f>AU!B212</f>
        <v>TBR</v>
      </c>
      <c r="P152" s="11" t="str">
        <f>IR!B212</f>
        <v>TBR</v>
      </c>
    </row>
    <row r="153" spans="1:16" x14ac:dyDescent="0.35">
      <c r="A153" s="34">
        <v>45689</v>
      </c>
      <c r="B153" s="35" t="str">
        <f>Global!B213</f>
        <v>TBR</v>
      </c>
      <c r="C153" s="11">
        <f>US!B349</f>
        <v>52.8</v>
      </c>
      <c r="D153" s="11" t="str">
        <f>CH!B213</f>
        <v>TBR</v>
      </c>
      <c r="E153" s="11" t="str">
        <f>EZ!B213</f>
        <v>TBR</v>
      </c>
      <c r="F153" s="11" t="str">
        <f>JP!B213</f>
        <v>TBR</v>
      </c>
      <c r="G153" s="11" t="str">
        <f>DE!B213</f>
        <v>TBR</v>
      </c>
      <c r="H153" s="11" t="str">
        <f>FR!B213</f>
        <v>TBR</v>
      </c>
      <c r="I153" s="11">
        <f>UK!B212</f>
        <v>51</v>
      </c>
      <c r="J153" s="11" t="str">
        <f>IT!B213</f>
        <v>TBR</v>
      </c>
      <c r="K153" s="11" t="str">
        <f>ES!B213</f>
        <v>TBR</v>
      </c>
      <c r="L153" s="11" t="str">
        <f>BR!B213</f>
        <v>TBR</v>
      </c>
      <c r="M153" s="11" t="str">
        <f>RS!B213</f>
        <v>TBR</v>
      </c>
      <c r="N153" s="11" t="str">
        <f>IN!B213</f>
        <v>TBR</v>
      </c>
      <c r="O153" s="11" t="str">
        <f>AU!B213</f>
        <v>TBR</v>
      </c>
      <c r="P153" s="11" t="str">
        <f>IR!B213</f>
        <v>TBR</v>
      </c>
    </row>
    <row r="154" spans="1:16" x14ac:dyDescent="0.35">
      <c r="A154" s="34">
        <v>45717</v>
      </c>
      <c r="B154" s="35" t="str">
        <f>Global!B214</f>
        <v>TBR</v>
      </c>
      <c r="C154" s="11">
        <f>US!B350</f>
        <v>52.8</v>
      </c>
      <c r="D154" s="11" t="str">
        <f>CH!B214</f>
        <v>TBR</v>
      </c>
      <c r="E154" s="11" t="str">
        <f>EZ!B214</f>
        <v>TBR</v>
      </c>
      <c r="F154" s="11" t="str">
        <f>JP!B214</f>
        <v>TBR</v>
      </c>
      <c r="G154" s="11" t="str">
        <f>DE!B214</f>
        <v>TBR</v>
      </c>
      <c r="H154" s="11" t="str">
        <f>FR!B214</f>
        <v>TBR</v>
      </c>
      <c r="I154" s="11">
        <f>UK!B213</f>
        <v>52.5</v>
      </c>
      <c r="J154" s="11" t="str">
        <f>IT!B214</f>
        <v>TBR</v>
      </c>
      <c r="K154" s="11" t="str">
        <f>ES!B214</f>
        <v>TBR</v>
      </c>
      <c r="L154" s="11" t="str">
        <f>BR!B214</f>
        <v>TBR</v>
      </c>
      <c r="M154" s="11" t="str">
        <f>RS!B214</f>
        <v>TBR</v>
      </c>
      <c r="N154" s="11" t="str">
        <f>IN!B214</f>
        <v>TBR</v>
      </c>
      <c r="O154" s="11" t="str">
        <f>AU!B214</f>
        <v>TBR</v>
      </c>
      <c r="P154" s="11" t="str">
        <f>IR!B214</f>
        <v>TBR</v>
      </c>
    </row>
    <row r="155" spans="1:16" x14ac:dyDescent="0.35">
      <c r="A155" s="34">
        <v>45748</v>
      </c>
      <c r="B155" s="35" t="str">
        <f>Global!B215</f>
        <v>TBR</v>
      </c>
      <c r="C155" s="11">
        <f>US!B351</f>
        <v>51.6</v>
      </c>
      <c r="D155" s="11" t="str">
        <f>CH!B215</f>
        <v>TBR</v>
      </c>
      <c r="E155" s="11" t="str">
        <f>EZ!B215</f>
        <v>TBR</v>
      </c>
      <c r="F155" s="11" t="str">
        <f>JP!B215</f>
        <v>TBR</v>
      </c>
      <c r="G155" s="11" t="str">
        <f>DE!B215</f>
        <v>TBR</v>
      </c>
      <c r="H155" s="11" t="str">
        <f>FR!B215</f>
        <v>TBR</v>
      </c>
      <c r="I155" s="11">
        <f>UK!B214</f>
        <v>49</v>
      </c>
      <c r="J155" s="11" t="str">
        <f>IT!B215</f>
        <v>TBR</v>
      </c>
      <c r="K155" s="11" t="str">
        <f>ES!B215</f>
        <v>TBR</v>
      </c>
      <c r="L155" s="11" t="str">
        <f>BR!B215</f>
        <v>TBR</v>
      </c>
      <c r="M155" s="11" t="str">
        <f>RS!B215</f>
        <v>TBR</v>
      </c>
      <c r="N155" s="11" t="str">
        <f>IN!B215</f>
        <v>TBR</v>
      </c>
      <c r="O155" s="11" t="str">
        <f>AU!B215</f>
        <v>TBR</v>
      </c>
      <c r="P155" s="11" t="str">
        <f>IR!B215</f>
        <v>TBR</v>
      </c>
    </row>
    <row r="156" spans="1:16" x14ac:dyDescent="0.35">
      <c r="A156" s="34">
        <v>45778</v>
      </c>
      <c r="B156" s="35" t="str">
        <f>Global!B216</f>
        <v>TBR</v>
      </c>
      <c r="C156" s="11">
        <f>US!B352</f>
        <v>49.9</v>
      </c>
      <c r="D156" s="11" t="str">
        <f>CH!B216</f>
        <v>TBR</v>
      </c>
      <c r="E156" s="11" t="str">
        <f>EZ!B216</f>
        <v>TBR</v>
      </c>
      <c r="F156" s="11" t="str">
        <f>JP!B216</f>
        <v>TBR</v>
      </c>
      <c r="G156" s="11" t="str">
        <f>DE!B216</f>
        <v>TBR</v>
      </c>
      <c r="H156" s="11" t="str">
        <f>FR!B216</f>
        <v>TBR</v>
      </c>
      <c r="I156" s="11">
        <f>UK!B215</f>
        <v>50.9</v>
      </c>
      <c r="J156" s="11" t="str">
        <f>IT!B216</f>
        <v>TBR</v>
      </c>
      <c r="K156" s="11" t="str">
        <f>ES!B216</f>
        <v>TBR</v>
      </c>
      <c r="L156" s="11" t="str">
        <f>BR!B216</f>
        <v>TBR</v>
      </c>
      <c r="M156" s="11" t="str">
        <f>RS!B216</f>
        <v>TBR</v>
      </c>
      <c r="N156" s="11" t="str">
        <f>IN!B216</f>
        <v>TBR</v>
      </c>
      <c r="O156" s="11" t="str">
        <f>AU!B216</f>
        <v>TBR</v>
      </c>
      <c r="P156" s="11" t="str">
        <f>IR!B216</f>
        <v>TBR</v>
      </c>
    </row>
    <row r="157" spans="1:16" x14ac:dyDescent="0.35">
      <c r="A157" s="34">
        <v>45809</v>
      </c>
      <c r="B157" s="35" t="str">
        <f>Global!B217</f>
        <v>TBR</v>
      </c>
      <c r="C157" s="11">
        <f>US!B353</f>
        <v>49.9</v>
      </c>
      <c r="D157" s="11" t="str">
        <f>CH!B217</f>
        <v>TBR</v>
      </c>
      <c r="E157" s="11" t="str">
        <f>EZ!B217</f>
        <v>TBR</v>
      </c>
      <c r="F157" s="11" t="str">
        <f>JP!B217</f>
        <v>TBR</v>
      </c>
      <c r="G157" s="11" t="str">
        <f>DE!B217</f>
        <v>TBR</v>
      </c>
      <c r="H157" s="11" t="str">
        <f>FR!B217</f>
        <v>TBR</v>
      </c>
      <c r="I157" s="11">
        <f>UK!B216</f>
        <v>52.8</v>
      </c>
      <c r="J157" s="11" t="str">
        <f>IT!B217</f>
        <v>TBR</v>
      </c>
      <c r="K157" s="11" t="str">
        <f>ES!B217</f>
        <v>TBR</v>
      </c>
      <c r="L157" s="11" t="str">
        <f>BR!B217</f>
        <v>TBR</v>
      </c>
      <c r="M157" s="11" t="str">
        <f>RS!B217</f>
        <v>TBR</v>
      </c>
      <c r="N157" s="11" t="str">
        <f>IN!B217</f>
        <v>TBR</v>
      </c>
      <c r="O157" s="11" t="str">
        <f>AU!B217</f>
        <v>TBR</v>
      </c>
      <c r="P157" s="11" t="str">
        <f>IR!B217</f>
        <v>TBR</v>
      </c>
    </row>
    <row r="158" spans="1:16" x14ac:dyDescent="0.35">
      <c r="A158" s="34">
        <v>45839</v>
      </c>
      <c r="B158" s="35" t="str">
        <f>Global!B218</f>
        <v>TBR</v>
      </c>
      <c r="C158" s="11">
        <f>US!B354</f>
        <v>50.1</v>
      </c>
      <c r="D158" s="11" t="str">
        <f>CH!B218</f>
        <v>TBR</v>
      </c>
      <c r="E158" s="11" t="str">
        <f>EZ!B218</f>
        <v>TBR</v>
      </c>
      <c r="F158" s="11" t="str">
        <f>JP!B218</f>
        <v>TBR</v>
      </c>
      <c r="G158" s="11" t="str">
        <f>DE!B218</f>
        <v>TBR</v>
      </c>
      <c r="H158" s="11" t="str">
        <f>FR!B218</f>
        <v>TBR</v>
      </c>
      <c r="I158" s="11">
        <f>UK!B217</f>
        <v>51.8</v>
      </c>
      <c r="J158" s="11" t="str">
        <f>IT!B218</f>
        <v>TBR</v>
      </c>
      <c r="K158" s="11" t="str">
        <f>ES!B218</f>
        <v>TBR</v>
      </c>
      <c r="L158" s="11" t="str">
        <f>BR!B218</f>
        <v>TBR</v>
      </c>
      <c r="M158" s="11" t="str">
        <f>RS!B218</f>
        <v>TBR</v>
      </c>
      <c r="N158" s="11" t="str">
        <f>IN!B218</f>
        <v>TBR</v>
      </c>
      <c r="O158" s="11" t="str">
        <f>AU!B218</f>
        <v>TBR</v>
      </c>
      <c r="P158" s="11" t="str">
        <f>IR!B218</f>
        <v>TBR</v>
      </c>
    </row>
    <row r="159" spans="1:16" x14ac:dyDescent="0.35">
      <c r="A159" s="34">
        <v>45870</v>
      </c>
      <c r="B159" s="35" t="str">
        <f>Global!B219</f>
        <v>TBR</v>
      </c>
      <c r="C159" s="11">
        <f>US!B355</f>
        <v>52</v>
      </c>
      <c r="D159" s="11" t="str">
        <f>CH!B219</f>
        <v>TBR</v>
      </c>
      <c r="E159" s="11" t="str">
        <f>EZ!B219</f>
        <v>TBR</v>
      </c>
      <c r="F159" s="11" t="str">
        <f>JP!B219</f>
        <v>TBR</v>
      </c>
      <c r="G159" s="11" t="str">
        <f>DE!B219</f>
        <v>TBR</v>
      </c>
      <c r="H159" s="11" t="str">
        <f>FR!B219</f>
        <v>TBR</v>
      </c>
      <c r="I159" s="11">
        <f>UK!B218</f>
        <v>54.2</v>
      </c>
      <c r="J159" s="11" t="str">
        <f>IT!B219</f>
        <v>TBR</v>
      </c>
      <c r="K159" s="11" t="str">
        <f>ES!B219</f>
        <v>TBR</v>
      </c>
      <c r="L159" s="11" t="str">
        <f>BR!B219</f>
        <v>TBR</v>
      </c>
      <c r="M159" s="11" t="str">
        <f>RS!B219</f>
        <v>TBR</v>
      </c>
      <c r="N159" s="11" t="str">
        <f>IN!B219</f>
        <v>TBR</v>
      </c>
      <c r="O159" s="11" t="str">
        <f>AU!B219</f>
        <v>TBR</v>
      </c>
      <c r="P159" s="11" t="str">
        <f>IR!B219</f>
        <v>TBR</v>
      </c>
    </row>
    <row r="160" spans="1:16" x14ac:dyDescent="0.35">
      <c r="A160" s="34">
        <v>45901</v>
      </c>
      <c r="B160" s="35" t="str">
        <f>Global!B220</f>
        <v>TBR</v>
      </c>
      <c r="C160" s="11">
        <f>US!B356</f>
        <v>50</v>
      </c>
      <c r="D160" s="11" t="str">
        <f>CH!B220</f>
        <v>TBR</v>
      </c>
      <c r="E160" s="11" t="str">
        <f>EZ!B220</f>
        <v>TBR</v>
      </c>
      <c r="F160" s="11" t="str">
        <f>JP!B220</f>
        <v>TBR</v>
      </c>
      <c r="G160" s="11" t="str">
        <f>DE!B220</f>
        <v>TBR</v>
      </c>
      <c r="H160" s="11" t="str">
        <f>FR!B220</f>
        <v>TBR</v>
      </c>
      <c r="I160" s="11">
        <f>UK!B219</f>
        <v>50.8</v>
      </c>
      <c r="J160" s="11" t="str">
        <f>IT!B220</f>
        <v>TBR</v>
      </c>
      <c r="K160" s="11" t="str">
        <f>ES!B220</f>
        <v>TBR</v>
      </c>
      <c r="L160" s="11" t="str">
        <f>BR!B220</f>
        <v>TBR</v>
      </c>
      <c r="M160" s="11" t="str">
        <f>RS!B220</f>
        <v>TBR</v>
      </c>
      <c r="N160" s="11" t="str">
        <f>IN!B220</f>
        <v>TBR</v>
      </c>
      <c r="O160" s="11" t="str">
        <f>AU!B220</f>
        <v>TBR</v>
      </c>
      <c r="P160" s="11" t="str">
        <f>IR!B220</f>
        <v>TBR</v>
      </c>
    </row>
    <row r="161" spans="1:16" x14ac:dyDescent="0.35">
      <c r="A161" s="34">
        <v>45931</v>
      </c>
      <c r="B161" s="35" t="str">
        <f>Global!B221</f>
        <v>TBR</v>
      </c>
      <c r="C161" s="11">
        <f>US!B357</f>
        <v>52.4</v>
      </c>
      <c r="D161" s="11" t="str">
        <f>CH!B221</f>
        <v>TBR</v>
      </c>
      <c r="E161" s="11" t="str">
        <f>EZ!B221</f>
        <v>TBR</v>
      </c>
      <c r="F161" s="11" t="str">
        <f>JP!B221</f>
        <v>TBR</v>
      </c>
      <c r="G161" s="11" t="str">
        <f>DE!B221</f>
        <v>TBR</v>
      </c>
      <c r="H161" s="11" t="str">
        <f>FR!B221</f>
        <v>TBR</v>
      </c>
      <c r="I161" s="11">
        <f>UK!B220</f>
        <v>52.3</v>
      </c>
      <c r="J161" s="11" t="str">
        <f>IT!B221</f>
        <v>TBR</v>
      </c>
      <c r="K161" s="11" t="str">
        <f>ES!B221</f>
        <v>TBR</v>
      </c>
      <c r="L161" s="11" t="str">
        <f>BR!B221</f>
        <v>TBR</v>
      </c>
      <c r="M161" s="11" t="str">
        <f>RS!B221</f>
        <v>TBR</v>
      </c>
      <c r="N161" s="11" t="str">
        <f>IN!B221</f>
        <v>TBR</v>
      </c>
      <c r="O161" s="11" t="str">
        <f>AU!B221</f>
        <v>TBR</v>
      </c>
      <c r="P161" s="11" t="str">
        <f>IR!B221</f>
        <v>TBR</v>
      </c>
    </row>
    <row r="162" spans="1:16" x14ac:dyDescent="0.35">
      <c r="A162" s="34">
        <v>45962</v>
      </c>
      <c r="B162" s="35" t="str">
        <f>Global!B222</f>
        <v>TBR</v>
      </c>
      <c r="C162" s="11">
        <f>US!B358</f>
        <v>52.4</v>
      </c>
      <c r="D162" s="11" t="str">
        <f>CH!B222</f>
        <v>TBR</v>
      </c>
      <c r="E162" s="11" t="str">
        <f>EZ!B222</f>
        <v>TBR</v>
      </c>
      <c r="F162" s="11" t="str">
        <f>JP!B222</f>
        <v>TBR</v>
      </c>
      <c r="G162" s="11" t="str">
        <f>DE!B222</f>
        <v>TBR</v>
      </c>
      <c r="H162" s="11" t="str">
        <f>FR!B222</f>
        <v>TBR</v>
      </c>
      <c r="I162" s="11">
        <f>UK!B221</f>
        <v>51.3</v>
      </c>
      <c r="J162" s="11" t="str">
        <f>IT!B222</f>
        <v>TBR</v>
      </c>
      <c r="K162" s="11" t="str">
        <f>ES!B222</f>
        <v>TBR</v>
      </c>
      <c r="L162" s="11" t="str">
        <f>BR!B222</f>
        <v>TBR</v>
      </c>
      <c r="M162" s="11" t="str">
        <f>RS!B222</f>
        <v>TBR</v>
      </c>
      <c r="N162" s="11" t="str">
        <f>IN!B222</f>
        <v>TBR</v>
      </c>
      <c r="O162" s="11" t="str">
        <f>AU!B222</f>
        <v>TBR</v>
      </c>
      <c r="P162" s="11" t="str">
        <f>IR!B222</f>
        <v>TBR</v>
      </c>
    </row>
    <row r="163" spans="1:16" x14ac:dyDescent="0.35">
      <c r="A163" s="34">
        <v>45992</v>
      </c>
      <c r="B163" s="35" t="str">
        <f>Global!B223</f>
        <v>TBR</v>
      </c>
      <c r="C163" s="11">
        <f>US!B359</f>
        <v>53.8</v>
      </c>
      <c r="D163" s="11" t="str">
        <f>CH!B223</f>
        <v>TBR</v>
      </c>
      <c r="E163" s="11" t="str">
        <f>EZ!B223</f>
        <v>TBR</v>
      </c>
      <c r="F163" s="11" t="str">
        <f>JP!B223</f>
        <v>TBR</v>
      </c>
      <c r="G163" s="11" t="str">
        <f>DE!B223</f>
        <v>TBR</v>
      </c>
      <c r="H163" s="11" t="str">
        <f>FR!B223</f>
        <v>TBR</v>
      </c>
      <c r="I163" s="11">
        <f>UK!B222</f>
        <v>51.4</v>
      </c>
      <c r="J163" s="11" t="str">
        <f>IT!B223</f>
        <v>TBR</v>
      </c>
      <c r="K163" s="11" t="str">
        <f>ES!B223</f>
        <v>TBR</v>
      </c>
      <c r="L163" s="11" t="str">
        <f>BR!B223</f>
        <v>TBR</v>
      </c>
      <c r="M163" s="11" t="str">
        <f>RS!B223</f>
        <v>TBR</v>
      </c>
      <c r="N163" s="11" t="str">
        <f>IN!B223</f>
        <v>TBR</v>
      </c>
      <c r="O163" s="11" t="str">
        <f>AU!B223</f>
        <v>TBR</v>
      </c>
      <c r="P163" s="11" t="str">
        <f>IR!B223</f>
        <v>TBR</v>
      </c>
    </row>
    <row r="164" spans="1:16" x14ac:dyDescent="0.35">
      <c r="A164" s="34">
        <v>46023</v>
      </c>
      <c r="B164" s="35" t="str">
        <f>Global!B224</f>
        <v>TBR</v>
      </c>
      <c r="C164" s="11">
        <f>US!B360</f>
        <v>53.8</v>
      </c>
      <c r="D164" s="11" t="str">
        <f>CH!B224</f>
        <v>TBR</v>
      </c>
      <c r="E164" s="11" t="str">
        <f>EZ!B224</f>
        <v>TBR</v>
      </c>
      <c r="F164" s="11" t="str">
        <f>JP!B224</f>
        <v>TBR</v>
      </c>
      <c r="G164" s="11" t="str">
        <f>DE!B224</f>
        <v>TBR</v>
      </c>
      <c r="H164" s="11" t="str">
        <f>FR!B224</f>
        <v>TBR</v>
      </c>
      <c r="I164" s="11">
        <f>UK!B223</f>
        <v>54</v>
      </c>
      <c r="J164" s="11" t="str">
        <f>IT!B224</f>
        <v>TBR</v>
      </c>
      <c r="K164" s="11" t="str">
        <f>ES!B224</f>
        <v>TBR</v>
      </c>
      <c r="L164" s="11" t="str">
        <f>BR!B224</f>
        <v>TBR</v>
      </c>
      <c r="M164" s="11" t="str">
        <f>RS!B224</f>
        <v>TBR</v>
      </c>
      <c r="N164" s="11" t="str">
        <f>IN!B224</f>
        <v>TBR</v>
      </c>
      <c r="O164" s="11" t="str">
        <f>AU!B224</f>
        <v>TBR</v>
      </c>
      <c r="P164" s="11" t="str">
        <f>IR!B224</f>
        <v>TBR</v>
      </c>
    </row>
    <row r="165" spans="1:16" x14ac:dyDescent="0.35">
      <c r="A165" s="34">
        <v>46054</v>
      </c>
      <c r="B165" s="35" t="str">
        <f>Global!B225</f>
        <v>TBR</v>
      </c>
      <c r="C165" s="11">
        <f>US!B361</f>
        <v>53.8</v>
      </c>
      <c r="D165" s="11" t="str">
        <f>CH!B225</f>
        <v>TBR</v>
      </c>
      <c r="E165" s="11" t="str">
        <f>EZ!B225</f>
        <v>TBR</v>
      </c>
      <c r="F165" s="11" t="str">
        <f>JP!B225</f>
        <v>TBR</v>
      </c>
      <c r="G165" s="11" t="str">
        <f>DE!B225</f>
        <v>TBR</v>
      </c>
      <c r="H165" s="11" t="str">
        <f>FR!B225</f>
        <v>TBR</v>
      </c>
      <c r="I165" s="11">
        <f>UK!B224</f>
        <v>53.9</v>
      </c>
      <c r="J165" s="11" t="str">
        <f>IT!B225</f>
        <v>TBR</v>
      </c>
      <c r="K165" s="11" t="str">
        <f>ES!B225</f>
        <v>TBR</v>
      </c>
      <c r="L165" s="11" t="str">
        <f>BR!B225</f>
        <v>TBR</v>
      </c>
      <c r="M165" s="11" t="str">
        <f>RS!B225</f>
        <v>TBR</v>
      </c>
      <c r="N165" s="11" t="str">
        <f>IN!B225</f>
        <v>TBR</v>
      </c>
      <c r="O165" s="11" t="str">
        <f>AU!B225</f>
        <v>TBR</v>
      </c>
      <c r="P165" s="11" t="str">
        <f>IR!B225</f>
        <v>TBR</v>
      </c>
    </row>
    <row r="166" spans="1:16" x14ac:dyDescent="0.35">
      <c r="A166" s="34">
        <v>46082</v>
      </c>
      <c r="B166" s="35" t="str">
        <f>Global!B226</f>
        <v>TBR</v>
      </c>
      <c r="C166" s="11">
        <f>US!B362</f>
        <v>53.8</v>
      </c>
      <c r="D166" s="11" t="str">
        <f>CH!B226</f>
        <v>TBR</v>
      </c>
      <c r="E166" s="11" t="str">
        <f>EZ!B226</f>
        <v>TBR</v>
      </c>
      <c r="F166" s="11" t="str">
        <f>JP!B226</f>
        <v>TBR</v>
      </c>
      <c r="G166" s="11" t="str">
        <f>DE!B226</f>
        <v>TBR</v>
      </c>
      <c r="H166" s="11" t="str">
        <f>FR!B226</f>
        <v>TBR</v>
      </c>
      <c r="I166" s="11">
        <f>UK!B225</f>
        <v>50.5</v>
      </c>
      <c r="J166" s="11" t="str">
        <f>IT!B226</f>
        <v>TBR</v>
      </c>
      <c r="K166" s="11" t="str">
        <f>ES!B226</f>
        <v>TBR</v>
      </c>
      <c r="L166" s="11" t="str">
        <f>BR!B226</f>
        <v>TBR</v>
      </c>
      <c r="M166" s="11" t="str">
        <f>RS!B226</f>
        <v>TBR</v>
      </c>
      <c r="N166" s="11" t="str">
        <f>IN!B226</f>
        <v>TBR</v>
      </c>
      <c r="O166" s="11" t="str">
        <f>AU!B226</f>
        <v>TBR</v>
      </c>
      <c r="P166" s="11" t="str">
        <f>IR!B226</f>
        <v>TBR</v>
      </c>
    </row>
    <row r="167" spans="1:16" x14ac:dyDescent="0.35">
      <c r="A167" s="34">
        <v>46113</v>
      </c>
      <c r="B167" s="35" t="str">
        <f>Global!B227</f>
        <v>TBR</v>
      </c>
      <c r="C167" s="11">
        <f>US!B363</f>
        <v>51</v>
      </c>
      <c r="D167" s="11" t="str">
        <f>CH!B227</f>
        <v>TBR</v>
      </c>
      <c r="E167" s="11">
        <f>EZ!B227</f>
        <v>47.6</v>
      </c>
      <c r="F167" s="11" t="str">
        <f>JP!B227</f>
        <v>TBR</v>
      </c>
      <c r="G167" s="11" t="str">
        <f>DE!B227</f>
        <v>TBR</v>
      </c>
      <c r="H167" s="11" t="str">
        <f>FR!B227</f>
        <v>TBR</v>
      </c>
      <c r="I167" s="11">
        <f>UK!B226</f>
        <v>52.7</v>
      </c>
      <c r="J167" s="11" t="str">
        <f>IT!B227</f>
        <v>TBR</v>
      </c>
      <c r="K167" s="11" t="str">
        <f>ES!B227</f>
        <v>TBR</v>
      </c>
      <c r="L167" s="11" t="str">
        <f>BR!B227</f>
        <v>TBR</v>
      </c>
      <c r="M167" s="11" t="str">
        <f>RS!B227</f>
        <v>TBR</v>
      </c>
      <c r="N167" s="11" t="str">
        <f>IN!B227</f>
        <v>TBR</v>
      </c>
      <c r="O167" s="11" t="str">
        <f>AU!B227</f>
        <v>TBR</v>
      </c>
      <c r="P167" s="11" t="str">
        <f>IR!B227</f>
        <v>TBR</v>
      </c>
    </row>
    <row r="168" spans="1:16" x14ac:dyDescent="0.35">
      <c r="A168" s="34">
        <v>46143</v>
      </c>
      <c r="B168" s="35" t="str">
        <f>Global!B228</f>
        <v>TBR</v>
      </c>
      <c r="C168" s="11">
        <f>US!B364</f>
        <v>50.7</v>
      </c>
      <c r="D168" s="11" t="str">
        <f>CH!B228</f>
        <v>TBR</v>
      </c>
      <c r="E168" s="11">
        <f>EZ!B228</f>
        <v>47.7</v>
      </c>
      <c r="F168" s="11">
        <f>JP!B228</f>
        <v>50</v>
      </c>
      <c r="G168" s="11" t="str">
        <f>DE!B228</f>
        <v>TBR</v>
      </c>
      <c r="H168" s="11" t="str">
        <f>FR!B228</f>
        <v>TBR</v>
      </c>
      <c r="I168" s="11">
        <f>UK!B227</f>
        <v>49.3</v>
      </c>
      <c r="J168" s="11" t="str">
        <f>IT!B228</f>
        <v>TBR</v>
      </c>
      <c r="K168" s="11" t="str">
        <f>ES!B228</f>
        <v>TBR</v>
      </c>
      <c r="L168" s="11">
        <f>BR!B228</f>
        <v>50.4</v>
      </c>
      <c r="M168" s="11">
        <f>RS!B228</f>
        <v>48.7</v>
      </c>
      <c r="N168" s="11">
        <f>IN!B228</f>
        <v>59.8</v>
      </c>
      <c r="O168" s="11" t="str">
        <f>AU!B228</f>
        <v>TBR</v>
      </c>
      <c r="P168" s="11" t="str">
        <f>IR!B228</f>
        <v>TBR</v>
      </c>
    </row>
  </sheetData>
  <conditionalFormatting sqref="B2:B30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0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0">
    <cfRule type="colorScale" priority="236">
      <colorScale>
        <cfvo type="num" val="48"/>
        <cfvo type="percentile" val="50"/>
        <cfvo type="max"/>
        <color rgb="FFF8696B"/>
        <color rgb="FFFFEB84"/>
        <color rgb="FF63BE7B"/>
      </colorScale>
    </cfRule>
  </conditionalFormatting>
  <conditionalFormatting sqref="E2:E30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0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0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0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0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0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30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0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0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0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F3:N20"/>
  <sheetViews>
    <sheetView zoomScale="85" zoomScaleNormal="85" workbookViewId="0">
      <selection activeCell="H8" sqref="H8"/>
    </sheetView>
  </sheetViews>
  <sheetFormatPr defaultRowHeight="14.5" x14ac:dyDescent="0.35"/>
  <cols>
    <col min="6" max="9" width="8.7265625" customWidth="1"/>
    <col min="11" max="14" width="8.7265625" customWidth="1"/>
  </cols>
  <sheetData>
    <row r="3" spans="6:14" x14ac:dyDescent="0.35">
      <c r="F3" s="80" t="str">
        <f>"Service PMI "&amp;G4&amp;" 2014 "</f>
        <v xml:space="preserve">Service PMI Nov 2014 </v>
      </c>
      <c r="G3" s="81"/>
      <c r="H3" s="81"/>
      <c r="I3" s="82"/>
      <c r="J3" s="17"/>
      <c r="K3" s="80" t="str">
        <f>"Service PMI "&amp;L4&amp;" 2014 "</f>
        <v xml:space="preserve">Service PMI Nov 2014 </v>
      </c>
      <c r="L3" s="81"/>
      <c r="M3" s="81"/>
      <c r="N3" s="82"/>
    </row>
    <row r="4" spans="6:14" x14ac:dyDescent="0.35">
      <c r="F4" s="18" t="s">
        <v>46</v>
      </c>
      <c r="G4" s="18" t="s">
        <v>278</v>
      </c>
      <c r="H4" s="18" t="s">
        <v>80</v>
      </c>
      <c r="I4" s="19" t="s">
        <v>1</v>
      </c>
      <c r="J4" s="17"/>
      <c r="K4" s="18" t="s">
        <v>46</v>
      </c>
      <c r="L4" s="18" t="s">
        <v>278</v>
      </c>
      <c r="M4" s="18" t="s">
        <v>80</v>
      </c>
      <c r="N4" s="19" t="s">
        <v>1</v>
      </c>
    </row>
    <row r="5" spans="6:14" x14ac:dyDescent="0.35">
      <c r="F5" s="20" t="s">
        <v>44</v>
      </c>
      <c r="G5" s="21" t="str">
        <f>Tabs!AH28</f>
        <v>TBR</v>
      </c>
      <c r="H5" s="21" t="str">
        <f>Tabs!AH27</f>
        <v>TBR</v>
      </c>
      <c r="I5" s="22" t="e">
        <f t="shared" ref="I5:I19" si="0">G5-H5</f>
        <v>#VALUE!</v>
      </c>
      <c r="J5" s="17"/>
      <c r="K5" s="20" t="s">
        <v>42</v>
      </c>
      <c r="L5" s="21">
        <v>52.6</v>
      </c>
      <c r="M5" s="21">
        <v>50</v>
      </c>
      <c r="N5" s="22">
        <v>2.6000000000000014</v>
      </c>
    </row>
    <row r="6" spans="6:14" x14ac:dyDescent="0.35">
      <c r="F6" s="20" t="s">
        <v>37</v>
      </c>
      <c r="G6" s="21">
        <f>Tabs!J28</f>
        <v>49.3</v>
      </c>
      <c r="H6" s="21">
        <f>Tabs!J27</f>
        <v>52.7</v>
      </c>
      <c r="I6" s="22">
        <f t="shared" si="0"/>
        <v>-3.4000000000000057</v>
      </c>
      <c r="J6" s="17"/>
      <c r="K6" s="20" t="s">
        <v>37</v>
      </c>
      <c r="L6" s="21">
        <v>58.6</v>
      </c>
      <c r="M6" s="21">
        <v>56.2</v>
      </c>
      <c r="N6" s="22">
        <v>2.3999999999999986</v>
      </c>
    </row>
    <row r="7" spans="6:14" x14ac:dyDescent="0.35">
      <c r="F7" s="20" t="s">
        <v>31</v>
      </c>
      <c r="G7" s="21">
        <f>Tabs!F28</f>
        <v>50.7</v>
      </c>
      <c r="H7" s="21">
        <f>Tabs!F27</f>
        <v>51</v>
      </c>
      <c r="I7" s="22">
        <f t="shared" si="0"/>
        <v>-0.29999999999999716</v>
      </c>
      <c r="J7" s="17"/>
      <c r="K7" s="20" t="s">
        <v>34</v>
      </c>
      <c r="L7" s="21">
        <v>50.6</v>
      </c>
      <c r="M7" s="21">
        <v>48.7</v>
      </c>
      <c r="N7" s="22">
        <v>1.8999999999999986</v>
      </c>
    </row>
    <row r="8" spans="6:14" x14ac:dyDescent="0.35">
      <c r="F8" s="20" t="s">
        <v>30</v>
      </c>
      <c r="G8" s="21" t="str">
        <f>Tabs!B28</f>
        <v>TBR</v>
      </c>
      <c r="H8" s="21" t="str">
        <f>Tabs!B27</f>
        <v>TBR</v>
      </c>
      <c r="I8" s="22" t="e">
        <f t="shared" si="0"/>
        <v>#VALUE!</v>
      </c>
      <c r="J8" s="17"/>
      <c r="K8" s="20" t="s">
        <v>38</v>
      </c>
      <c r="L8" s="21">
        <v>51.8</v>
      </c>
      <c r="M8" s="21">
        <v>50.8</v>
      </c>
      <c r="N8" s="22">
        <v>1</v>
      </c>
    </row>
    <row r="9" spans="6:14" x14ac:dyDescent="0.35">
      <c r="F9" s="20" t="s">
        <v>32</v>
      </c>
      <c r="G9" s="21" t="str">
        <f>Tabs!AX28</f>
        <v>TBR</v>
      </c>
      <c r="H9" s="21" t="str">
        <f>Tabs!AX27</f>
        <v>TBR</v>
      </c>
      <c r="I9" s="22" t="e">
        <f t="shared" si="0"/>
        <v>#VALUE!</v>
      </c>
      <c r="J9" s="17"/>
      <c r="K9" s="20" t="s">
        <v>40</v>
      </c>
      <c r="L9" s="21">
        <v>48.5</v>
      </c>
      <c r="M9" s="21">
        <v>48.2</v>
      </c>
      <c r="N9" s="22">
        <v>0.29999999999999716</v>
      </c>
    </row>
    <row r="10" spans="6:14" x14ac:dyDescent="0.35">
      <c r="F10" s="20" t="s">
        <v>39</v>
      </c>
      <c r="G10" s="21" t="str">
        <f>Tabs!AD28</f>
        <v>TBR</v>
      </c>
      <c r="H10" s="21" t="str">
        <f>Tabs!AD27</f>
        <v>TBR</v>
      </c>
      <c r="I10" s="22" t="e">
        <f t="shared" si="0"/>
        <v>#VALUE!</v>
      </c>
      <c r="J10" s="17"/>
      <c r="K10" s="20" t="s">
        <v>43</v>
      </c>
      <c r="L10" s="21">
        <v>43.8</v>
      </c>
      <c r="M10" s="21">
        <v>43.6</v>
      </c>
      <c r="N10" s="22">
        <v>0.19999999999999574</v>
      </c>
    </row>
    <row r="11" spans="6:14" x14ac:dyDescent="0.35">
      <c r="F11" s="20" t="s">
        <v>42</v>
      </c>
      <c r="G11" s="21">
        <f>Tabs!BB28</f>
        <v>59.8</v>
      </c>
      <c r="H11" s="21" t="str">
        <f>Tabs!BB27</f>
        <v>TBR</v>
      </c>
      <c r="I11" s="22" t="e">
        <f t="shared" si="0"/>
        <v>#VALUE!</v>
      </c>
      <c r="J11" s="17"/>
      <c r="K11" s="20" t="s">
        <v>44</v>
      </c>
      <c r="L11" s="21">
        <v>61.6</v>
      </c>
      <c r="M11" s="21">
        <v>61.5</v>
      </c>
      <c r="N11" s="22">
        <v>0.10000000000000142</v>
      </c>
    </row>
    <row r="12" spans="6:14" x14ac:dyDescent="0.35">
      <c r="F12" s="20" t="s">
        <v>35</v>
      </c>
      <c r="G12" s="21" t="str">
        <f>Tabs!R28</f>
        <v>TBR</v>
      </c>
      <c r="H12" s="21" t="str">
        <f>Tabs!R27</f>
        <v>TBR</v>
      </c>
      <c r="I12" s="22" t="e">
        <f t="shared" si="0"/>
        <v>#VALUE!</v>
      </c>
      <c r="J12" s="17"/>
      <c r="K12" s="20" t="s">
        <v>32</v>
      </c>
      <c r="L12" s="21">
        <v>53</v>
      </c>
      <c r="M12" s="21">
        <v>52.9</v>
      </c>
      <c r="N12" s="22">
        <v>0.10000000000000142</v>
      </c>
    </row>
    <row r="13" spans="6:14" x14ac:dyDescent="0.35">
      <c r="F13" s="20" t="s">
        <v>38</v>
      </c>
      <c r="G13" s="21" t="str">
        <f>Tabs!Z28</f>
        <v>TBR</v>
      </c>
      <c r="H13" s="21" t="str">
        <f>Tabs!Z27</f>
        <v>TBR</v>
      </c>
      <c r="I13" s="22" t="e">
        <f t="shared" si="0"/>
        <v>#VALUE!</v>
      </c>
      <c r="J13" s="17"/>
      <c r="K13" s="20" t="s">
        <v>30</v>
      </c>
      <c r="L13" s="21">
        <v>53.5</v>
      </c>
      <c r="M13" s="21">
        <v>53.7</v>
      </c>
      <c r="N13" s="22">
        <v>-0.20000000000000284</v>
      </c>
    </row>
    <row r="14" spans="6:14" x14ac:dyDescent="0.35">
      <c r="F14" s="20" t="s">
        <v>33</v>
      </c>
      <c r="G14" s="21">
        <f>Tabs!N28</f>
        <v>47.7</v>
      </c>
      <c r="H14" s="21">
        <f>Tabs!N27</f>
        <v>47.6</v>
      </c>
      <c r="I14" s="22">
        <f t="shared" si="0"/>
        <v>0.10000000000000142</v>
      </c>
      <c r="J14" s="17"/>
      <c r="K14" s="20" t="s">
        <v>36</v>
      </c>
      <c r="L14" s="21">
        <v>47.9</v>
      </c>
      <c r="M14" s="21">
        <v>48.3</v>
      </c>
      <c r="N14" s="22">
        <v>-0.39999999999999858</v>
      </c>
    </row>
    <row r="15" spans="6:14" x14ac:dyDescent="0.35">
      <c r="F15" s="20" t="s">
        <v>34</v>
      </c>
      <c r="G15" s="21">
        <f>Tabs!AP28</f>
        <v>50</v>
      </c>
      <c r="H15" s="21" t="str">
        <f>Tabs!AP27</f>
        <v>TBR</v>
      </c>
      <c r="I15" s="22" t="e">
        <f t="shared" si="0"/>
        <v>#VALUE!</v>
      </c>
      <c r="J15" s="17"/>
      <c r="K15" s="20" t="s">
        <v>31</v>
      </c>
      <c r="L15" s="21">
        <v>56.2</v>
      </c>
      <c r="M15" s="21">
        <v>57.1</v>
      </c>
      <c r="N15" s="22">
        <v>-0.89999999999999858</v>
      </c>
    </row>
    <row r="16" spans="6:14" x14ac:dyDescent="0.35">
      <c r="F16" s="20" t="s">
        <v>40</v>
      </c>
      <c r="G16" s="21">
        <f>Tabs!AT28</f>
        <v>50.4</v>
      </c>
      <c r="H16" s="21" t="str">
        <f>Tabs!AT27</f>
        <v>TBR</v>
      </c>
      <c r="I16" s="22" t="e">
        <f t="shared" si="0"/>
        <v>#VALUE!</v>
      </c>
      <c r="J16" s="17"/>
      <c r="K16" s="20" t="s">
        <v>33</v>
      </c>
      <c r="L16" s="21">
        <v>51.1</v>
      </c>
      <c r="M16" s="21">
        <v>52.3</v>
      </c>
      <c r="N16" s="22">
        <v>-1.1999999999999957</v>
      </c>
    </row>
    <row r="17" spans="6:14" x14ac:dyDescent="0.35">
      <c r="F17" s="20" t="s">
        <v>36</v>
      </c>
      <c r="G17" s="21" t="str">
        <f>Tabs!V28</f>
        <v>TBR</v>
      </c>
      <c r="H17" s="21" t="str">
        <f>Tabs!V27</f>
        <v>TBR</v>
      </c>
      <c r="I17" s="22" t="e">
        <f t="shared" si="0"/>
        <v>#VALUE!</v>
      </c>
      <c r="J17" s="17"/>
      <c r="K17" s="20" t="s">
        <v>35</v>
      </c>
      <c r="L17" s="21">
        <v>52.1</v>
      </c>
      <c r="M17" s="21">
        <v>54.4</v>
      </c>
      <c r="N17" s="22">
        <v>-2.2999999999999972</v>
      </c>
    </row>
    <row r="18" spans="6:14" x14ac:dyDescent="0.35">
      <c r="F18" s="20" t="s">
        <v>41</v>
      </c>
      <c r="G18" s="21">
        <f>Tabs!BF28</f>
        <v>48.7</v>
      </c>
      <c r="H18" s="21" t="str">
        <f>Tabs!BF27</f>
        <v>TBR</v>
      </c>
      <c r="I18" s="22" t="e">
        <f t="shared" si="0"/>
        <v>#VALUE!</v>
      </c>
      <c r="J18" s="17"/>
      <c r="K18" s="20" t="s">
        <v>41</v>
      </c>
      <c r="L18" s="21">
        <v>44.5</v>
      </c>
      <c r="M18" s="21">
        <v>47.4</v>
      </c>
      <c r="N18" s="22">
        <v>-2.8999999999999986</v>
      </c>
    </row>
    <row r="19" spans="6:14" x14ac:dyDescent="0.35">
      <c r="F19" s="25" t="s">
        <v>43</v>
      </c>
      <c r="G19" s="23" t="str">
        <f>Tabs!AL28</f>
        <v>TBR</v>
      </c>
      <c r="H19" s="23" t="str">
        <f>Tabs!AL27</f>
        <v>TBR</v>
      </c>
      <c r="I19" s="24" t="e">
        <f t="shared" si="0"/>
        <v>#VALUE!</v>
      </c>
      <c r="J19" s="17"/>
      <c r="K19" s="46" t="s">
        <v>39</v>
      </c>
      <c r="L19" s="23">
        <v>52.7</v>
      </c>
      <c r="M19" s="47">
        <v>55.9</v>
      </c>
      <c r="N19" s="24">
        <v>-3.1999999999999957</v>
      </c>
    </row>
    <row r="20" spans="6:14" x14ac:dyDescent="0.35">
      <c r="J20" s="17"/>
    </row>
  </sheetData>
  <sortState xmlns:xlrd2="http://schemas.microsoft.com/office/spreadsheetml/2017/richdata2" ref="K5:N20">
    <sortCondition descending="1" ref="N5"/>
  </sortState>
  <mergeCells count="2">
    <mergeCell ref="F3:I3"/>
    <mergeCell ref="K3:N3"/>
  </mergeCells>
  <conditionalFormatting sqref="G5:G19">
    <cfRule type="colorScale" priority="231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H5:H19">
    <cfRule type="colorScale" priority="233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I5:I19">
    <cfRule type="colorScale" priority="2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5:M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V225"/>
  <sheetViews>
    <sheetView topLeftCell="A55" zoomScale="70" zoomScaleNormal="70" workbookViewId="0">
      <selection activeCell="M225" sqref="M225"/>
    </sheetView>
  </sheetViews>
  <sheetFormatPr defaultRowHeight="14.5" x14ac:dyDescent="0.35"/>
  <cols>
    <col min="10" max="10" width="10.6328125" bestFit="1" customWidth="1"/>
  </cols>
  <sheetData>
    <row r="1" spans="1:12" ht="29" thickBot="1" x14ac:dyDescent="0.4">
      <c r="C1" s="42">
        <v>46143</v>
      </c>
      <c r="E1" s="60" t="s">
        <v>81</v>
      </c>
      <c r="F1" s="60" t="s">
        <v>82</v>
      </c>
      <c r="G1" s="60" t="s">
        <v>83</v>
      </c>
      <c r="H1" s="60" t="s">
        <v>84</v>
      </c>
      <c r="I1" s="60" t="s">
        <v>85</v>
      </c>
      <c r="J1" s="60" t="s">
        <v>86</v>
      </c>
      <c r="K1" s="60" t="s">
        <v>87</v>
      </c>
      <c r="L1" s="60" t="s">
        <v>88</v>
      </c>
    </row>
    <row r="2" spans="1:12" ht="15.5" thickTop="1" thickBot="1" x14ac:dyDescent="0.4">
      <c r="A2" t="s">
        <v>31</v>
      </c>
      <c r="B2" t="s">
        <v>55</v>
      </c>
      <c r="C2" t="str">
        <f>IF(VLOOKUP(B2,$E$2:$L$52,7,FALSE)=$C$1,VLOOKUP(B2,$E$2:$L$52,2,FALSE),"")</f>
        <v/>
      </c>
      <c r="E2" t="s">
        <v>43</v>
      </c>
      <c r="F2" s="48">
        <v>43.8</v>
      </c>
      <c r="G2" s="49">
        <v>43.6</v>
      </c>
      <c r="H2" s="58">
        <v>55.2</v>
      </c>
      <c r="I2" s="58">
        <v>39</v>
      </c>
      <c r="J2" s="58" t="s">
        <v>78</v>
      </c>
      <c r="K2" s="59">
        <v>41944</v>
      </c>
      <c r="L2" s="58" t="s">
        <v>79</v>
      </c>
    </row>
    <row r="3" spans="1:12" ht="15" thickBot="1" x14ac:dyDescent="0.4">
      <c r="A3" t="s">
        <v>37</v>
      </c>
      <c r="B3" t="s">
        <v>60</v>
      </c>
      <c r="C3" t="str">
        <f t="shared" ref="C3:C15" si="0">IF(VLOOKUP(B3,$E$2:$L$52,7,FALSE)=$C$1,VLOOKUP(B3,$E$2:$L$52,2,FALSE),"")</f>
        <v/>
      </c>
      <c r="E3" t="s">
        <v>40</v>
      </c>
      <c r="F3" s="48">
        <v>48.5</v>
      </c>
      <c r="G3" s="49">
        <v>48.2</v>
      </c>
      <c r="H3" s="58">
        <v>57.1</v>
      </c>
      <c r="I3" s="58">
        <v>48.1</v>
      </c>
      <c r="J3" s="58" t="s">
        <v>78</v>
      </c>
      <c r="K3" s="59">
        <v>41944</v>
      </c>
      <c r="L3" s="58" t="s">
        <v>79</v>
      </c>
    </row>
    <row r="4" spans="1:12" ht="15" thickBot="1" x14ac:dyDescent="0.4">
      <c r="A4" t="s">
        <v>65</v>
      </c>
      <c r="B4" t="s">
        <v>77</v>
      </c>
      <c r="C4" t="str">
        <f t="shared" si="0"/>
        <v/>
      </c>
      <c r="E4" t="s">
        <v>57</v>
      </c>
      <c r="F4" s="48">
        <v>53</v>
      </c>
      <c r="G4" s="49">
        <v>52.9</v>
      </c>
      <c r="H4" s="58">
        <v>54.7</v>
      </c>
      <c r="I4" s="58">
        <v>50</v>
      </c>
      <c r="J4" s="58" t="s">
        <v>78</v>
      </c>
      <c r="K4" s="59">
        <v>41944</v>
      </c>
      <c r="L4" s="58" t="s">
        <v>79</v>
      </c>
    </row>
    <row r="5" spans="1:12" ht="15" thickBot="1" x14ac:dyDescent="0.4">
      <c r="A5" t="s">
        <v>66</v>
      </c>
      <c r="B5" t="s">
        <v>35</v>
      </c>
      <c r="C5" t="str">
        <f t="shared" si="0"/>
        <v/>
      </c>
      <c r="E5" t="s">
        <v>77</v>
      </c>
      <c r="F5" s="48">
        <v>51.1</v>
      </c>
      <c r="G5" s="49">
        <v>52.3</v>
      </c>
      <c r="H5" s="58">
        <v>58.3</v>
      </c>
      <c r="I5" s="58">
        <v>39.200000000000003</v>
      </c>
      <c r="J5" s="58" t="s">
        <v>78</v>
      </c>
      <c r="K5" s="59">
        <v>41944</v>
      </c>
      <c r="L5" s="58" t="s">
        <v>79</v>
      </c>
    </row>
    <row r="6" spans="1:12" ht="15" thickBot="1" x14ac:dyDescent="0.4">
      <c r="A6" t="s">
        <v>67</v>
      </c>
      <c r="B6" t="s">
        <v>36</v>
      </c>
      <c r="C6" t="str">
        <f t="shared" si="0"/>
        <v/>
      </c>
      <c r="E6" t="s">
        <v>36</v>
      </c>
      <c r="F6" s="48">
        <v>47.9</v>
      </c>
      <c r="G6" s="49">
        <v>48.3</v>
      </c>
      <c r="H6" s="58">
        <v>62.9</v>
      </c>
      <c r="I6" s="58">
        <v>40.200000000000003</v>
      </c>
      <c r="J6" s="58" t="s">
        <v>78</v>
      </c>
      <c r="K6" s="59">
        <v>41944</v>
      </c>
      <c r="L6" s="58" t="s">
        <v>79</v>
      </c>
    </row>
    <row r="7" spans="1:12" ht="15" thickBot="1" x14ac:dyDescent="0.4">
      <c r="A7" t="s">
        <v>68</v>
      </c>
      <c r="B7" t="s">
        <v>61</v>
      </c>
      <c r="C7" t="str">
        <f t="shared" si="0"/>
        <v/>
      </c>
      <c r="E7" t="s">
        <v>35</v>
      </c>
      <c r="F7" s="48">
        <v>52.1</v>
      </c>
      <c r="G7" s="49">
        <v>54.4</v>
      </c>
      <c r="H7" s="58">
        <v>60.3</v>
      </c>
      <c r="I7" s="58">
        <v>41.3</v>
      </c>
      <c r="J7" s="58" t="s">
        <v>78</v>
      </c>
      <c r="K7" s="59">
        <v>41944</v>
      </c>
      <c r="L7" s="58" t="s">
        <v>79</v>
      </c>
    </row>
    <row r="8" spans="1:12" ht="15" thickBot="1" x14ac:dyDescent="0.4">
      <c r="A8" t="s">
        <v>69</v>
      </c>
      <c r="B8" t="s">
        <v>39</v>
      </c>
      <c r="C8" t="str">
        <f t="shared" si="0"/>
        <v/>
      </c>
      <c r="E8" t="s">
        <v>42</v>
      </c>
      <c r="F8" s="48">
        <v>52.6</v>
      </c>
      <c r="G8" s="49">
        <v>50</v>
      </c>
      <c r="H8" s="58">
        <v>57.5</v>
      </c>
      <c r="I8" s="58">
        <v>44.6</v>
      </c>
      <c r="J8" s="58" t="s">
        <v>78</v>
      </c>
      <c r="K8" s="59">
        <v>41944</v>
      </c>
      <c r="L8" s="58" t="s">
        <v>79</v>
      </c>
    </row>
    <row r="9" spans="1:12" ht="15" thickBot="1" x14ac:dyDescent="0.4">
      <c r="A9" t="s">
        <v>70</v>
      </c>
      <c r="B9" t="s">
        <v>44</v>
      </c>
      <c r="C9" t="str">
        <f t="shared" si="0"/>
        <v/>
      </c>
      <c r="E9" t="s">
        <v>44</v>
      </c>
      <c r="F9" s="48">
        <v>61.6</v>
      </c>
      <c r="G9" s="49">
        <v>61.5</v>
      </c>
      <c r="H9" s="58">
        <v>62.6</v>
      </c>
      <c r="I9" s="58">
        <v>48.3</v>
      </c>
      <c r="J9" s="58" t="s">
        <v>78</v>
      </c>
      <c r="K9" s="59">
        <v>41944</v>
      </c>
      <c r="L9" s="58" t="s">
        <v>79</v>
      </c>
    </row>
    <row r="10" spans="1:12" ht="15" thickBot="1" x14ac:dyDescent="0.4">
      <c r="A10" t="s">
        <v>71</v>
      </c>
      <c r="B10" t="s">
        <v>43</v>
      </c>
      <c r="C10" t="str">
        <f t="shared" si="0"/>
        <v/>
      </c>
      <c r="E10" t="s">
        <v>61</v>
      </c>
      <c r="F10" s="48">
        <v>51.8</v>
      </c>
      <c r="G10" s="49">
        <v>50.8</v>
      </c>
      <c r="H10" s="58">
        <v>53.9</v>
      </c>
      <c r="I10" s="58">
        <v>42.3</v>
      </c>
      <c r="J10" s="58" t="s">
        <v>78</v>
      </c>
      <c r="K10" s="59">
        <v>41944</v>
      </c>
      <c r="L10" s="58" t="s">
        <v>79</v>
      </c>
    </row>
    <row r="11" spans="1:12" ht="15" thickBot="1" x14ac:dyDescent="0.4">
      <c r="A11" t="s">
        <v>74</v>
      </c>
      <c r="B11" t="s">
        <v>57</v>
      </c>
      <c r="C11" t="str">
        <f t="shared" si="0"/>
        <v/>
      </c>
      <c r="E11" t="s">
        <v>59</v>
      </c>
      <c r="F11" s="48">
        <v>50.6</v>
      </c>
      <c r="G11" s="49">
        <v>48.7</v>
      </c>
      <c r="H11" s="58">
        <v>55.3</v>
      </c>
      <c r="I11" s="58">
        <v>46.4</v>
      </c>
      <c r="J11" s="58" t="s">
        <v>78</v>
      </c>
      <c r="K11" s="59">
        <v>41944</v>
      </c>
      <c r="L11" s="58" t="s">
        <v>79</v>
      </c>
    </row>
    <row r="12" spans="1:12" ht="15" thickBot="1" x14ac:dyDescent="0.4">
      <c r="A12" t="s">
        <v>72</v>
      </c>
      <c r="B12" t="s">
        <v>59</v>
      </c>
      <c r="C12" t="str">
        <f t="shared" si="0"/>
        <v/>
      </c>
      <c r="E12" t="s">
        <v>41</v>
      </c>
      <c r="F12" s="48">
        <v>44.5</v>
      </c>
      <c r="G12" s="49">
        <v>47.4</v>
      </c>
      <c r="H12" s="58">
        <v>57.6</v>
      </c>
      <c r="I12" s="58">
        <v>46.1</v>
      </c>
      <c r="J12" s="58" t="s">
        <v>78</v>
      </c>
      <c r="K12" s="59">
        <v>41944</v>
      </c>
      <c r="L12" s="58" t="s">
        <v>79</v>
      </c>
    </row>
    <row r="13" spans="1:12" ht="15" thickBot="1" x14ac:dyDescent="0.4">
      <c r="A13" t="s">
        <v>73</v>
      </c>
      <c r="B13" t="s">
        <v>40</v>
      </c>
      <c r="C13" t="str">
        <f t="shared" si="0"/>
        <v/>
      </c>
      <c r="E13" t="s">
        <v>39</v>
      </c>
      <c r="F13" s="48">
        <v>52.7</v>
      </c>
      <c r="G13" s="49">
        <v>55.9</v>
      </c>
      <c r="H13" s="58">
        <v>58.1</v>
      </c>
      <c r="I13" s="58">
        <v>36.799999999999997</v>
      </c>
      <c r="J13" s="58" t="s">
        <v>78</v>
      </c>
      <c r="K13" s="59">
        <v>41944</v>
      </c>
      <c r="L13" s="58" t="s">
        <v>79</v>
      </c>
    </row>
    <row r="14" spans="1:12" ht="15" thickBot="1" x14ac:dyDescent="0.4">
      <c r="A14" t="s">
        <v>75</v>
      </c>
      <c r="B14" t="s">
        <v>42</v>
      </c>
      <c r="C14" t="str">
        <f t="shared" si="0"/>
        <v/>
      </c>
      <c r="E14" t="s">
        <v>93</v>
      </c>
      <c r="F14" s="48">
        <v>56.9</v>
      </c>
      <c r="G14" s="49">
        <v>57.6</v>
      </c>
      <c r="H14" s="58">
        <v>65.599999999999994</v>
      </c>
      <c r="I14" s="58">
        <v>34.299999999999997</v>
      </c>
      <c r="J14" s="58" t="s">
        <v>78</v>
      </c>
      <c r="K14" s="59">
        <v>41944</v>
      </c>
      <c r="L14" s="58" t="s">
        <v>79</v>
      </c>
    </row>
    <row r="15" spans="1:12" ht="15" thickBot="1" x14ac:dyDescent="0.4">
      <c r="A15" t="s">
        <v>76</v>
      </c>
      <c r="B15" t="s">
        <v>41</v>
      </c>
      <c r="C15" t="str">
        <f t="shared" si="0"/>
        <v/>
      </c>
      <c r="E15" t="s">
        <v>60</v>
      </c>
      <c r="F15" s="48">
        <v>58.6</v>
      </c>
      <c r="G15" s="49">
        <v>56.2</v>
      </c>
      <c r="H15" s="58">
        <v>62.5</v>
      </c>
      <c r="I15" s="58">
        <v>40.1</v>
      </c>
      <c r="J15" s="58" t="s">
        <v>78</v>
      </c>
      <c r="K15" s="59">
        <v>41944</v>
      </c>
      <c r="L15" s="58" t="s">
        <v>79</v>
      </c>
    </row>
    <row r="16" spans="1:12" ht="15" thickBot="1" x14ac:dyDescent="0.4">
      <c r="E16" t="s">
        <v>55</v>
      </c>
      <c r="F16" s="48">
        <v>56.2</v>
      </c>
      <c r="G16" s="49">
        <v>57.1</v>
      </c>
      <c r="H16" s="58">
        <v>61</v>
      </c>
      <c r="I16" s="58">
        <v>49.3</v>
      </c>
      <c r="J16" s="58" t="s">
        <v>78</v>
      </c>
      <c r="K16" s="59">
        <v>41944</v>
      </c>
      <c r="L16" s="58" t="s">
        <v>79</v>
      </c>
    </row>
    <row r="29" spans="1:22" ht="15" thickBot="1" x14ac:dyDescent="0.4">
      <c r="A29" t="s">
        <v>183</v>
      </c>
    </row>
    <row r="30" spans="1:22" ht="29" thickBot="1" x14ac:dyDescent="0.4">
      <c r="A30" s="60" t="s">
        <v>81</v>
      </c>
      <c r="B30" s="60" t="s">
        <v>82</v>
      </c>
      <c r="C30" s="60" t="s">
        <v>83</v>
      </c>
      <c r="D30" s="60" t="s">
        <v>84</v>
      </c>
      <c r="E30" s="60" t="s">
        <v>85</v>
      </c>
      <c r="F30" s="60" t="s">
        <v>86</v>
      </c>
      <c r="G30" s="60" t="s">
        <v>87</v>
      </c>
      <c r="H30" s="60" t="s">
        <v>88</v>
      </c>
      <c r="K30" s="84" t="s">
        <v>81</v>
      </c>
      <c r="L30" s="83" t="s">
        <v>184</v>
      </c>
      <c r="M30" s="83" t="s">
        <v>185</v>
      </c>
      <c r="N30" s="83" t="s">
        <v>186</v>
      </c>
      <c r="O30" s="83" t="s">
        <v>187</v>
      </c>
      <c r="P30" s="83" t="s">
        <v>188</v>
      </c>
      <c r="Q30" s="83" t="s">
        <v>189</v>
      </c>
      <c r="R30" s="83" t="s">
        <v>190</v>
      </c>
      <c r="S30" s="83" t="s">
        <v>191</v>
      </c>
      <c r="T30" s="83" t="s">
        <v>192</v>
      </c>
      <c r="U30" s="83" t="s">
        <v>193</v>
      </c>
      <c r="V30" s="83" t="s">
        <v>194</v>
      </c>
    </row>
    <row r="31" spans="1:22" ht="15.5" thickTop="1" thickBot="1" x14ac:dyDescent="0.4">
      <c r="A31" t="s">
        <v>94</v>
      </c>
      <c r="B31" s="48">
        <v>0.38</v>
      </c>
      <c r="C31" s="49">
        <v>0.12</v>
      </c>
      <c r="D31" s="58">
        <v>6</v>
      </c>
      <c r="E31" s="58">
        <v>-2.6</v>
      </c>
      <c r="F31" s="58" t="s">
        <v>95</v>
      </c>
      <c r="G31" s="59">
        <v>41760</v>
      </c>
      <c r="H31" s="58" t="s">
        <v>96</v>
      </c>
      <c r="K31" s="85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 spans="1:22" ht="15" thickBot="1" x14ac:dyDescent="0.4">
      <c r="A32" t="s">
        <v>97</v>
      </c>
      <c r="B32" s="48">
        <v>3.1</v>
      </c>
      <c r="C32" s="49">
        <v>2.6</v>
      </c>
      <c r="D32" s="58">
        <v>6.7</v>
      </c>
      <c r="E32" s="58">
        <v>2</v>
      </c>
      <c r="F32" s="58" t="s">
        <v>95</v>
      </c>
      <c r="G32" s="59">
        <v>41244</v>
      </c>
      <c r="H32" s="58" t="s">
        <v>98</v>
      </c>
      <c r="K32" t="s">
        <v>55</v>
      </c>
      <c r="L32">
        <v>16800</v>
      </c>
      <c r="M32">
        <v>2.4E-2</v>
      </c>
      <c r="N32">
        <v>3.9E-2</v>
      </c>
      <c r="O32">
        <v>2.5000000000000001E-3</v>
      </c>
      <c r="P32">
        <v>1.7000000000000001E-2</v>
      </c>
      <c r="Q32">
        <v>5.8000000000000003E-2</v>
      </c>
      <c r="R32">
        <v>-2.8000000000000001E-2</v>
      </c>
      <c r="S32">
        <v>1.0153000000000001</v>
      </c>
      <c r="T32">
        <v>-2.2999999999999998</v>
      </c>
      <c r="U32">
        <v>119.89</v>
      </c>
      <c r="V32">
        <v>317.3</v>
      </c>
    </row>
    <row r="33" spans="1:22" ht="15" thickBot="1" x14ac:dyDescent="0.4">
      <c r="A33" t="s">
        <v>99</v>
      </c>
      <c r="B33" s="48">
        <v>7.4</v>
      </c>
      <c r="C33" s="49">
        <v>5.2</v>
      </c>
      <c r="D33" s="58">
        <v>23.2</v>
      </c>
      <c r="E33" s="58">
        <v>2.4</v>
      </c>
      <c r="F33" s="58" t="s">
        <v>95</v>
      </c>
      <c r="G33" s="59">
        <v>41609</v>
      </c>
      <c r="H33" s="58" t="s">
        <v>98</v>
      </c>
      <c r="K33" t="s">
        <v>77</v>
      </c>
      <c r="L33">
        <v>12750</v>
      </c>
      <c r="M33">
        <v>8.0000000000000002E-3</v>
      </c>
      <c r="N33">
        <v>2E-3</v>
      </c>
      <c r="O33">
        <v>5.0000000000000001E-4</v>
      </c>
      <c r="P33">
        <v>3.0000000000000001E-3</v>
      </c>
      <c r="Q33">
        <v>0.115</v>
      </c>
      <c r="R33">
        <v>-2.9000000000000001E-2</v>
      </c>
      <c r="S33">
        <v>0.90900000000000003</v>
      </c>
      <c r="T33">
        <v>2.4</v>
      </c>
      <c r="U33">
        <v>1.23</v>
      </c>
      <c r="V33">
        <v>332.88</v>
      </c>
    </row>
    <row r="34" spans="1:22" ht="15" thickBot="1" x14ac:dyDescent="0.4">
      <c r="A34" t="s">
        <v>100</v>
      </c>
      <c r="B34" s="48">
        <v>0.9</v>
      </c>
      <c r="C34" s="49">
        <v>-0.5</v>
      </c>
      <c r="D34" s="58">
        <v>5.0999999999999996</v>
      </c>
      <c r="E34" s="58">
        <v>-5.7</v>
      </c>
      <c r="F34" s="58" t="s">
        <v>95</v>
      </c>
      <c r="G34" s="59">
        <v>41760</v>
      </c>
      <c r="H34" s="58" t="s">
        <v>96</v>
      </c>
      <c r="K34" t="s">
        <v>57</v>
      </c>
      <c r="L34">
        <v>9240</v>
      </c>
      <c r="M34">
        <v>7.2999999999999995E-2</v>
      </c>
      <c r="N34">
        <v>1.9E-2</v>
      </c>
      <c r="O34">
        <v>5.6000000000000001E-2</v>
      </c>
      <c r="P34">
        <v>1.6E-2</v>
      </c>
      <c r="Q34">
        <v>4.1000000000000002E-2</v>
      </c>
      <c r="R34">
        <v>-2.1000000000000001E-2</v>
      </c>
      <c r="S34">
        <v>0.224</v>
      </c>
      <c r="T34">
        <v>2</v>
      </c>
      <c r="U34">
        <v>6.15</v>
      </c>
      <c r="V34">
        <v>1360.72</v>
      </c>
    </row>
    <row r="35" spans="1:22" ht="15" thickBot="1" x14ac:dyDescent="0.4">
      <c r="A35" t="s">
        <v>43</v>
      </c>
      <c r="B35" s="48">
        <v>0.3</v>
      </c>
      <c r="C35" s="49">
        <v>0.5</v>
      </c>
      <c r="D35" s="58">
        <v>4.5</v>
      </c>
      <c r="E35" s="58">
        <v>-2</v>
      </c>
      <c r="F35" s="58" t="s">
        <v>95</v>
      </c>
      <c r="G35" s="59">
        <v>41852</v>
      </c>
      <c r="H35" s="58" t="s">
        <v>96</v>
      </c>
      <c r="K35" t="s">
        <v>59</v>
      </c>
      <c r="L35">
        <v>4901</v>
      </c>
      <c r="M35">
        <v>-1.2E-2</v>
      </c>
      <c r="N35">
        <v>-4.0000000000000001E-3</v>
      </c>
      <c r="O35">
        <v>0</v>
      </c>
      <c r="P35">
        <v>2.9000000000000001E-2</v>
      </c>
      <c r="Q35">
        <v>3.5000000000000003E-2</v>
      </c>
      <c r="R35">
        <v>-7.5999999999999998E-2</v>
      </c>
      <c r="S35">
        <v>2.2719999999999998</v>
      </c>
      <c r="T35">
        <v>0.7</v>
      </c>
      <c r="U35">
        <v>119.65</v>
      </c>
      <c r="V35">
        <v>127.22</v>
      </c>
    </row>
    <row r="36" spans="1:22" ht="15" thickBot="1" x14ac:dyDescent="0.4">
      <c r="A36" t="s">
        <v>101</v>
      </c>
      <c r="B36" s="48">
        <v>-0.3</v>
      </c>
      <c r="C36" s="49">
        <v>0.1</v>
      </c>
      <c r="D36" s="58">
        <v>1.6</v>
      </c>
      <c r="E36" s="58">
        <v>-1.8</v>
      </c>
      <c r="F36" s="58" t="s">
        <v>95</v>
      </c>
      <c r="G36" s="59">
        <v>41852</v>
      </c>
      <c r="H36" s="58" t="s">
        <v>96</v>
      </c>
      <c r="K36" t="s">
        <v>35</v>
      </c>
      <c r="L36">
        <v>3635</v>
      </c>
      <c r="M36">
        <v>1.2E-2</v>
      </c>
      <c r="N36">
        <v>1E-3</v>
      </c>
      <c r="O36">
        <v>5.0000000000000001E-4</v>
      </c>
      <c r="P36">
        <v>6.0000000000000001E-3</v>
      </c>
      <c r="Q36">
        <v>4.9000000000000002E-2</v>
      </c>
      <c r="R36">
        <v>1E-3</v>
      </c>
      <c r="S36">
        <v>0.76900000000000002</v>
      </c>
      <c r="T36">
        <v>7.5</v>
      </c>
      <c r="U36">
        <v>1.23</v>
      </c>
      <c r="V36">
        <v>80.52</v>
      </c>
    </row>
    <row r="37" spans="1:22" ht="15" thickBot="1" x14ac:dyDescent="0.4">
      <c r="A37" t="s">
        <v>102</v>
      </c>
      <c r="B37" s="48">
        <v>2.2799999999999998</v>
      </c>
      <c r="C37" s="49">
        <v>0.26</v>
      </c>
      <c r="D37" s="58">
        <v>2.8</v>
      </c>
      <c r="E37" s="58">
        <v>-6.6</v>
      </c>
      <c r="F37" s="58" t="s">
        <v>95</v>
      </c>
      <c r="G37" s="59">
        <v>41760</v>
      </c>
      <c r="H37" s="58" t="s">
        <v>96</v>
      </c>
      <c r="K37" t="s">
        <v>36</v>
      </c>
      <c r="L37">
        <v>2735</v>
      </c>
      <c r="M37">
        <v>4.0000000000000001E-3</v>
      </c>
      <c r="N37">
        <v>3.0000000000000001E-3</v>
      </c>
      <c r="O37">
        <v>5.0000000000000001E-4</v>
      </c>
      <c r="P37">
        <v>5.0000000000000001E-3</v>
      </c>
      <c r="Q37">
        <v>0.104</v>
      </c>
      <c r="R37">
        <v>-4.1000000000000002E-2</v>
      </c>
      <c r="S37">
        <v>0.92200000000000004</v>
      </c>
      <c r="T37">
        <v>-1.3</v>
      </c>
      <c r="U37">
        <v>1.23</v>
      </c>
      <c r="V37">
        <v>65.8</v>
      </c>
    </row>
    <row r="38" spans="1:22" ht="15" thickBot="1" x14ac:dyDescent="0.4">
      <c r="A38" t="s">
        <v>103</v>
      </c>
      <c r="B38" s="48">
        <v>6.01</v>
      </c>
      <c r="C38" s="49">
        <v>6.32</v>
      </c>
      <c r="D38" s="58">
        <v>6.71</v>
      </c>
      <c r="E38" s="58">
        <v>4.08</v>
      </c>
      <c r="F38" s="58" t="s">
        <v>95</v>
      </c>
      <c r="G38" s="59">
        <v>41426</v>
      </c>
      <c r="H38" s="58" t="s">
        <v>98</v>
      </c>
      <c r="K38" t="s">
        <v>60</v>
      </c>
      <c r="L38">
        <v>2522</v>
      </c>
      <c r="M38">
        <v>0.03</v>
      </c>
      <c r="N38">
        <v>7.0000000000000001E-3</v>
      </c>
      <c r="O38">
        <v>5.0000000000000001E-3</v>
      </c>
      <c r="P38">
        <v>1.2999999999999999E-2</v>
      </c>
      <c r="Q38">
        <v>0.06</v>
      </c>
      <c r="R38">
        <v>-5.8000000000000003E-2</v>
      </c>
      <c r="S38">
        <v>0.90600000000000003</v>
      </c>
      <c r="T38">
        <v>-4.4000000000000004</v>
      </c>
      <c r="U38">
        <v>1.57</v>
      </c>
      <c r="V38">
        <v>63.9</v>
      </c>
    </row>
    <row r="39" spans="1:22" ht="15" thickBot="1" x14ac:dyDescent="0.4">
      <c r="A39" t="s">
        <v>104</v>
      </c>
      <c r="B39" s="48">
        <v>0.3</v>
      </c>
      <c r="C39" s="49">
        <v>0.1</v>
      </c>
      <c r="D39" s="58">
        <v>15.8</v>
      </c>
      <c r="E39" s="58">
        <v>-2.2000000000000002</v>
      </c>
      <c r="F39" s="58" t="s">
        <v>95</v>
      </c>
      <c r="G39" s="59">
        <v>41852</v>
      </c>
      <c r="H39" s="58" t="s">
        <v>96</v>
      </c>
      <c r="K39" t="s">
        <v>40</v>
      </c>
      <c r="L39">
        <v>2246</v>
      </c>
      <c r="M39">
        <v>-2E-3</v>
      </c>
      <c r="N39">
        <v>1E-3</v>
      </c>
      <c r="O39">
        <v>0.11749999999999999</v>
      </c>
      <c r="P39">
        <v>6.59E-2</v>
      </c>
      <c r="Q39">
        <v>4.7E-2</v>
      </c>
      <c r="R39">
        <v>1.9E-2</v>
      </c>
      <c r="S39">
        <v>0.56799999999999995</v>
      </c>
      <c r="T39">
        <v>-3.66</v>
      </c>
      <c r="U39">
        <v>2.5499999999999998</v>
      </c>
      <c r="V39">
        <v>201.03</v>
      </c>
    </row>
    <row r="40" spans="1:22" ht="15" thickBot="1" x14ac:dyDescent="0.4">
      <c r="A40" t="s">
        <v>105</v>
      </c>
      <c r="B40" s="48">
        <v>9.94</v>
      </c>
      <c r="C40" s="49">
        <v>-2.1</v>
      </c>
      <c r="D40" s="58">
        <v>13.45</v>
      </c>
      <c r="E40" s="58">
        <v>-10.63</v>
      </c>
      <c r="F40" s="58" t="s">
        <v>95</v>
      </c>
      <c r="G40" s="59">
        <v>41760</v>
      </c>
      <c r="H40" s="58" t="s">
        <v>96</v>
      </c>
      <c r="K40" t="s">
        <v>41</v>
      </c>
      <c r="L40">
        <v>2097</v>
      </c>
      <c r="M40">
        <v>7.0000000000000001E-3</v>
      </c>
      <c r="N40">
        <v>2.5000000000000001E-3</v>
      </c>
      <c r="O40">
        <v>9.5000000000000001E-2</v>
      </c>
      <c r="P40">
        <v>8.3000000000000004E-2</v>
      </c>
      <c r="Q40">
        <v>5.0999999999999997E-2</v>
      </c>
      <c r="R40">
        <v>-5.0000000000000001E-3</v>
      </c>
      <c r="S40">
        <v>0.1341</v>
      </c>
      <c r="T40">
        <v>1.56</v>
      </c>
      <c r="U40">
        <v>52.89</v>
      </c>
      <c r="V40">
        <v>143.69999999999999</v>
      </c>
    </row>
    <row r="41" spans="1:22" ht="15" thickBot="1" x14ac:dyDescent="0.4">
      <c r="A41" t="s">
        <v>106</v>
      </c>
      <c r="B41" s="48">
        <v>-7.43</v>
      </c>
      <c r="C41" s="49">
        <v>9.9499999999999993</v>
      </c>
      <c r="D41" s="58">
        <v>17.600000000000001</v>
      </c>
      <c r="E41" s="58">
        <v>-15.7</v>
      </c>
      <c r="F41" s="58" t="s">
        <v>95</v>
      </c>
      <c r="G41" s="59">
        <v>41760</v>
      </c>
      <c r="H41" s="58" t="s">
        <v>96</v>
      </c>
      <c r="K41" t="s">
        <v>61</v>
      </c>
      <c r="L41">
        <v>2071</v>
      </c>
      <c r="M41">
        <v>-5.0000000000000001E-3</v>
      </c>
      <c r="N41">
        <v>-1E-3</v>
      </c>
      <c r="O41">
        <v>5.0000000000000001E-4</v>
      </c>
      <c r="P41">
        <v>1.9E-3</v>
      </c>
      <c r="Q41">
        <v>0.13200000000000001</v>
      </c>
      <c r="R41">
        <v>-2.8000000000000001E-2</v>
      </c>
      <c r="S41">
        <v>1.3260000000000001</v>
      </c>
      <c r="T41">
        <v>1</v>
      </c>
      <c r="U41">
        <v>1.23</v>
      </c>
      <c r="V41">
        <v>59.69</v>
      </c>
    </row>
    <row r="42" spans="1:22" ht="15" thickBot="1" x14ac:dyDescent="0.4">
      <c r="A42" t="s">
        <v>107</v>
      </c>
      <c r="B42" s="48">
        <v>-1.2</v>
      </c>
      <c r="C42" s="49">
        <v>1.3</v>
      </c>
      <c r="D42" s="58">
        <v>1.3</v>
      </c>
      <c r="E42" s="58">
        <v>-1.6</v>
      </c>
      <c r="F42" s="58" t="s">
        <v>95</v>
      </c>
      <c r="G42" s="59">
        <v>41760</v>
      </c>
      <c r="H42" s="58" t="s">
        <v>96</v>
      </c>
      <c r="K42" t="s">
        <v>42</v>
      </c>
      <c r="L42">
        <v>1877</v>
      </c>
      <c r="M42">
        <v>5.2999999999999999E-2</v>
      </c>
      <c r="N42">
        <v>1.2E-2</v>
      </c>
      <c r="O42">
        <v>0.08</v>
      </c>
      <c r="P42">
        <v>5.5199999999999999E-2</v>
      </c>
      <c r="Q42">
        <v>5.1999999999999998E-2</v>
      </c>
      <c r="R42">
        <v>-4.4999999999999998E-2</v>
      </c>
      <c r="S42">
        <v>0.67720000000000002</v>
      </c>
      <c r="T42">
        <v>-1.7</v>
      </c>
      <c r="U42">
        <v>61.85</v>
      </c>
      <c r="V42">
        <v>1233</v>
      </c>
    </row>
    <row r="43" spans="1:22" ht="15" thickBot="1" x14ac:dyDescent="0.4">
      <c r="A43" t="s">
        <v>108</v>
      </c>
      <c r="B43" s="48">
        <v>1.6</v>
      </c>
      <c r="C43" s="49">
        <v>-0.7</v>
      </c>
      <c r="D43" s="58">
        <v>13.4</v>
      </c>
      <c r="E43" s="58">
        <v>-14.4</v>
      </c>
      <c r="F43" s="58" t="s">
        <v>95</v>
      </c>
      <c r="G43" s="59">
        <v>41760</v>
      </c>
      <c r="H43" s="58" t="s">
        <v>96</v>
      </c>
      <c r="K43" t="s">
        <v>111</v>
      </c>
      <c r="L43">
        <v>1825</v>
      </c>
      <c r="M43">
        <v>2.5899999999999999E-2</v>
      </c>
      <c r="N43">
        <v>7.0000000000000001E-3</v>
      </c>
      <c r="O43">
        <v>0.01</v>
      </c>
      <c r="P43">
        <v>2.4E-2</v>
      </c>
      <c r="Q43">
        <v>6.5000000000000002E-2</v>
      </c>
      <c r="R43">
        <v>-0.01</v>
      </c>
      <c r="S43">
        <v>0.89100000000000001</v>
      </c>
      <c r="T43">
        <v>-3.2</v>
      </c>
      <c r="U43">
        <v>1.1299999999999999</v>
      </c>
      <c r="V43">
        <v>35.35</v>
      </c>
    </row>
    <row r="44" spans="1:22" ht="15" thickBot="1" x14ac:dyDescent="0.4">
      <c r="A44" t="s">
        <v>40</v>
      </c>
      <c r="B44" s="48">
        <v>0.1</v>
      </c>
      <c r="C44" s="49">
        <v>-0.6</v>
      </c>
      <c r="D44" s="58">
        <v>4.5</v>
      </c>
      <c r="E44" s="58">
        <v>-4.2</v>
      </c>
      <c r="F44" s="58" t="s">
        <v>95</v>
      </c>
      <c r="G44" s="59">
        <v>41852</v>
      </c>
      <c r="H44" s="58" t="s">
        <v>96</v>
      </c>
      <c r="K44" t="s">
        <v>43</v>
      </c>
      <c r="L44">
        <v>1561</v>
      </c>
      <c r="M44">
        <v>2.7E-2</v>
      </c>
      <c r="N44">
        <v>3.0000000000000001E-3</v>
      </c>
      <c r="O44">
        <v>2.5000000000000001E-2</v>
      </c>
      <c r="P44">
        <v>2.3E-2</v>
      </c>
      <c r="Q44">
        <v>6.2E-2</v>
      </c>
      <c r="R44">
        <v>-1.2E-2</v>
      </c>
      <c r="S44">
        <v>0.20480000000000001</v>
      </c>
      <c r="T44">
        <v>-2.9</v>
      </c>
      <c r="U44">
        <v>0.84</v>
      </c>
      <c r="V44">
        <v>23.13</v>
      </c>
    </row>
    <row r="45" spans="1:22" ht="15" thickBot="1" x14ac:dyDescent="0.4">
      <c r="A45" t="s">
        <v>109</v>
      </c>
      <c r="B45" s="48">
        <v>0.4</v>
      </c>
      <c r="C45" s="49">
        <v>0.3</v>
      </c>
      <c r="D45" s="58">
        <v>13.4</v>
      </c>
      <c r="E45" s="58">
        <v>-7.7</v>
      </c>
      <c r="F45" s="58" t="s">
        <v>95</v>
      </c>
      <c r="G45" s="59">
        <v>41852</v>
      </c>
      <c r="H45" s="58" t="s">
        <v>96</v>
      </c>
      <c r="K45" t="s">
        <v>39</v>
      </c>
      <c r="L45">
        <v>1358</v>
      </c>
      <c r="M45">
        <v>1.6E-2</v>
      </c>
      <c r="N45">
        <v>5.0000000000000001E-3</v>
      </c>
      <c r="O45">
        <v>5.0000000000000001E-4</v>
      </c>
      <c r="P45">
        <v>-4.0000000000000001E-3</v>
      </c>
      <c r="Q45">
        <v>0.23669999999999999</v>
      </c>
      <c r="R45">
        <v>-6.8000000000000005E-2</v>
      </c>
      <c r="S45">
        <v>0.92100000000000004</v>
      </c>
      <c r="T45">
        <v>0.8</v>
      </c>
      <c r="U45">
        <v>1.23</v>
      </c>
      <c r="V45">
        <v>46.73</v>
      </c>
    </row>
    <row r="46" spans="1:22" ht="15" thickBot="1" x14ac:dyDescent="0.4">
      <c r="A46" t="s">
        <v>110</v>
      </c>
      <c r="B46" s="48">
        <v>1.7</v>
      </c>
      <c r="C46" s="49">
        <v>-0.4</v>
      </c>
      <c r="D46" s="58">
        <v>2.4</v>
      </c>
      <c r="E46" s="58">
        <v>-0.8</v>
      </c>
      <c r="F46" s="58" t="s">
        <v>95</v>
      </c>
      <c r="G46" s="59">
        <v>41760</v>
      </c>
      <c r="H46" s="58" t="s">
        <v>96</v>
      </c>
      <c r="K46" t="s">
        <v>169</v>
      </c>
      <c r="L46">
        <v>1305</v>
      </c>
      <c r="M46">
        <v>3.2000000000000001E-2</v>
      </c>
      <c r="N46">
        <v>8.9999999999999993E-3</v>
      </c>
      <c r="O46">
        <v>0.02</v>
      </c>
      <c r="P46">
        <v>0.01</v>
      </c>
      <c r="Q46">
        <v>3.5000000000000003E-2</v>
      </c>
      <c r="R46">
        <v>-1.4999999999999999E-2</v>
      </c>
      <c r="S46">
        <v>0.33800000000000002</v>
      </c>
      <c r="T46">
        <v>5.8</v>
      </c>
      <c r="U46">
        <v>1113.21</v>
      </c>
      <c r="V46">
        <v>50.22</v>
      </c>
    </row>
    <row r="47" spans="1:22" ht="15" thickBot="1" x14ac:dyDescent="0.4">
      <c r="A47" t="s">
        <v>111</v>
      </c>
      <c r="B47" s="48">
        <v>0.7</v>
      </c>
      <c r="C47" s="49">
        <v>0.9</v>
      </c>
      <c r="D47" s="58">
        <v>3.33</v>
      </c>
      <c r="E47" s="58">
        <v>-1.8</v>
      </c>
      <c r="F47" s="58" t="s">
        <v>95</v>
      </c>
      <c r="G47" s="59">
        <v>41852</v>
      </c>
      <c r="H47" s="58" t="s">
        <v>96</v>
      </c>
      <c r="K47" t="s">
        <v>143</v>
      </c>
      <c r="L47">
        <v>1261</v>
      </c>
      <c r="M47">
        <v>2.1999999999999999E-2</v>
      </c>
      <c r="N47">
        <v>5.0000000000000001E-3</v>
      </c>
      <c r="O47">
        <v>0.03</v>
      </c>
      <c r="P47">
        <v>4.2999999999999997E-2</v>
      </c>
      <c r="Q47">
        <v>4.7800000000000002E-2</v>
      </c>
      <c r="R47">
        <v>-2.3E-2</v>
      </c>
      <c r="S47">
        <v>0.36899999999999999</v>
      </c>
      <c r="T47">
        <v>-1.8</v>
      </c>
      <c r="U47">
        <v>14.1</v>
      </c>
      <c r="V47">
        <v>122.33</v>
      </c>
    </row>
    <row r="48" spans="1:22" ht="15" thickBot="1" x14ac:dyDescent="0.4">
      <c r="A48" t="s">
        <v>112</v>
      </c>
      <c r="B48" s="48">
        <v>0.4</v>
      </c>
      <c r="C48" s="49">
        <v>-0.1</v>
      </c>
      <c r="D48" s="58">
        <v>4.3</v>
      </c>
      <c r="E48" s="58">
        <v>-2.7</v>
      </c>
      <c r="F48" s="58" t="s">
        <v>95</v>
      </c>
      <c r="G48" s="59">
        <v>41852</v>
      </c>
      <c r="H48" s="58" t="s">
        <v>96</v>
      </c>
      <c r="K48" t="s">
        <v>131</v>
      </c>
      <c r="L48">
        <v>868</v>
      </c>
      <c r="M48">
        <v>5.0099999999999999E-2</v>
      </c>
      <c r="N48">
        <v>2.9600000000000001E-2</v>
      </c>
      <c r="O48">
        <v>7.7499999999999999E-2</v>
      </c>
      <c r="P48">
        <v>6.2300000000000001E-2</v>
      </c>
      <c r="Q48">
        <v>5.9400000000000001E-2</v>
      </c>
      <c r="R48">
        <v>-2.3E-2</v>
      </c>
      <c r="S48">
        <v>0.2611</v>
      </c>
      <c r="T48">
        <v>-3.3</v>
      </c>
      <c r="U48">
        <v>12285</v>
      </c>
      <c r="V48">
        <v>247.43</v>
      </c>
    </row>
    <row r="49" spans="1:22" ht="15" thickBot="1" x14ac:dyDescent="0.4">
      <c r="A49" t="s">
        <v>57</v>
      </c>
      <c r="B49" s="48">
        <v>1.9</v>
      </c>
      <c r="C49" s="49">
        <v>2</v>
      </c>
      <c r="D49" s="58">
        <v>2.5</v>
      </c>
      <c r="E49" s="58">
        <v>1.4</v>
      </c>
      <c r="F49" s="58" t="s">
        <v>95</v>
      </c>
      <c r="G49" s="59">
        <v>41852</v>
      </c>
      <c r="H49" s="58" t="s">
        <v>96</v>
      </c>
      <c r="K49" t="s">
        <v>176</v>
      </c>
      <c r="L49">
        <v>820</v>
      </c>
      <c r="M49">
        <v>2.1000000000000001E-2</v>
      </c>
      <c r="N49">
        <v>-5.0000000000000001E-3</v>
      </c>
      <c r="O49">
        <v>8.2500000000000004E-2</v>
      </c>
      <c r="P49">
        <v>9.1499999999999998E-2</v>
      </c>
      <c r="Q49">
        <v>0.10100000000000001</v>
      </c>
      <c r="R49">
        <v>-1.2E-2</v>
      </c>
      <c r="S49">
        <v>0.35849999999999999</v>
      </c>
      <c r="T49">
        <v>-7.9</v>
      </c>
      <c r="U49">
        <v>2.23</v>
      </c>
      <c r="V49">
        <v>76.67</v>
      </c>
    </row>
    <row r="50" spans="1:22" ht="15" thickBot="1" x14ac:dyDescent="0.4">
      <c r="A50" t="s">
        <v>113</v>
      </c>
      <c r="B50" s="48">
        <v>-0.1</v>
      </c>
      <c r="C50" s="49">
        <v>2.5</v>
      </c>
      <c r="D50" s="58">
        <v>3.5</v>
      </c>
      <c r="E50" s="58">
        <v>-0.9</v>
      </c>
      <c r="F50" s="58" t="s">
        <v>95</v>
      </c>
      <c r="G50" s="59">
        <v>41760</v>
      </c>
      <c r="H50" s="58" t="s">
        <v>96</v>
      </c>
      <c r="K50" t="s">
        <v>149</v>
      </c>
      <c r="L50">
        <v>800</v>
      </c>
      <c r="M50">
        <v>1.0999999999999999E-2</v>
      </c>
      <c r="N50">
        <v>2E-3</v>
      </c>
      <c r="O50">
        <v>5.0000000000000001E-4</v>
      </c>
      <c r="P50">
        <v>1.0999999999999999E-2</v>
      </c>
      <c r="Q50">
        <v>0.08</v>
      </c>
      <c r="R50">
        <v>-2.3E-2</v>
      </c>
      <c r="S50">
        <v>0.73499999999999999</v>
      </c>
      <c r="T50">
        <v>10.4</v>
      </c>
      <c r="U50">
        <v>1.23</v>
      </c>
      <c r="V50">
        <v>16.78</v>
      </c>
    </row>
    <row r="51" spans="1:22" ht="15" thickBot="1" x14ac:dyDescent="0.4">
      <c r="A51" t="s">
        <v>114</v>
      </c>
      <c r="B51" s="48">
        <v>0.88</v>
      </c>
      <c r="C51" s="49">
        <v>0.2</v>
      </c>
      <c r="D51" s="58">
        <v>9.33</v>
      </c>
      <c r="E51" s="58">
        <v>-6.15</v>
      </c>
      <c r="F51" s="58" t="s">
        <v>95</v>
      </c>
      <c r="G51" s="59">
        <v>41760</v>
      </c>
      <c r="H51" s="58" t="s">
        <v>96</v>
      </c>
      <c r="K51" t="s">
        <v>162</v>
      </c>
      <c r="L51">
        <v>745</v>
      </c>
      <c r="M51">
        <v>3.7999999999999999E-2</v>
      </c>
      <c r="N51">
        <v>3.7999999999999999E-2</v>
      </c>
      <c r="O51">
        <v>0.02</v>
      </c>
      <c r="P51">
        <v>2.5999999999999999E-2</v>
      </c>
      <c r="Q51">
        <v>5.5E-2</v>
      </c>
      <c r="R51">
        <v>6.4000000000000001E-2</v>
      </c>
      <c r="S51">
        <v>2.6800000000000001E-2</v>
      </c>
      <c r="T51">
        <v>18</v>
      </c>
      <c r="U51">
        <v>3.75</v>
      </c>
      <c r="V51">
        <v>29.99</v>
      </c>
    </row>
    <row r="52" spans="1:22" ht="15" thickBot="1" x14ac:dyDescent="0.4">
      <c r="A52" t="s">
        <v>115</v>
      </c>
      <c r="B52" s="48">
        <v>-0.3</v>
      </c>
      <c r="C52" s="49">
        <v>0</v>
      </c>
      <c r="D52" s="58">
        <v>2.1</v>
      </c>
      <c r="E52" s="58">
        <v>-5.5</v>
      </c>
      <c r="F52" s="58" t="s">
        <v>95</v>
      </c>
      <c r="G52" s="59">
        <v>41760</v>
      </c>
      <c r="H52" s="58" t="s">
        <v>96</v>
      </c>
      <c r="K52" t="s">
        <v>171</v>
      </c>
      <c r="L52">
        <v>651</v>
      </c>
      <c r="M52">
        <v>1.9E-2</v>
      </c>
      <c r="N52">
        <v>6.0000000000000001E-3</v>
      </c>
      <c r="O52">
        <v>0</v>
      </c>
      <c r="P52">
        <v>0</v>
      </c>
      <c r="Q52">
        <v>3.1E-2</v>
      </c>
      <c r="R52">
        <v>0</v>
      </c>
      <c r="S52">
        <v>0.35399999999999998</v>
      </c>
      <c r="T52">
        <v>13.5</v>
      </c>
      <c r="U52">
        <v>0.97</v>
      </c>
      <c r="V52">
        <v>8.0399999999999991</v>
      </c>
    </row>
    <row r="53" spans="1:22" ht="15" thickBot="1" x14ac:dyDescent="0.4">
      <c r="A53" t="s">
        <v>116</v>
      </c>
      <c r="B53" s="48">
        <v>-0.4</v>
      </c>
      <c r="C53" s="49">
        <v>-0.3</v>
      </c>
      <c r="D53" s="58">
        <v>2</v>
      </c>
      <c r="E53" s="58">
        <v>-1.8</v>
      </c>
      <c r="F53" s="58" t="s">
        <v>95</v>
      </c>
      <c r="G53" s="59">
        <v>41852</v>
      </c>
      <c r="H53" s="58" t="s">
        <v>96</v>
      </c>
      <c r="K53" t="s">
        <v>100</v>
      </c>
      <c r="L53">
        <v>612</v>
      </c>
      <c r="M53">
        <v>0</v>
      </c>
      <c r="N53">
        <v>8.9999999999999993E-3</v>
      </c>
      <c r="O53">
        <v>0.21049999999999999</v>
      </c>
      <c r="P53">
        <v>0.109</v>
      </c>
      <c r="Q53">
        <v>7.4999999999999997E-2</v>
      </c>
      <c r="R53">
        <v>-2.5999999999999999E-2</v>
      </c>
      <c r="S53">
        <v>0.45600000000000002</v>
      </c>
      <c r="T53">
        <v>-0.9</v>
      </c>
      <c r="U53">
        <v>8.5299999999999994</v>
      </c>
      <c r="V53">
        <v>41.45</v>
      </c>
    </row>
    <row r="54" spans="1:22" ht="15" thickBot="1" x14ac:dyDescent="0.4">
      <c r="A54" t="s">
        <v>117</v>
      </c>
      <c r="B54" s="48">
        <v>0.4</v>
      </c>
      <c r="C54" s="49">
        <v>0.3</v>
      </c>
      <c r="D54" s="58">
        <v>2.2999999999999998</v>
      </c>
      <c r="E54" s="58">
        <v>-3.3</v>
      </c>
      <c r="F54" s="58" t="s">
        <v>95</v>
      </c>
      <c r="G54" s="59">
        <v>41852</v>
      </c>
      <c r="H54" s="58" t="s">
        <v>96</v>
      </c>
      <c r="K54" t="s">
        <v>93</v>
      </c>
      <c r="L54">
        <v>558</v>
      </c>
      <c r="M54">
        <v>2.1000000000000001E-2</v>
      </c>
      <c r="N54">
        <v>3.0000000000000001E-3</v>
      </c>
      <c r="O54">
        <v>0</v>
      </c>
      <c r="P54">
        <v>-1E-3</v>
      </c>
      <c r="Q54">
        <v>7.4999999999999997E-2</v>
      </c>
      <c r="R54">
        <v>-1.0999999999999999E-2</v>
      </c>
      <c r="S54">
        <v>0.40600000000000003</v>
      </c>
      <c r="T54">
        <v>6.2</v>
      </c>
      <c r="U54">
        <v>7.52</v>
      </c>
      <c r="V54">
        <v>9.56</v>
      </c>
    </row>
    <row r="55" spans="1:22" ht="15" thickBot="1" x14ac:dyDescent="0.4">
      <c r="A55" t="s">
        <v>118</v>
      </c>
      <c r="B55" s="48">
        <v>0.5</v>
      </c>
      <c r="C55" s="49">
        <v>0.1</v>
      </c>
      <c r="D55" s="58">
        <v>3.89</v>
      </c>
      <c r="E55" s="58">
        <v>-2.42</v>
      </c>
      <c r="F55" s="58" t="s">
        <v>95</v>
      </c>
      <c r="G55" s="59">
        <v>41852</v>
      </c>
      <c r="H55" s="58" t="s">
        <v>96</v>
      </c>
      <c r="K55" t="s">
        <v>151</v>
      </c>
      <c r="L55">
        <v>523</v>
      </c>
      <c r="M55">
        <v>6.2300000000000001E-2</v>
      </c>
      <c r="N55">
        <v>8.6699999999999999E-2</v>
      </c>
      <c r="O55">
        <v>0.13</v>
      </c>
      <c r="P55">
        <v>8.1000000000000003E-2</v>
      </c>
      <c r="Q55">
        <v>0.23899999999999999</v>
      </c>
      <c r="R55">
        <v>-1.7999999999999999E-2</v>
      </c>
      <c r="S55">
        <v>0.11</v>
      </c>
      <c r="T55">
        <v>7.1</v>
      </c>
      <c r="U55">
        <v>182.06</v>
      </c>
      <c r="V55">
        <v>166.21</v>
      </c>
    </row>
    <row r="56" spans="1:22" ht="15" thickBot="1" x14ac:dyDescent="0.4">
      <c r="A56" t="s">
        <v>119</v>
      </c>
      <c r="B56" s="48">
        <v>-13.44</v>
      </c>
      <c r="C56" s="49">
        <v>13.17</v>
      </c>
      <c r="D56" s="58">
        <v>17.18</v>
      </c>
      <c r="E56" s="58">
        <v>-13.44</v>
      </c>
      <c r="F56" s="58" t="s">
        <v>95</v>
      </c>
      <c r="G56" s="59">
        <v>41671</v>
      </c>
      <c r="H56" s="58" t="s">
        <v>96</v>
      </c>
      <c r="K56" t="s">
        <v>157</v>
      </c>
      <c r="L56">
        <v>518</v>
      </c>
      <c r="M56">
        <v>3.3000000000000002E-2</v>
      </c>
      <c r="N56">
        <v>8.9999999999999993E-3</v>
      </c>
      <c r="O56">
        <v>0.02</v>
      </c>
      <c r="P56">
        <v>-6.0000000000000001E-3</v>
      </c>
      <c r="Q56">
        <v>0.113</v>
      </c>
      <c r="R56">
        <v>-4.2999999999999997E-2</v>
      </c>
      <c r="S56">
        <v>0.56999999999999995</v>
      </c>
      <c r="T56">
        <v>-1.3</v>
      </c>
      <c r="U56">
        <v>3.36</v>
      </c>
      <c r="V56">
        <v>38.49</v>
      </c>
    </row>
    <row r="57" spans="1:22" ht="15" thickBot="1" x14ac:dyDescent="0.4">
      <c r="A57" t="s">
        <v>120</v>
      </c>
      <c r="B57" s="48">
        <v>1</v>
      </c>
      <c r="C57" s="49">
        <v>0.2</v>
      </c>
      <c r="D57" s="58">
        <v>3.4</v>
      </c>
      <c r="E57" s="58">
        <v>-1.9</v>
      </c>
      <c r="F57" s="58" t="s">
        <v>95</v>
      </c>
      <c r="G57" s="59">
        <v>41760</v>
      </c>
      <c r="H57" s="58" t="s">
        <v>96</v>
      </c>
      <c r="K57" t="s">
        <v>152</v>
      </c>
      <c r="L57">
        <v>513</v>
      </c>
      <c r="M57">
        <v>2.1000000000000001E-2</v>
      </c>
      <c r="N57">
        <v>5.0000000000000001E-3</v>
      </c>
      <c r="O57">
        <v>1.4999999999999999E-2</v>
      </c>
      <c r="P57">
        <v>0.02</v>
      </c>
      <c r="Q57">
        <v>3.6999999999999998E-2</v>
      </c>
      <c r="R57">
        <v>0.111</v>
      </c>
      <c r="S57">
        <v>0.29520000000000002</v>
      </c>
      <c r="T57">
        <v>11</v>
      </c>
      <c r="U57">
        <v>7.02</v>
      </c>
      <c r="V57">
        <v>5.1100000000000003</v>
      </c>
    </row>
    <row r="58" spans="1:22" ht="15" thickBot="1" x14ac:dyDescent="0.4">
      <c r="A58" t="s">
        <v>121</v>
      </c>
      <c r="B58" s="48">
        <v>3.7</v>
      </c>
      <c r="C58" s="49">
        <v>2.5</v>
      </c>
      <c r="D58" s="58">
        <v>7.3</v>
      </c>
      <c r="E58" s="58">
        <v>-4.3</v>
      </c>
      <c r="F58" s="58" t="s">
        <v>95</v>
      </c>
      <c r="G58" s="59">
        <v>41760</v>
      </c>
      <c r="H58" s="58" t="s">
        <v>96</v>
      </c>
      <c r="K58" t="s">
        <v>104</v>
      </c>
      <c r="L58">
        <v>508</v>
      </c>
      <c r="M58">
        <v>8.9999999999999993E-3</v>
      </c>
      <c r="N58">
        <v>3.0000000000000001E-3</v>
      </c>
      <c r="O58">
        <v>5.0000000000000001E-4</v>
      </c>
      <c r="P58">
        <v>-1.1000000000000001E-3</v>
      </c>
      <c r="Q58">
        <v>8.5999999999999993E-2</v>
      </c>
      <c r="R58">
        <v>-2.5999999999999999E-2</v>
      </c>
      <c r="S58">
        <v>1.0149999999999999</v>
      </c>
      <c r="T58">
        <v>-1.6</v>
      </c>
      <c r="U58">
        <v>1.23</v>
      </c>
      <c r="V58">
        <v>11.16</v>
      </c>
    </row>
    <row r="59" spans="1:22" ht="15" thickBot="1" x14ac:dyDescent="0.4">
      <c r="A59" t="s">
        <v>122</v>
      </c>
      <c r="B59" s="48">
        <v>-0.06</v>
      </c>
      <c r="C59" s="49">
        <v>0.22</v>
      </c>
      <c r="D59" s="58">
        <v>2.5299999999999998</v>
      </c>
      <c r="E59" s="58">
        <v>-2.78</v>
      </c>
      <c r="F59" s="58" t="s">
        <v>95</v>
      </c>
      <c r="G59" s="59">
        <v>41760</v>
      </c>
      <c r="H59" s="58" t="s">
        <v>96</v>
      </c>
      <c r="K59" t="s">
        <v>172</v>
      </c>
      <c r="L59">
        <v>489</v>
      </c>
      <c r="M59">
        <v>3.6299999999999999E-2</v>
      </c>
      <c r="N59">
        <v>6.6E-3</v>
      </c>
      <c r="O59">
        <v>1.8800000000000001E-2</v>
      </c>
      <c r="P59">
        <v>1.0699999999999999E-2</v>
      </c>
      <c r="Q59">
        <v>3.8699999999999998E-2</v>
      </c>
      <c r="R59">
        <v>-0.02</v>
      </c>
      <c r="S59">
        <v>0.4098</v>
      </c>
      <c r="T59">
        <v>11.73</v>
      </c>
      <c r="U59">
        <v>30.4</v>
      </c>
      <c r="V59">
        <v>23.37</v>
      </c>
    </row>
    <row r="60" spans="1:22" ht="15" thickBot="1" x14ac:dyDescent="0.4">
      <c r="A60" t="s">
        <v>123</v>
      </c>
      <c r="B60" s="48">
        <v>0.2</v>
      </c>
      <c r="C60" s="49">
        <v>1.1000000000000001</v>
      </c>
      <c r="D60" s="58">
        <v>4.9000000000000004</v>
      </c>
      <c r="E60" s="58">
        <v>-9.6999999999999993</v>
      </c>
      <c r="F60" s="58" t="s">
        <v>95</v>
      </c>
      <c r="G60" s="59">
        <v>41852</v>
      </c>
      <c r="H60" s="58" t="s">
        <v>96</v>
      </c>
      <c r="K60" t="s">
        <v>181</v>
      </c>
      <c r="L60">
        <v>438</v>
      </c>
      <c r="M60">
        <v>0.01</v>
      </c>
      <c r="N60">
        <v>6.8000000000000005E-2</v>
      </c>
      <c r="O60">
        <v>0.18390000000000001</v>
      </c>
      <c r="P60">
        <v>0.63419999999999999</v>
      </c>
      <c r="Q60">
        <v>7.0000000000000007E-2</v>
      </c>
      <c r="R60">
        <v>-0.115</v>
      </c>
      <c r="S60">
        <v>0.498</v>
      </c>
      <c r="T60">
        <v>7.1</v>
      </c>
      <c r="U60">
        <v>6.29</v>
      </c>
      <c r="V60">
        <v>29.72</v>
      </c>
    </row>
    <row r="61" spans="1:22" ht="15" thickBot="1" x14ac:dyDescent="0.4">
      <c r="A61" t="s">
        <v>77</v>
      </c>
      <c r="B61" s="48">
        <v>0.2</v>
      </c>
      <c r="C61" s="49">
        <v>0.1</v>
      </c>
      <c r="D61" s="58">
        <v>1.3</v>
      </c>
      <c r="E61" s="58">
        <v>-2.8</v>
      </c>
      <c r="F61" s="58" t="s">
        <v>95</v>
      </c>
      <c r="G61" s="59">
        <v>41852</v>
      </c>
      <c r="H61" s="58" t="s">
        <v>96</v>
      </c>
      <c r="K61" t="s">
        <v>101</v>
      </c>
      <c r="L61">
        <v>416</v>
      </c>
      <c r="M61">
        <v>-1E-3</v>
      </c>
      <c r="N61">
        <v>-3.0000000000000001E-3</v>
      </c>
      <c r="O61">
        <v>5.0000000000000001E-4</v>
      </c>
      <c r="P61">
        <v>1.6E-2</v>
      </c>
      <c r="Q61">
        <v>8.6999999999999994E-2</v>
      </c>
      <c r="R61">
        <v>-1.4999999999999999E-2</v>
      </c>
      <c r="S61">
        <v>0.745</v>
      </c>
      <c r="T61">
        <v>2.7</v>
      </c>
      <c r="U61">
        <v>1.23</v>
      </c>
      <c r="V61">
        <v>8.4499999999999993</v>
      </c>
    </row>
    <row r="62" spans="1:22" ht="15" thickBot="1" x14ac:dyDescent="0.4">
      <c r="A62" t="s">
        <v>124</v>
      </c>
      <c r="B62" s="48">
        <v>0.3</v>
      </c>
      <c r="C62" s="49">
        <v>0.2</v>
      </c>
      <c r="D62" s="58">
        <v>1.3</v>
      </c>
      <c r="E62" s="58">
        <v>-2.7</v>
      </c>
      <c r="F62" s="58" t="s">
        <v>95</v>
      </c>
      <c r="G62" s="59">
        <v>41852</v>
      </c>
      <c r="H62" s="58" t="s">
        <v>96</v>
      </c>
      <c r="K62" t="s">
        <v>174</v>
      </c>
      <c r="L62">
        <v>387</v>
      </c>
      <c r="M62">
        <v>6.0000000000000001E-3</v>
      </c>
      <c r="N62">
        <v>1.0999999999999999E-2</v>
      </c>
      <c r="O62">
        <v>0.02</v>
      </c>
      <c r="P62">
        <v>1.26E-2</v>
      </c>
      <c r="Q62">
        <v>7.4999999999999997E-3</v>
      </c>
      <c r="R62">
        <v>-2.5000000000000001E-2</v>
      </c>
      <c r="S62">
        <v>0.45700000000000002</v>
      </c>
      <c r="T62">
        <v>-0.7</v>
      </c>
      <c r="U62">
        <v>32.83</v>
      </c>
      <c r="V62">
        <v>67.010000000000005</v>
      </c>
    </row>
    <row r="63" spans="1:22" ht="15" thickBot="1" x14ac:dyDescent="0.4">
      <c r="A63" t="s">
        <v>125</v>
      </c>
      <c r="B63" s="48">
        <v>0.2</v>
      </c>
      <c r="C63" s="49">
        <v>0.2</v>
      </c>
      <c r="D63" s="58">
        <v>5</v>
      </c>
      <c r="E63" s="58">
        <v>-6.3</v>
      </c>
      <c r="F63" s="58" t="s">
        <v>95</v>
      </c>
      <c r="G63" s="59">
        <v>41852</v>
      </c>
      <c r="H63" s="58" t="s">
        <v>96</v>
      </c>
      <c r="K63" t="s">
        <v>179</v>
      </c>
      <c r="L63">
        <v>384</v>
      </c>
      <c r="M63">
        <v>5.1999999999999998E-2</v>
      </c>
      <c r="N63">
        <v>5.1999999999999998E-2</v>
      </c>
      <c r="O63">
        <v>0.01</v>
      </c>
      <c r="P63">
        <v>3.1E-2</v>
      </c>
      <c r="Q63">
        <v>4.2000000000000003E-2</v>
      </c>
      <c r="R63">
        <v>0.10150000000000001</v>
      </c>
      <c r="S63">
        <v>0.16700000000000001</v>
      </c>
      <c r="T63">
        <v>14.91</v>
      </c>
      <c r="U63">
        <v>3.67</v>
      </c>
      <c r="V63">
        <v>9.35</v>
      </c>
    </row>
    <row r="64" spans="1:22" ht="15" thickBot="1" x14ac:dyDescent="0.4">
      <c r="A64" t="s">
        <v>36</v>
      </c>
      <c r="B64" s="48">
        <v>0.3</v>
      </c>
      <c r="C64" s="49">
        <v>-0.1</v>
      </c>
      <c r="D64" s="58">
        <v>1.6</v>
      </c>
      <c r="E64" s="58">
        <v>-1.7</v>
      </c>
      <c r="F64" s="58" t="s">
        <v>95</v>
      </c>
      <c r="G64" s="59">
        <v>41852</v>
      </c>
      <c r="H64" s="58" t="s">
        <v>96</v>
      </c>
      <c r="K64" t="s">
        <v>113</v>
      </c>
      <c r="L64">
        <v>378</v>
      </c>
      <c r="M64">
        <v>4.2999999999999997E-2</v>
      </c>
      <c r="N64">
        <v>-1E-3</v>
      </c>
      <c r="O64">
        <v>4.4999999999999998E-2</v>
      </c>
      <c r="P64">
        <v>3.2899999999999999E-2</v>
      </c>
      <c r="Q64">
        <v>7.9000000000000001E-2</v>
      </c>
      <c r="R64">
        <v>-2.41E-2</v>
      </c>
      <c r="S64">
        <v>0.318</v>
      </c>
      <c r="T64">
        <v>-3.4</v>
      </c>
      <c r="U64">
        <v>2235.3000000000002</v>
      </c>
      <c r="V64">
        <v>47.1</v>
      </c>
    </row>
    <row r="65" spans="1:22" ht="15" thickBot="1" x14ac:dyDescent="0.4">
      <c r="A65" t="s">
        <v>35</v>
      </c>
      <c r="B65" s="48">
        <v>0.1</v>
      </c>
      <c r="C65" s="49">
        <v>-0.1</v>
      </c>
      <c r="D65" s="58">
        <v>2.1</v>
      </c>
      <c r="E65" s="58">
        <v>-3.7</v>
      </c>
      <c r="F65" s="58" t="s">
        <v>95</v>
      </c>
      <c r="G65" s="59">
        <v>41852</v>
      </c>
      <c r="H65" s="58" t="s">
        <v>96</v>
      </c>
      <c r="K65" t="s">
        <v>195</v>
      </c>
      <c r="L65">
        <v>369</v>
      </c>
      <c r="M65">
        <v>-1.0999999999999999E-2</v>
      </c>
      <c r="O65">
        <v>0.14149999999999999</v>
      </c>
      <c r="P65">
        <v>0.14380000000000001</v>
      </c>
      <c r="Q65">
        <v>9.5000000000000001E-2</v>
      </c>
      <c r="R65">
        <v>-7.7999999999999996E-3</v>
      </c>
      <c r="S65">
        <v>0.10630000000000001</v>
      </c>
      <c r="T65">
        <v>8.1199999999999992</v>
      </c>
      <c r="U65">
        <v>24797</v>
      </c>
      <c r="V65">
        <v>77.45</v>
      </c>
    </row>
    <row r="66" spans="1:22" ht="15" thickBot="1" x14ac:dyDescent="0.4">
      <c r="A66" t="s">
        <v>126</v>
      </c>
      <c r="B66" s="48">
        <v>3.3</v>
      </c>
      <c r="C66" s="49">
        <v>2</v>
      </c>
      <c r="D66" s="58">
        <v>7.8</v>
      </c>
      <c r="E66" s="58">
        <v>-5.9</v>
      </c>
      <c r="F66" s="58" t="s">
        <v>95</v>
      </c>
      <c r="G66" s="59">
        <v>41760</v>
      </c>
      <c r="H66" s="58" t="s">
        <v>96</v>
      </c>
      <c r="K66" t="s">
        <v>168</v>
      </c>
      <c r="L66">
        <v>351</v>
      </c>
      <c r="M66">
        <v>1.4E-2</v>
      </c>
      <c r="N66">
        <v>1.4E-2</v>
      </c>
      <c r="O66">
        <v>5.7500000000000002E-2</v>
      </c>
      <c r="P66">
        <v>5.8999999999999997E-2</v>
      </c>
      <c r="Q66">
        <v>0.254</v>
      </c>
      <c r="R66">
        <v>-0.04</v>
      </c>
      <c r="S66">
        <v>0.46100000000000002</v>
      </c>
      <c r="T66">
        <v>-5.8</v>
      </c>
      <c r="U66">
        <v>11.12</v>
      </c>
      <c r="V66">
        <v>52.98</v>
      </c>
    </row>
    <row r="67" spans="1:22" ht="15" thickBot="1" x14ac:dyDescent="0.4">
      <c r="A67" t="s">
        <v>127</v>
      </c>
      <c r="B67" s="48">
        <v>0.7</v>
      </c>
      <c r="C67" s="49">
        <v>0.3</v>
      </c>
      <c r="D67" s="58">
        <v>3.3</v>
      </c>
      <c r="E67" s="58">
        <v>-4.7</v>
      </c>
      <c r="F67" s="58" t="s">
        <v>95</v>
      </c>
      <c r="G67" s="59">
        <v>41852</v>
      </c>
      <c r="H67" s="58" t="s">
        <v>96</v>
      </c>
      <c r="K67" t="s">
        <v>118</v>
      </c>
      <c r="L67">
        <v>331</v>
      </c>
      <c r="M67">
        <v>8.9999999999999993E-3</v>
      </c>
      <c r="N67">
        <v>5.0000000000000001E-3</v>
      </c>
      <c r="O67">
        <v>2E-3</v>
      </c>
      <c r="P67">
        <v>5.0000000000000001E-3</v>
      </c>
      <c r="Q67">
        <v>0.04</v>
      </c>
      <c r="R67">
        <v>-8.0000000000000002E-3</v>
      </c>
      <c r="S67">
        <v>0.44500000000000001</v>
      </c>
      <c r="T67">
        <v>7.3</v>
      </c>
      <c r="U67">
        <v>6.01</v>
      </c>
      <c r="V67">
        <v>5.62</v>
      </c>
    </row>
    <row r="68" spans="1:22" ht="15" thickBot="1" x14ac:dyDescent="0.4">
      <c r="A68" t="s">
        <v>128</v>
      </c>
      <c r="B68" s="48">
        <v>1.7</v>
      </c>
      <c r="C68" s="49">
        <v>-0.1</v>
      </c>
      <c r="D68" s="58">
        <v>6.3</v>
      </c>
      <c r="E68" s="58">
        <v>-3.4</v>
      </c>
      <c r="F68" s="58" t="s">
        <v>95</v>
      </c>
      <c r="G68" s="59">
        <v>41852</v>
      </c>
      <c r="H68" s="58" t="s">
        <v>96</v>
      </c>
      <c r="K68" t="s">
        <v>140</v>
      </c>
      <c r="L68">
        <v>312</v>
      </c>
      <c r="M68">
        <v>5.6000000000000001E-2</v>
      </c>
      <c r="N68">
        <v>8.9999999999999993E-3</v>
      </c>
      <c r="O68">
        <v>3.2500000000000001E-2</v>
      </c>
      <c r="P68">
        <v>2.8000000000000001E-2</v>
      </c>
      <c r="Q68">
        <v>2.7E-2</v>
      </c>
      <c r="R68">
        <v>-3.9E-2</v>
      </c>
      <c r="S68">
        <v>0.54800000000000004</v>
      </c>
      <c r="T68">
        <v>4.7</v>
      </c>
      <c r="U68">
        <v>3.43</v>
      </c>
      <c r="V68">
        <v>29.95</v>
      </c>
    </row>
    <row r="69" spans="1:22" ht="15" thickBot="1" x14ac:dyDescent="0.4">
      <c r="A69" t="s">
        <v>129</v>
      </c>
      <c r="B69" s="48">
        <v>0.5</v>
      </c>
      <c r="C69" s="49">
        <v>0.8</v>
      </c>
      <c r="D69" s="58">
        <v>2.2999999999999998</v>
      </c>
      <c r="E69" s="58">
        <v>-3.3</v>
      </c>
      <c r="F69" s="58" t="s">
        <v>95</v>
      </c>
      <c r="G69" s="59">
        <v>41852</v>
      </c>
      <c r="H69" s="58" t="s">
        <v>96</v>
      </c>
      <c r="K69" t="s">
        <v>165</v>
      </c>
      <c r="L69">
        <v>298</v>
      </c>
      <c r="M69">
        <v>2.8000000000000001E-2</v>
      </c>
      <c r="N69">
        <v>3.1E-2</v>
      </c>
      <c r="O69">
        <v>1.1999999999999999E-3</v>
      </c>
      <c r="P69">
        <v>1E-3</v>
      </c>
      <c r="Q69">
        <v>1.9E-2</v>
      </c>
      <c r="R69">
        <v>1.0999999999999999E-2</v>
      </c>
      <c r="S69">
        <v>1.0549999999999999</v>
      </c>
      <c r="T69">
        <v>18</v>
      </c>
      <c r="U69">
        <v>1.31</v>
      </c>
      <c r="V69">
        <v>5.4</v>
      </c>
    </row>
    <row r="70" spans="1:22" ht="15" thickBot="1" x14ac:dyDescent="0.4">
      <c r="A70" t="s">
        <v>130</v>
      </c>
      <c r="B70" s="48">
        <v>-1.2</v>
      </c>
      <c r="C70" s="49">
        <v>-1</v>
      </c>
      <c r="D70" s="58">
        <v>10.4</v>
      </c>
      <c r="E70" s="58">
        <v>-8</v>
      </c>
      <c r="F70" s="58" t="s">
        <v>95</v>
      </c>
      <c r="G70" s="59">
        <v>41760</v>
      </c>
      <c r="H70" s="58" t="s">
        <v>96</v>
      </c>
      <c r="K70" t="s">
        <v>132</v>
      </c>
      <c r="L70">
        <v>291</v>
      </c>
      <c r="M70">
        <v>1.89E-2</v>
      </c>
      <c r="N70">
        <v>-8.9999999999999998E-4</v>
      </c>
      <c r="O70">
        <v>2.5000000000000001E-3</v>
      </c>
      <c r="P70">
        <v>-3.0000000000000001E-3</v>
      </c>
      <c r="Q70">
        <v>5.7000000000000002E-2</v>
      </c>
      <c r="R70">
        <v>-3.15E-2</v>
      </c>
      <c r="S70">
        <v>0.67400000000000004</v>
      </c>
      <c r="T70">
        <v>2.4700000000000002</v>
      </c>
      <c r="U70">
        <v>3.98</v>
      </c>
      <c r="V70">
        <v>8.1300000000000008</v>
      </c>
    </row>
    <row r="71" spans="1:22" ht="15" thickBot="1" x14ac:dyDescent="0.4">
      <c r="A71" t="s">
        <v>42</v>
      </c>
      <c r="B71" s="48">
        <v>1.2</v>
      </c>
      <c r="C71" s="49">
        <v>1.9</v>
      </c>
      <c r="D71" s="58">
        <v>5.8</v>
      </c>
      <c r="E71" s="58">
        <v>-1.9</v>
      </c>
      <c r="F71" s="58" t="s">
        <v>95</v>
      </c>
      <c r="G71" s="59">
        <v>41760</v>
      </c>
      <c r="H71" s="58" t="s">
        <v>96</v>
      </c>
      <c r="K71" t="s">
        <v>112</v>
      </c>
      <c r="L71">
        <v>277</v>
      </c>
      <c r="M71">
        <v>8.0000000000000002E-3</v>
      </c>
      <c r="N71">
        <v>4.0000000000000001E-3</v>
      </c>
      <c r="O71">
        <v>0.03</v>
      </c>
      <c r="P71">
        <v>5.7000000000000002E-2</v>
      </c>
      <c r="Q71">
        <v>6.4000000000000001E-2</v>
      </c>
      <c r="R71">
        <v>-7.0000000000000001E-3</v>
      </c>
      <c r="S71">
        <v>0.128</v>
      </c>
      <c r="T71">
        <v>-3.4</v>
      </c>
      <c r="U71">
        <v>613.9</v>
      </c>
      <c r="V71">
        <v>17.559999999999999</v>
      </c>
    </row>
    <row r="72" spans="1:22" ht="15" thickBot="1" x14ac:dyDescent="0.4">
      <c r="A72" t="s">
        <v>131</v>
      </c>
      <c r="B72" s="48">
        <v>2.96</v>
      </c>
      <c r="C72" s="49">
        <v>2.4900000000000002</v>
      </c>
      <c r="D72" s="58">
        <v>3.82</v>
      </c>
      <c r="E72" s="58">
        <v>-3.57</v>
      </c>
      <c r="F72" s="58" t="s">
        <v>95</v>
      </c>
      <c r="G72" s="59">
        <v>41852</v>
      </c>
      <c r="H72" s="58" t="s">
        <v>96</v>
      </c>
      <c r="K72" t="s">
        <v>128</v>
      </c>
      <c r="L72">
        <v>274</v>
      </c>
      <c r="M72">
        <v>2.7E-2</v>
      </c>
      <c r="N72">
        <v>1.7000000000000001E-2</v>
      </c>
      <c r="O72">
        <v>5.0000000000000001E-3</v>
      </c>
      <c r="P72">
        <v>5.1999999999999998E-2</v>
      </c>
      <c r="Q72">
        <v>3.3000000000000002E-2</v>
      </c>
      <c r="R72">
        <v>6.0000000000000001E-3</v>
      </c>
      <c r="S72">
        <v>0.33839999999999998</v>
      </c>
      <c r="T72">
        <v>2.1</v>
      </c>
      <c r="U72">
        <v>7.75</v>
      </c>
      <c r="V72">
        <v>7.22</v>
      </c>
    </row>
    <row r="73" spans="1:22" ht="15" thickBot="1" x14ac:dyDescent="0.4">
      <c r="A73" t="s">
        <v>44</v>
      </c>
      <c r="B73" s="48">
        <v>1.5</v>
      </c>
      <c r="C73" s="49">
        <v>2.8</v>
      </c>
      <c r="D73" s="58">
        <v>5.5</v>
      </c>
      <c r="E73" s="58">
        <v>-4.3</v>
      </c>
      <c r="F73" s="58" t="s">
        <v>95</v>
      </c>
      <c r="G73" s="59">
        <v>41760</v>
      </c>
      <c r="H73" s="58" t="s">
        <v>96</v>
      </c>
      <c r="K73" t="s">
        <v>121</v>
      </c>
      <c r="L73">
        <v>272</v>
      </c>
      <c r="M73">
        <v>3.6999999999999998E-2</v>
      </c>
      <c r="N73">
        <v>3.6999999999999998E-2</v>
      </c>
      <c r="O73">
        <v>9.2499999999999999E-2</v>
      </c>
      <c r="P73">
        <v>0.11799999999999999</v>
      </c>
      <c r="Q73">
        <v>0.13100000000000001</v>
      </c>
      <c r="R73">
        <v>-9.0999999999999998E-2</v>
      </c>
      <c r="S73">
        <v>0.871</v>
      </c>
      <c r="T73">
        <v>-2.4</v>
      </c>
      <c r="U73">
        <v>7.13</v>
      </c>
      <c r="V73">
        <v>82.06</v>
      </c>
    </row>
    <row r="74" spans="1:22" ht="15" thickBot="1" x14ac:dyDescent="0.4">
      <c r="A74" t="s">
        <v>132</v>
      </c>
      <c r="B74" s="48">
        <v>-0.09</v>
      </c>
      <c r="C74" s="49">
        <v>0.54</v>
      </c>
      <c r="D74" s="58">
        <v>7.4</v>
      </c>
      <c r="E74" s="58">
        <v>-3.4</v>
      </c>
      <c r="F74" s="58" t="s">
        <v>95</v>
      </c>
      <c r="G74" s="59">
        <v>41852</v>
      </c>
      <c r="H74" s="58" t="s">
        <v>96</v>
      </c>
      <c r="K74" t="s">
        <v>156</v>
      </c>
      <c r="L74">
        <v>272</v>
      </c>
      <c r="M74">
        <v>5.2999999999999999E-2</v>
      </c>
      <c r="N74">
        <v>4.0000000000000001E-3</v>
      </c>
      <c r="O74">
        <v>0.04</v>
      </c>
      <c r="P74">
        <v>4.2999999999999997E-2</v>
      </c>
      <c r="Q74">
        <v>6.7000000000000004E-2</v>
      </c>
      <c r="R74">
        <v>-1.4E-2</v>
      </c>
      <c r="S74">
        <v>0.49199999999999999</v>
      </c>
      <c r="T74">
        <v>3.5</v>
      </c>
      <c r="U74">
        <v>44.69</v>
      </c>
      <c r="V74">
        <v>97.35</v>
      </c>
    </row>
    <row r="75" spans="1:22" ht="15" thickBot="1" x14ac:dyDescent="0.4">
      <c r="A75" t="s">
        <v>61</v>
      </c>
      <c r="B75" s="48">
        <v>-0.1</v>
      </c>
      <c r="C75" s="49">
        <v>-0.2</v>
      </c>
      <c r="D75" s="58">
        <v>6</v>
      </c>
      <c r="E75" s="58">
        <v>-3.5</v>
      </c>
      <c r="F75" s="58" t="s">
        <v>95</v>
      </c>
      <c r="G75" s="59">
        <v>41852</v>
      </c>
      <c r="H75" s="58" t="s">
        <v>96</v>
      </c>
      <c r="K75" t="s">
        <v>125</v>
      </c>
      <c r="L75">
        <v>257</v>
      </c>
      <c r="M75">
        <v>0</v>
      </c>
      <c r="N75">
        <v>2E-3</v>
      </c>
      <c r="O75">
        <v>5.0000000000000001E-4</v>
      </c>
      <c r="P75">
        <v>0.01</v>
      </c>
      <c r="Q75">
        <v>8.3000000000000004E-2</v>
      </c>
      <c r="R75">
        <v>-0.02</v>
      </c>
      <c r="S75">
        <v>0.56999999999999995</v>
      </c>
      <c r="T75">
        <v>-1.1000000000000001</v>
      </c>
      <c r="U75">
        <v>1.23</v>
      </c>
      <c r="V75">
        <v>5.45</v>
      </c>
    </row>
    <row r="76" spans="1:22" ht="15" thickBot="1" x14ac:dyDescent="0.4">
      <c r="A76" t="s">
        <v>133</v>
      </c>
      <c r="B76" s="48">
        <v>-0.5</v>
      </c>
      <c r="C76" s="49">
        <v>-0.3</v>
      </c>
      <c r="D76" s="58">
        <v>2.2000000000000002</v>
      </c>
      <c r="E76" s="58">
        <v>-1.9</v>
      </c>
      <c r="F76" s="58" t="s">
        <v>95</v>
      </c>
      <c r="G76" s="59">
        <v>41671</v>
      </c>
      <c r="H76" s="58" t="s">
        <v>96</v>
      </c>
      <c r="K76" t="s">
        <v>127</v>
      </c>
      <c r="L76">
        <v>242</v>
      </c>
      <c r="M76">
        <v>1.9E-2</v>
      </c>
      <c r="N76">
        <v>7.0000000000000001E-3</v>
      </c>
      <c r="O76">
        <v>5.0000000000000001E-4</v>
      </c>
      <c r="P76">
        <v>-1.7000000000000001E-2</v>
      </c>
      <c r="Q76">
        <v>0.25900000000000001</v>
      </c>
      <c r="R76">
        <v>-0.122</v>
      </c>
      <c r="S76">
        <v>1.7490000000000001</v>
      </c>
      <c r="T76">
        <v>0.7</v>
      </c>
      <c r="U76">
        <v>1.23</v>
      </c>
      <c r="V76">
        <v>11.06</v>
      </c>
    </row>
    <row r="77" spans="1:22" ht="15" thickBot="1" x14ac:dyDescent="0.4">
      <c r="A77" t="s">
        <v>59</v>
      </c>
      <c r="B77" s="48">
        <v>-0.4</v>
      </c>
      <c r="C77" s="49">
        <v>-1.9</v>
      </c>
      <c r="D77" s="58">
        <v>3.2</v>
      </c>
      <c r="E77" s="58">
        <v>-4</v>
      </c>
      <c r="F77" s="58" t="s">
        <v>95</v>
      </c>
      <c r="G77" s="59">
        <v>41852</v>
      </c>
      <c r="H77" s="58" t="s">
        <v>96</v>
      </c>
      <c r="K77" t="s">
        <v>153</v>
      </c>
      <c r="L77">
        <v>237</v>
      </c>
      <c r="M77">
        <v>3.5999999999999997E-2</v>
      </c>
      <c r="N77">
        <v>0.05</v>
      </c>
      <c r="O77">
        <v>9.5000000000000001E-2</v>
      </c>
      <c r="P77">
        <v>3.9600000000000003E-2</v>
      </c>
      <c r="Q77">
        <v>0.06</v>
      </c>
      <c r="R77">
        <v>-0.08</v>
      </c>
      <c r="S77">
        <v>0.63300000000000001</v>
      </c>
      <c r="T77">
        <v>-1.1000000000000001</v>
      </c>
      <c r="U77">
        <v>100.79</v>
      </c>
      <c r="V77">
        <v>188.2</v>
      </c>
    </row>
    <row r="78" spans="1:22" ht="15" thickBot="1" x14ac:dyDescent="0.4">
      <c r="A78" t="s">
        <v>134</v>
      </c>
      <c r="B78" s="48">
        <v>8.6</v>
      </c>
      <c r="C78" s="49">
        <v>2.1</v>
      </c>
      <c r="D78" s="58">
        <v>8.6</v>
      </c>
      <c r="E78" s="58">
        <v>-8.9</v>
      </c>
      <c r="F78" s="58" t="s">
        <v>95</v>
      </c>
      <c r="G78" s="59">
        <v>40118</v>
      </c>
      <c r="H78" s="58" t="s">
        <v>96</v>
      </c>
      <c r="K78" t="s">
        <v>134</v>
      </c>
      <c r="L78">
        <v>224</v>
      </c>
      <c r="M78">
        <v>0.04</v>
      </c>
      <c r="N78">
        <v>8.5999999999999993E-2</v>
      </c>
      <c r="O78">
        <v>5.5E-2</v>
      </c>
      <c r="P78">
        <v>7.5999999999999998E-2</v>
      </c>
      <c r="Q78">
        <v>0.05</v>
      </c>
      <c r="R78">
        <v>-2.1000000000000001E-2</v>
      </c>
      <c r="S78">
        <v>0.1353</v>
      </c>
      <c r="T78">
        <v>-0.05</v>
      </c>
      <c r="U78">
        <v>180.08</v>
      </c>
      <c r="V78">
        <v>16.91</v>
      </c>
    </row>
    <row r="79" spans="1:22" ht="15" thickBot="1" x14ac:dyDescent="0.4">
      <c r="A79" t="s">
        <v>135</v>
      </c>
      <c r="B79" s="48">
        <v>4</v>
      </c>
      <c r="C79" s="49">
        <v>2.7</v>
      </c>
      <c r="D79" s="58">
        <v>4</v>
      </c>
      <c r="E79" s="58">
        <v>-2.4</v>
      </c>
      <c r="F79" s="58" t="s">
        <v>95</v>
      </c>
      <c r="G79" s="59">
        <v>41760</v>
      </c>
      <c r="H79" s="58" t="s">
        <v>96</v>
      </c>
      <c r="K79" t="s">
        <v>196</v>
      </c>
      <c r="L79">
        <v>223</v>
      </c>
      <c r="M79">
        <v>4.2099999999999999E-2</v>
      </c>
      <c r="O79">
        <v>0.06</v>
      </c>
      <c r="P79">
        <v>8.9999999999999993E-3</v>
      </c>
      <c r="Q79">
        <v>0.151</v>
      </c>
      <c r="R79">
        <v>-5.5500000000000001E-2</v>
      </c>
      <c r="S79">
        <v>0.31340000000000001</v>
      </c>
      <c r="T79">
        <v>6.71</v>
      </c>
      <c r="U79">
        <v>1162</v>
      </c>
      <c r="V79">
        <v>33.42</v>
      </c>
    </row>
    <row r="80" spans="1:22" ht="15" thickBot="1" x14ac:dyDescent="0.4">
      <c r="A80" t="s">
        <v>136</v>
      </c>
      <c r="B80" s="48">
        <v>0.5</v>
      </c>
      <c r="C80" s="49">
        <v>0.8</v>
      </c>
      <c r="D80" s="58">
        <v>4.5999999999999996</v>
      </c>
      <c r="E80" s="58">
        <v>-12</v>
      </c>
      <c r="F80" s="58" t="s">
        <v>95</v>
      </c>
      <c r="G80" s="59">
        <v>41852</v>
      </c>
      <c r="H80" s="58" t="s">
        <v>96</v>
      </c>
      <c r="K80" t="s">
        <v>158</v>
      </c>
      <c r="L80">
        <v>220</v>
      </c>
      <c r="M80">
        <v>1.0999999999999999E-2</v>
      </c>
      <c r="N80">
        <v>3.0000000000000001E-3</v>
      </c>
      <c r="O80">
        <v>5.0000000000000001E-4</v>
      </c>
      <c r="P80">
        <v>0</v>
      </c>
      <c r="Q80">
        <v>0.13100000000000001</v>
      </c>
      <c r="R80">
        <v>-4.9000000000000002E-2</v>
      </c>
      <c r="S80">
        <v>1.29</v>
      </c>
      <c r="T80">
        <v>0.5</v>
      </c>
      <c r="U80">
        <v>1.23</v>
      </c>
      <c r="V80">
        <v>10.49</v>
      </c>
    </row>
    <row r="81" spans="1:22" ht="15" thickBot="1" x14ac:dyDescent="0.4">
      <c r="A81" t="s">
        <v>137</v>
      </c>
      <c r="B81" s="48">
        <v>0.5</v>
      </c>
      <c r="C81" s="49">
        <v>0.9</v>
      </c>
      <c r="D81" s="58">
        <v>4.2</v>
      </c>
      <c r="E81" s="58">
        <v>-13.1</v>
      </c>
      <c r="F81" s="58" t="s">
        <v>95</v>
      </c>
      <c r="G81" s="59">
        <v>41852</v>
      </c>
      <c r="H81" s="58" t="s">
        <v>96</v>
      </c>
      <c r="K81" t="s">
        <v>44</v>
      </c>
      <c r="L81">
        <v>218</v>
      </c>
      <c r="M81">
        <v>7.6999999999999999E-2</v>
      </c>
      <c r="N81">
        <v>1.4999999999999999E-2</v>
      </c>
      <c r="O81">
        <v>5.0000000000000001E-4</v>
      </c>
      <c r="P81">
        <v>2E-3</v>
      </c>
      <c r="Q81">
        <v>0.107</v>
      </c>
      <c r="R81">
        <v>-5.7000000000000002E-2</v>
      </c>
      <c r="S81">
        <v>1.2330000000000001</v>
      </c>
      <c r="T81">
        <v>6.6</v>
      </c>
      <c r="U81">
        <v>1.23</v>
      </c>
      <c r="V81">
        <v>4.59</v>
      </c>
    </row>
    <row r="82" spans="1:22" ht="15" thickBot="1" x14ac:dyDescent="0.4">
      <c r="A82" t="s">
        <v>138</v>
      </c>
      <c r="B82" s="48">
        <v>0.7</v>
      </c>
      <c r="C82" s="49">
        <v>0.8</v>
      </c>
      <c r="D82" s="58">
        <v>7.9</v>
      </c>
      <c r="E82" s="58">
        <v>-5.5</v>
      </c>
      <c r="F82" s="58" t="s">
        <v>95</v>
      </c>
      <c r="G82" s="59">
        <v>41760</v>
      </c>
      <c r="H82" s="58" t="s">
        <v>96</v>
      </c>
      <c r="K82" t="s">
        <v>97</v>
      </c>
      <c r="L82">
        <v>210</v>
      </c>
      <c r="M82">
        <v>2.7E-2</v>
      </c>
      <c r="N82">
        <v>3.1E-2</v>
      </c>
      <c r="O82">
        <v>0.04</v>
      </c>
      <c r="P82">
        <v>6.8000000000000005E-2</v>
      </c>
      <c r="Q82">
        <v>9.8000000000000004E-2</v>
      </c>
      <c r="R82">
        <v>-2E-3</v>
      </c>
      <c r="S82">
        <v>9.2100000000000001E-2</v>
      </c>
      <c r="T82">
        <v>8</v>
      </c>
      <c r="U82">
        <v>85.69</v>
      </c>
      <c r="V82">
        <v>38.29</v>
      </c>
    </row>
    <row r="83" spans="1:22" ht="15" thickBot="1" x14ac:dyDescent="0.4">
      <c r="A83" t="s">
        <v>139</v>
      </c>
      <c r="B83" s="48">
        <v>3.2</v>
      </c>
      <c r="C83" s="49">
        <v>3</v>
      </c>
      <c r="D83" s="58">
        <v>8.1999999999999993</v>
      </c>
      <c r="E83" s="58">
        <v>-2.4</v>
      </c>
      <c r="F83" s="58" t="s">
        <v>95</v>
      </c>
      <c r="G83" s="59">
        <v>41579</v>
      </c>
      <c r="H83" s="58" t="s">
        <v>96</v>
      </c>
      <c r="K83" t="s">
        <v>159</v>
      </c>
      <c r="L83">
        <v>202</v>
      </c>
      <c r="M83">
        <v>5.7000000000000002E-2</v>
      </c>
      <c r="N83">
        <v>-2E-3</v>
      </c>
      <c r="O83">
        <v>4.4999999999999998E-2</v>
      </c>
      <c r="P83">
        <v>0.03</v>
      </c>
      <c r="Q83">
        <v>3.0000000000000001E-3</v>
      </c>
      <c r="R83">
        <v>0.189</v>
      </c>
      <c r="S83">
        <v>0.34250000000000003</v>
      </c>
      <c r="T83">
        <v>30.9</v>
      </c>
      <c r="U83">
        <v>3.64</v>
      </c>
      <c r="V83">
        <v>2.17</v>
      </c>
    </row>
    <row r="84" spans="1:22" ht="15" thickBot="1" x14ac:dyDescent="0.4">
      <c r="A84" t="s">
        <v>140</v>
      </c>
      <c r="B84" s="48">
        <v>0.9</v>
      </c>
      <c r="C84" s="49">
        <v>1.9</v>
      </c>
      <c r="D84" s="58">
        <v>5.9</v>
      </c>
      <c r="E84" s="58">
        <v>-7.6</v>
      </c>
      <c r="F84" s="58" t="s">
        <v>95</v>
      </c>
      <c r="G84" s="59">
        <v>41852</v>
      </c>
      <c r="H84" s="58" t="s">
        <v>96</v>
      </c>
      <c r="K84" t="s">
        <v>155</v>
      </c>
      <c r="L84">
        <v>202</v>
      </c>
      <c r="M84">
        <v>1.7600000000000001E-2</v>
      </c>
      <c r="N84">
        <v>3.0000000000000001E-3</v>
      </c>
      <c r="O84">
        <v>3.5000000000000003E-2</v>
      </c>
      <c r="P84">
        <v>3.1600000000000003E-2</v>
      </c>
      <c r="Q84">
        <v>5.7000000000000002E-2</v>
      </c>
      <c r="R84">
        <v>8.9999999999999993E-3</v>
      </c>
      <c r="S84">
        <v>0.19600000000000001</v>
      </c>
      <c r="T84">
        <v>-4.5999999999999996</v>
      </c>
      <c r="U84">
        <v>2.88</v>
      </c>
      <c r="V84">
        <v>30.38</v>
      </c>
    </row>
    <row r="85" spans="1:22" ht="15" thickBot="1" x14ac:dyDescent="0.4">
      <c r="A85" t="s">
        <v>141</v>
      </c>
      <c r="B85" s="48">
        <v>1.3</v>
      </c>
      <c r="C85" s="49">
        <v>1.1000000000000001</v>
      </c>
      <c r="D85" s="58">
        <v>4.0999999999999996</v>
      </c>
      <c r="E85" s="58">
        <v>-3.4</v>
      </c>
      <c r="F85" s="58" t="s">
        <v>95</v>
      </c>
      <c r="G85" s="59">
        <v>41760</v>
      </c>
      <c r="H85" s="58" t="s">
        <v>96</v>
      </c>
      <c r="K85" t="s">
        <v>117</v>
      </c>
      <c r="L85">
        <v>198</v>
      </c>
      <c r="M85">
        <v>2.4E-2</v>
      </c>
      <c r="N85">
        <v>4.0000000000000001E-3</v>
      </c>
      <c r="O85">
        <v>5.0000000000000001E-4</v>
      </c>
      <c r="P85">
        <v>7.0000000000000001E-3</v>
      </c>
      <c r="Q85">
        <v>7.0999999999999994E-2</v>
      </c>
      <c r="R85">
        <v>-1.4999999999999999E-2</v>
      </c>
      <c r="S85">
        <v>0.46039999999999998</v>
      </c>
      <c r="T85">
        <v>-1.4</v>
      </c>
      <c r="U85">
        <v>22.28</v>
      </c>
      <c r="V85">
        <v>10.51</v>
      </c>
    </row>
    <row r="86" spans="1:22" ht="15" thickBot="1" x14ac:dyDescent="0.4">
      <c r="A86" t="s">
        <v>142</v>
      </c>
      <c r="B86" s="48">
        <v>2.4</v>
      </c>
      <c r="C86" s="49">
        <v>0.8</v>
      </c>
      <c r="D86" s="58">
        <v>6.1</v>
      </c>
      <c r="E86" s="58">
        <v>-1.7</v>
      </c>
      <c r="F86" s="58" t="s">
        <v>95</v>
      </c>
      <c r="G86" s="59">
        <v>41760</v>
      </c>
      <c r="H86" s="58" t="s">
        <v>96</v>
      </c>
      <c r="K86" t="s">
        <v>160</v>
      </c>
      <c r="L86">
        <v>190</v>
      </c>
      <c r="M86">
        <v>3.2000000000000001E-2</v>
      </c>
      <c r="N86">
        <v>1.7999999999999999E-2</v>
      </c>
      <c r="O86">
        <v>2.75E-2</v>
      </c>
      <c r="P86">
        <v>1.4E-2</v>
      </c>
      <c r="Q86">
        <v>6.7000000000000004E-2</v>
      </c>
      <c r="R86">
        <v>-8.9999999999999993E-3</v>
      </c>
      <c r="S86">
        <v>0.38400000000000001</v>
      </c>
      <c r="T86">
        <v>-1.1000000000000001</v>
      </c>
      <c r="U86">
        <v>3.57</v>
      </c>
      <c r="V86">
        <v>20.02</v>
      </c>
    </row>
    <row r="87" spans="1:22" ht="15" thickBot="1" x14ac:dyDescent="0.4">
      <c r="A87" t="s">
        <v>143</v>
      </c>
      <c r="B87" s="48">
        <v>0.5</v>
      </c>
      <c r="C87" s="49">
        <v>0.9</v>
      </c>
      <c r="D87" s="58">
        <v>2.9</v>
      </c>
      <c r="E87" s="58">
        <v>-6.6</v>
      </c>
      <c r="F87" s="58" t="s">
        <v>95</v>
      </c>
      <c r="G87" s="59">
        <v>41852</v>
      </c>
      <c r="H87" s="58" t="s">
        <v>96</v>
      </c>
      <c r="K87" t="s">
        <v>150</v>
      </c>
      <c r="L87">
        <v>183</v>
      </c>
      <c r="M87">
        <v>3.9E-2</v>
      </c>
      <c r="N87">
        <v>7.0000000000000001E-3</v>
      </c>
      <c r="O87">
        <v>3.5000000000000003E-2</v>
      </c>
      <c r="P87">
        <v>0.01</v>
      </c>
      <c r="Q87">
        <v>5.3999999999999999E-2</v>
      </c>
      <c r="R87">
        <v>-2.1000000000000001E-2</v>
      </c>
      <c r="S87">
        <v>0.35899999999999999</v>
      </c>
      <c r="T87">
        <v>-3.4</v>
      </c>
      <c r="U87">
        <v>0.77</v>
      </c>
      <c r="V87">
        <v>4.5</v>
      </c>
    </row>
    <row r="88" spans="1:22" ht="15" thickBot="1" x14ac:dyDescent="0.4">
      <c r="A88" t="s">
        <v>144</v>
      </c>
      <c r="B88" s="48">
        <v>0.91</v>
      </c>
      <c r="C88" s="49">
        <v>0.51</v>
      </c>
      <c r="D88" s="58">
        <v>5.2</v>
      </c>
      <c r="E88" s="58">
        <v>-7.84</v>
      </c>
      <c r="F88" s="58" t="s">
        <v>95</v>
      </c>
      <c r="G88" s="59">
        <v>40483</v>
      </c>
      <c r="H88" s="58" t="s">
        <v>96</v>
      </c>
      <c r="K88" t="s">
        <v>197</v>
      </c>
      <c r="L88">
        <v>183</v>
      </c>
      <c r="M88">
        <v>8.2000000000000007E-3</v>
      </c>
      <c r="N88" s="61"/>
      <c r="O88">
        <v>0.02</v>
      </c>
      <c r="P88">
        <v>0.03</v>
      </c>
      <c r="Q88">
        <v>2.7199999999999998E-2</v>
      </c>
      <c r="R88">
        <v>0.2893</v>
      </c>
      <c r="S88">
        <v>5.28E-2</v>
      </c>
      <c r="T88">
        <v>38.799999999999997</v>
      </c>
      <c r="U88">
        <v>5.05</v>
      </c>
      <c r="V88">
        <v>3.82</v>
      </c>
    </row>
    <row r="89" spans="1:22" ht="15" thickBot="1" x14ac:dyDescent="0.4">
      <c r="A89" t="s">
        <v>145</v>
      </c>
      <c r="B89" s="48">
        <v>7.4</v>
      </c>
      <c r="C89" s="49">
        <v>11.7</v>
      </c>
      <c r="D89" s="58">
        <v>17.5</v>
      </c>
      <c r="E89" s="58">
        <v>-9.3000000000000007</v>
      </c>
      <c r="F89" s="58" t="s">
        <v>95</v>
      </c>
      <c r="G89" s="59">
        <v>41671</v>
      </c>
      <c r="H89" s="58" t="s">
        <v>96</v>
      </c>
      <c r="K89" t="s">
        <v>178</v>
      </c>
      <c r="L89">
        <v>177</v>
      </c>
      <c r="M89">
        <v>-5.0999999999999997E-2</v>
      </c>
      <c r="N89">
        <v>-2.1000000000000001E-2</v>
      </c>
      <c r="O89">
        <v>0.14000000000000001</v>
      </c>
      <c r="P89">
        <v>0.19800000000000001</v>
      </c>
      <c r="Q89">
        <v>8.5999999999999993E-2</v>
      </c>
      <c r="R89">
        <v>-4.48E-2</v>
      </c>
      <c r="S89">
        <v>0.4103</v>
      </c>
      <c r="T89">
        <v>-9.1999999999999993</v>
      </c>
      <c r="U89">
        <v>14.93</v>
      </c>
      <c r="V89">
        <v>45.43</v>
      </c>
    </row>
    <row r="90" spans="1:22" ht="15" thickBot="1" x14ac:dyDescent="0.4">
      <c r="A90" t="s">
        <v>146</v>
      </c>
      <c r="B90" s="48">
        <v>2.2999999999999998</v>
      </c>
      <c r="C90" s="49">
        <v>1.7</v>
      </c>
      <c r="D90" s="58">
        <v>9.3000000000000007</v>
      </c>
      <c r="E90" s="58">
        <v>0.5</v>
      </c>
      <c r="F90" s="58" t="s">
        <v>95</v>
      </c>
      <c r="G90" s="59">
        <v>41760</v>
      </c>
      <c r="H90" s="58" t="s">
        <v>96</v>
      </c>
      <c r="K90" t="s">
        <v>182</v>
      </c>
      <c r="L90">
        <v>171</v>
      </c>
      <c r="M90">
        <v>6.1899999999999997E-2</v>
      </c>
      <c r="N90">
        <v>6.1899999999999997E-2</v>
      </c>
      <c r="O90">
        <v>6.5000000000000002E-2</v>
      </c>
      <c r="P90">
        <v>2.5999999999999999E-2</v>
      </c>
      <c r="Q90">
        <v>2.1399999999999999E-2</v>
      </c>
      <c r="R90">
        <v>-7.0999999999999994E-2</v>
      </c>
      <c r="S90">
        <v>0.54979999999999996</v>
      </c>
      <c r="T90">
        <v>6.5</v>
      </c>
      <c r="U90">
        <v>21158</v>
      </c>
      <c r="V90">
        <v>89.71</v>
      </c>
    </row>
    <row r="91" spans="1:22" ht="15" thickBot="1" x14ac:dyDescent="0.4">
      <c r="A91" t="s">
        <v>147</v>
      </c>
      <c r="B91" s="48">
        <v>1</v>
      </c>
      <c r="C91" s="49">
        <v>4.7</v>
      </c>
      <c r="D91" s="58">
        <v>7.7</v>
      </c>
      <c r="E91" s="58">
        <v>-4.3</v>
      </c>
      <c r="F91" s="58" t="s">
        <v>95</v>
      </c>
      <c r="G91" s="59">
        <v>41760</v>
      </c>
      <c r="H91" s="58" t="s">
        <v>96</v>
      </c>
      <c r="K91" t="s">
        <v>103</v>
      </c>
      <c r="L91">
        <v>130</v>
      </c>
      <c r="M91">
        <v>6.0100000000000001E-2</v>
      </c>
      <c r="N91">
        <v>6.0100000000000001E-2</v>
      </c>
      <c r="O91">
        <v>7.2499999999999995E-2</v>
      </c>
      <c r="P91">
        <v>6.6000000000000003E-2</v>
      </c>
      <c r="Q91">
        <v>4.4999999999999998E-2</v>
      </c>
      <c r="R91">
        <v>-0.04</v>
      </c>
      <c r="S91">
        <v>0.18</v>
      </c>
      <c r="T91">
        <v>0.4</v>
      </c>
      <c r="U91">
        <v>76.22</v>
      </c>
      <c r="V91">
        <v>154.69999999999999</v>
      </c>
    </row>
    <row r="92" spans="1:22" ht="15" thickBot="1" x14ac:dyDescent="0.4">
      <c r="A92" t="s">
        <v>148</v>
      </c>
      <c r="B92" s="48">
        <v>4.3</v>
      </c>
      <c r="C92" s="49">
        <v>-3.7</v>
      </c>
      <c r="D92" s="58">
        <v>13.3</v>
      </c>
      <c r="E92" s="58">
        <v>-8.8000000000000007</v>
      </c>
      <c r="F92" s="58" t="s">
        <v>95</v>
      </c>
      <c r="G92" s="59">
        <v>41214</v>
      </c>
      <c r="H92" s="58" t="s">
        <v>96</v>
      </c>
      <c r="K92" t="s">
        <v>129</v>
      </c>
      <c r="L92">
        <v>126</v>
      </c>
      <c r="M92">
        <v>3.2000000000000001E-2</v>
      </c>
      <c r="N92">
        <v>5.0000000000000001E-3</v>
      </c>
      <c r="O92">
        <v>2.1000000000000001E-2</v>
      </c>
      <c r="P92">
        <v>-4.0000000000000001E-3</v>
      </c>
      <c r="Q92">
        <v>7.0999999999999994E-2</v>
      </c>
      <c r="R92">
        <v>-2.1999999999999999E-2</v>
      </c>
      <c r="S92">
        <v>0.79200000000000004</v>
      </c>
      <c r="T92">
        <v>3</v>
      </c>
      <c r="U92">
        <v>247.79</v>
      </c>
      <c r="V92">
        <v>9.91</v>
      </c>
    </row>
    <row r="93" spans="1:22" ht="15" thickBot="1" x14ac:dyDescent="0.4">
      <c r="A93" t="s">
        <v>149</v>
      </c>
      <c r="B93" s="48">
        <v>0.2</v>
      </c>
      <c r="C93" s="49">
        <v>0.6</v>
      </c>
      <c r="D93" s="58">
        <v>2</v>
      </c>
      <c r="E93" s="58">
        <v>-2.2000000000000002</v>
      </c>
      <c r="F93" s="58" t="s">
        <v>95</v>
      </c>
      <c r="G93" s="59">
        <v>41852</v>
      </c>
      <c r="H93" s="58" t="s">
        <v>96</v>
      </c>
      <c r="K93" t="s">
        <v>99</v>
      </c>
      <c r="L93">
        <v>122</v>
      </c>
      <c r="M93">
        <v>5.0999999999999997E-2</v>
      </c>
      <c r="N93">
        <v>7.3999999999999996E-2</v>
      </c>
      <c r="O93">
        <v>0.09</v>
      </c>
      <c r="P93">
        <v>7.4800000000000005E-2</v>
      </c>
      <c r="Q93">
        <v>0.26</v>
      </c>
      <c r="R93">
        <v>2.4E-2</v>
      </c>
      <c r="S93">
        <v>0.29289999999999999</v>
      </c>
      <c r="T93">
        <v>7.3</v>
      </c>
      <c r="U93">
        <v>100.95</v>
      </c>
      <c r="V93">
        <v>19.18</v>
      </c>
    </row>
    <row r="94" spans="1:22" ht="15" thickBot="1" x14ac:dyDescent="0.4">
      <c r="A94" t="s">
        <v>150</v>
      </c>
      <c r="B94" s="48">
        <v>0.7</v>
      </c>
      <c r="C94" s="49">
        <v>1</v>
      </c>
      <c r="D94" s="58">
        <v>2.9</v>
      </c>
      <c r="E94" s="58">
        <v>-2.6</v>
      </c>
      <c r="F94" s="58" t="s">
        <v>95</v>
      </c>
      <c r="G94" s="59">
        <v>41760</v>
      </c>
      <c r="H94" s="58" t="s">
        <v>96</v>
      </c>
      <c r="K94" t="s">
        <v>146</v>
      </c>
      <c r="L94">
        <v>104</v>
      </c>
      <c r="M94">
        <v>2.5999999999999999E-2</v>
      </c>
      <c r="N94">
        <v>2.3E-2</v>
      </c>
      <c r="O94">
        <v>2.75E-2</v>
      </c>
      <c r="P94">
        <v>6.0000000000000001E-3</v>
      </c>
      <c r="Q94">
        <v>9.6000000000000002E-2</v>
      </c>
      <c r="R94">
        <v>-5.3999999999999999E-2</v>
      </c>
      <c r="S94">
        <v>0.61699999999999999</v>
      </c>
      <c r="T94">
        <v>-7.2</v>
      </c>
      <c r="U94">
        <v>8.86</v>
      </c>
      <c r="V94">
        <v>32.950000000000003</v>
      </c>
    </row>
    <row r="95" spans="1:22" ht="15" thickBot="1" x14ac:dyDescent="0.4">
      <c r="A95" t="s">
        <v>151</v>
      </c>
      <c r="B95" s="48">
        <v>8.67</v>
      </c>
      <c r="C95" s="49">
        <v>4.18</v>
      </c>
      <c r="D95" s="58">
        <v>8.99</v>
      </c>
      <c r="E95" s="58">
        <v>-9.8800000000000008</v>
      </c>
      <c r="F95" s="58" t="s">
        <v>95</v>
      </c>
      <c r="G95" s="59">
        <v>41852</v>
      </c>
      <c r="H95" s="58" t="s">
        <v>96</v>
      </c>
      <c r="K95" t="s">
        <v>198</v>
      </c>
      <c r="L95">
        <v>101</v>
      </c>
      <c r="M95">
        <v>3.0000000000000001E-3</v>
      </c>
      <c r="N95" s="61"/>
      <c r="O95" s="61"/>
      <c r="P95">
        <v>4.0000000000000001E-3</v>
      </c>
      <c r="Q95">
        <v>0.14000000000000001</v>
      </c>
      <c r="R95" s="61"/>
      <c r="S95" s="61"/>
      <c r="T95" s="61"/>
      <c r="U95">
        <v>88.96</v>
      </c>
      <c r="V95">
        <v>3.67</v>
      </c>
    </row>
    <row r="96" spans="1:22" ht="15" thickBot="1" x14ac:dyDescent="0.4">
      <c r="A96" t="s">
        <v>152</v>
      </c>
      <c r="B96" s="48">
        <v>0.5</v>
      </c>
      <c r="C96" s="49">
        <v>1.1000000000000001</v>
      </c>
      <c r="D96" s="58">
        <v>3.6</v>
      </c>
      <c r="E96" s="58">
        <v>-2.6</v>
      </c>
      <c r="F96" s="58" t="s">
        <v>95</v>
      </c>
      <c r="G96" s="59">
        <v>41852</v>
      </c>
      <c r="H96" s="58" t="s">
        <v>96</v>
      </c>
      <c r="K96" t="s">
        <v>166</v>
      </c>
      <c r="L96">
        <v>92</v>
      </c>
      <c r="M96">
        <v>2.4E-2</v>
      </c>
      <c r="N96">
        <v>6.0000000000000001E-3</v>
      </c>
      <c r="O96">
        <v>5.0000000000000001E-4</v>
      </c>
      <c r="P96">
        <v>0</v>
      </c>
      <c r="Q96">
        <v>0.1235</v>
      </c>
      <c r="R96">
        <v>-2.93E-2</v>
      </c>
      <c r="S96">
        <v>0.5494</v>
      </c>
      <c r="T96">
        <v>2.1</v>
      </c>
      <c r="U96">
        <v>1.23</v>
      </c>
      <c r="V96">
        <v>5.41</v>
      </c>
    </row>
    <row r="97" spans="1:22" ht="15" thickBot="1" x14ac:dyDescent="0.4">
      <c r="A97" t="s">
        <v>153</v>
      </c>
      <c r="B97" s="48">
        <v>5</v>
      </c>
      <c r="C97" s="49">
        <v>4.0999999999999996</v>
      </c>
      <c r="D97" s="58">
        <v>10.220000000000001</v>
      </c>
      <c r="E97" s="58">
        <v>-1.8</v>
      </c>
      <c r="F97" s="58" t="s">
        <v>95</v>
      </c>
      <c r="G97" s="59">
        <v>41699</v>
      </c>
      <c r="H97" s="58" t="s">
        <v>98</v>
      </c>
      <c r="K97" t="s">
        <v>120</v>
      </c>
      <c r="L97">
        <v>90</v>
      </c>
      <c r="M97">
        <v>3.5000000000000003E-2</v>
      </c>
      <c r="N97">
        <v>0.01</v>
      </c>
      <c r="O97">
        <v>8.3400000000000002E-2</v>
      </c>
      <c r="P97">
        <v>3.9800000000000002E-2</v>
      </c>
      <c r="Q97">
        <v>5.7099999999999998E-2</v>
      </c>
      <c r="R97">
        <v>-0.04</v>
      </c>
      <c r="S97">
        <v>0.24399999999999999</v>
      </c>
      <c r="T97">
        <v>-1.3</v>
      </c>
      <c r="U97">
        <v>216.3</v>
      </c>
      <c r="V97">
        <v>15.74</v>
      </c>
    </row>
    <row r="98" spans="1:22" ht="15" thickBot="1" x14ac:dyDescent="0.4">
      <c r="A98" t="s">
        <v>154</v>
      </c>
      <c r="B98" s="48">
        <v>-0.6</v>
      </c>
      <c r="C98" s="49">
        <v>2.2000000000000002</v>
      </c>
      <c r="D98" s="58">
        <v>10.9</v>
      </c>
      <c r="E98" s="58">
        <v>-5</v>
      </c>
      <c r="F98" s="58" t="s">
        <v>95</v>
      </c>
      <c r="G98" s="59">
        <v>41760</v>
      </c>
      <c r="H98" s="58" t="s">
        <v>96</v>
      </c>
      <c r="K98" t="s">
        <v>199</v>
      </c>
      <c r="L98">
        <v>81</v>
      </c>
      <c r="M98">
        <v>2.8000000000000001E-2</v>
      </c>
      <c r="N98" s="61"/>
      <c r="O98">
        <v>0.01</v>
      </c>
      <c r="P98">
        <v>1.0200000000000001E-2</v>
      </c>
      <c r="Q98">
        <v>0.15</v>
      </c>
      <c r="R98">
        <v>-3.0000000000000001E-3</v>
      </c>
      <c r="S98">
        <v>4.9000000000000002E-2</v>
      </c>
      <c r="T98">
        <v>6.4</v>
      </c>
      <c r="U98">
        <v>0.38</v>
      </c>
      <c r="V98">
        <v>3.63</v>
      </c>
    </row>
    <row r="99" spans="1:22" ht="15" thickBot="1" x14ac:dyDescent="0.4">
      <c r="A99" t="s">
        <v>155</v>
      </c>
      <c r="B99" s="48">
        <v>0.3</v>
      </c>
      <c r="C99" s="49">
        <v>1.7</v>
      </c>
      <c r="D99" s="58">
        <v>2.9</v>
      </c>
      <c r="E99" s="58">
        <v>-1.3</v>
      </c>
      <c r="F99" s="58" t="s">
        <v>95</v>
      </c>
      <c r="G99" s="59">
        <v>41671</v>
      </c>
      <c r="H99" s="58" t="s">
        <v>96</v>
      </c>
      <c r="K99" t="s">
        <v>200</v>
      </c>
      <c r="L99">
        <v>75</v>
      </c>
      <c r="M99">
        <v>-0.1206</v>
      </c>
      <c r="N99" s="61"/>
      <c r="O99">
        <v>0.03</v>
      </c>
      <c r="P99">
        <v>1.0999999999999999E-2</v>
      </c>
      <c r="Q99">
        <v>0.19500000000000001</v>
      </c>
      <c r="R99">
        <v>-9.2999999999999999E-2</v>
      </c>
      <c r="S99">
        <v>6.8000000000000005E-2</v>
      </c>
      <c r="T99">
        <v>50.3</v>
      </c>
      <c r="U99">
        <v>1.19</v>
      </c>
      <c r="V99">
        <v>6.2</v>
      </c>
    </row>
    <row r="100" spans="1:22" ht="15" thickBot="1" x14ac:dyDescent="0.4">
      <c r="A100" t="s">
        <v>156</v>
      </c>
      <c r="B100" s="48">
        <v>0.4</v>
      </c>
      <c r="C100" s="49">
        <v>1.9</v>
      </c>
      <c r="D100" s="58">
        <v>3.2</v>
      </c>
      <c r="E100" s="58">
        <v>-2.4</v>
      </c>
      <c r="F100" s="58" t="s">
        <v>95</v>
      </c>
      <c r="G100" s="59">
        <v>41852</v>
      </c>
      <c r="H100" s="58" t="s">
        <v>96</v>
      </c>
      <c r="K100" t="s">
        <v>201</v>
      </c>
      <c r="L100">
        <v>74</v>
      </c>
      <c r="M100">
        <v>2.5000000000000001E-2</v>
      </c>
      <c r="O100">
        <v>3.5000000000000003E-2</v>
      </c>
      <c r="P100">
        <v>1.4999999999999999E-2</v>
      </c>
      <c r="Q100">
        <v>5.1999999999999998E-2</v>
      </c>
      <c r="R100">
        <v>6.0000000000000001E-3</v>
      </c>
      <c r="S100">
        <v>0.13750000000000001</v>
      </c>
      <c r="T100">
        <v>16.7</v>
      </c>
      <c r="U100">
        <v>0.78</v>
      </c>
      <c r="V100">
        <v>9.36</v>
      </c>
    </row>
    <row r="101" spans="1:22" ht="15" thickBot="1" x14ac:dyDescent="0.4">
      <c r="A101" t="s">
        <v>157</v>
      </c>
      <c r="B101" s="48">
        <v>0.9</v>
      </c>
      <c r="C101" s="49">
        <v>0.7</v>
      </c>
      <c r="D101" s="58">
        <v>6.1</v>
      </c>
      <c r="E101" s="58">
        <v>-3.1</v>
      </c>
      <c r="F101" s="58" t="s">
        <v>95</v>
      </c>
      <c r="G101" s="59">
        <v>41852</v>
      </c>
      <c r="H101" s="58" t="s">
        <v>96</v>
      </c>
      <c r="K101" t="s">
        <v>202</v>
      </c>
      <c r="L101">
        <v>74</v>
      </c>
      <c r="M101">
        <v>-2.3E-2</v>
      </c>
      <c r="N101" s="61"/>
      <c r="O101" s="61"/>
      <c r="P101">
        <v>4.3999999999999997E-2</v>
      </c>
      <c r="Q101">
        <v>0.14899999999999999</v>
      </c>
      <c r="R101">
        <v>-0.114</v>
      </c>
      <c r="S101">
        <v>0.30009999999999998</v>
      </c>
      <c r="T101">
        <v>-0.62</v>
      </c>
      <c r="U101">
        <v>174.2</v>
      </c>
      <c r="V101">
        <v>22.85</v>
      </c>
    </row>
    <row r="102" spans="1:22" ht="15" thickBot="1" x14ac:dyDescent="0.4">
      <c r="A102" t="s">
        <v>158</v>
      </c>
      <c r="B102" s="48">
        <v>0.3</v>
      </c>
      <c r="C102" s="49">
        <v>0.3</v>
      </c>
      <c r="D102" s="58">
        <v>3.3</v>
      </c>
      <c r="E102" s="58">
        <v>-2.6</v>
      </c>
      <c r="F102" s="58" t="s">
        <v>95</v>
      </c>
      <c r="G102" s="59">
        <v>41852</v>
      </c>
      <c r="H102" s="58" t="s">
        <v>96</v>
      </c>
      <c r="K102" t="s">
        <v>203</v>
      </c>
      <c r="L102">
        <v>72</v>
      </c>
      <c r="M102">
        <v>5.0000000000000001E-3</v>
      </c>
      <c r="N102" s="61"/>
      <c r="O102">
        <v>0.2</v>
      </c>
      <c r="P102">
        <v>0.1938</v>
      </c>
      <c r="Q102">
        <v>5.0000000000000001E-3</v>
      </c>
      <c r="R102">
        <v>-4.0000000000000001E-3</v>
      </c>
      <c r="S102">
        <v>0.36709999999999998</v>
      </c>
      <c r="T102">
        <v>-9.8000000000000007</v>
      </c>
      <c r="U102">
        <v>10900</v>
      </c>
      <c r="V102">
        <v>9.4700000000000006</v>
      </c>
    </row>
    <row r="103" spans="1:22" ht="15" thickBot="1" x14ac:dyDescent="0.4">
      <c r="A103" t="s">
        <v>159</v>
      </c>
      <c r="B103" s="48">
        <v>-0.2</v>
      </c>
      <c r="C103" s="49">
        <v>2.2999999999999998</v>
      </c>
      <c r="D103" s="58">
        <v>14.4</v>
      </c>
      <c r="E103" s="58">
        <v>-23.2</v>
      </c>
      <c r="F103" s="58" t="s">
        <v>95</v>
      </c>
      <c r="G103" s="59">
        <v>41760</v>
      </c>
      <c r="H103" s="58" t="s">
        <v>96</v>
      </c>
      <c r="K103" t="s">
        <v>204</v>
      </c>
      <c r="L103">
        <v>68</v>
      </c>
      <c r="M103">
        <v>2.7E-2</v>
      </c>
      <c r="N103" s="61"/>
      <c r="O103">
        <v>2.2499999999999999E-2</v>
      </c>
      <c r="P103">
        <v>5.5E-2</v>
      </c>
      <c r="Q103">
        <v>3.3000000000000002E-2</v>
      </c>
      <c r="R103">
        <v>-1.2E-2</v>
      </c>
      <c r="S103">
        <v>0.21099999999999999</v>
      </c>
      <c r="T103">
        <v>0.9</v>
      </c>
      <c r="U103">
        <v>1</v>
      </c>
      <c r="V103">
        <v>11.21</v>
      </c>
    </row>
    <row r="104" spans="1:22" ht="15" thickBot="1" x14ac:dyDescent="0.4">
      <c r="A104" t="s">
        <v>160</v>
      </c>
      <c r="B104" s="48">
        <v>1.8</v>
      </c>
      <c r="C104" s="49">
        <v>-0.4</v>
      </c>
      <c r="D104" s="58">
        <v>3.6</v>
      </c>
      <c r="E104" s="58">
        <v>-4.8</v>
      </c>
      <c r="F104" s="58" t="s">
        <v>95</v>
      </c>
      <c r="G104" s="59">
        <v>41852</v>
      </c>
      <c r="H104" s="58" t="s">
        <v>96</v>
      </c>
      <c r="K104" t="s">
        <v>170</v>
      </c>
      <c r="L104">
        <v>67</v>
      </c>
      <c r="M104">
        <v>7.8E-2</v>
      </c>
      <c r="N104">
        <v>7.8E-2</v>
      </c>
      <c r="O104">
        <v>6.5000000000000002E-2</v>
      </c>
      <c r="P104">
        <v>1.4999999999999999E-2</v>
      </c>
      <c r="Q104">
        <v>4.4999999999999998E-2</v>
      </c>
      <c r="R104">
        <v>-5.8999999999999997E-2</v>
      </c>
      <c r="S104">
        <v>0.78300000000000003</v>
      </c>
      <c r="T104">
        <v>-3.9</v>
      </c>
      <c r="U104">
        <v>130.93</v>
      </c>
      <c r="V104">
        <v>20.48</v>
      </c>
    </row>
    <row r="105" spans="1:22" ht="15" thickBot="1" x14ac:dyDescent="0.4">
      <c r="A105" t="s">
        <v>41</v>
      </c>
      <c r="B105" s="48">
        <v>0.25</v>
      </c>
      <c r="C105" s="49">
        <v>7.0000000000000007E-2</v>
      </c>
      <c r="D105" s="58">
        <v>4.0999999999999996</v>
      </c>
      <c r="E105" s="58">
        <v>-5.4</v>
      </c>
      <c r="F105" s="58" t="s">
        <v>95</v>
      </c>
      <c r="G105" s="59">
        <v>41760</v>
      </c>
      <c r="H105" s="58" t="s">
        <v>96</v>
      </c>
      <c r="K105" t="s">
        <v>205</v>
      </c>
      <c r="L105">
        <v>67</v>
      </c>
      <c r="M105">
        <v>3.5999999999999997E-2</v>
      </c>
      <c r="O105">
        <v>0.121</v>
      </c>
      <c r="P105">
        <v>0.28199999999999997</v>
      </c>
      <c r="Q105">
        <v>0.159</v>
      </c>
      <c r="R105">
        <v>-1.7000000000000001E-2</v>
      </c>
      <c r="S105">
        <v>0.62</v>
      </c>
      <c r="T105">
        <v>-9.6</v>
      </c>
      <c r="U105">
        <v>5.77</v>
      </c>
      <c r="V105">
        <v>37.96</v>
      </c>
    </row>
    <row r="106" spans="1:22" ht="15" thickBot="1" x14ac:dyDescent="0.4">
      <c r="A106" t="s">
        <v>161</v>
      </c>
      <c r="B106" s="48">
        <v>1.06</v>
      </c>
      <c r="C106" s="49">
        <v>-2.1</v>
      </c>
      <c r="D106" s="58">
        <v>13.4</v>
      </c>
      <c r="E106" s="58">
        <v>2.2000000000000002</v>
      </c>
      <c r="F106" s="58" t="s">
        <v>95</v>
      </c>
      <c r="G106" s="59">
        <v>41760</v>
      </c>
      <c r="H106" s="58" t="s">
        <v>96</v>
      </c>
      <c r="K106" t="s">
        <v>119</v>
      </c>
      <c r="L106">
        <v>61</v>
      </c>
      <c r="M106">
        <v>5.5E-2</v>
      </c>
      <c r="N106" s="68">
        <v>-0.13439999999999999</v>
      </c>
      <c r="O106">
        <v>6.25E-2</v>
      </c>
      <c r="P106">
        <v>2.8799999999999999E-2</v>
      </c>
      <c r="Q106">
        <v>0.14899999999999999</v>
      </c>
      <c r="R106">
        <v>-2.87E-2</v>
      </c>
      <c r="S106">
        <v>0.51770000000000005</v>
      </c>
      <c r="T106">
        <v>-3.5</v>
      </c>
      <c r="U106">
        <v>44.12</v>
      </c>
      <c r="V106">
        <v>10.4</v>
      </c>
    </row>
    <row r="107" spans="1:22" ht="15" thickBot="1" x14ac:dyDescent="0.4">
      <c r="A107" t="s">
        <v>162</v>
      </c>
      <c r="B107" s="48">
        <v>3.8</v>
      </c>
      <c r="C107" s="49">
        <v>5.0999999999999996</v>
      </c>
      <c r="D107" s="58">
        <v>27.49</v>
      </c>
      <c r="E107" s="58">
        <v>-11.1</v>
      </c>
      <c r="F107" s="58" t="s">
        <v>95</v>
      </c>
      <c r="G107" s="59">
        <v>41760</v>
      </c>
      <c r="H107" s="58" t="s">
        <v>96</v>
      </c>
      <c r="K107" t="s">
        <v>138</v>
      </c>
      <c r="L107">
        <v>60</v>
      </c>
      <c r="M107">
        <v>3.2000000000000001E-2</v>
      </c>
      <c r="N107">
        <v>7.0000000000000001E-3</v>
      </c>
      <c r="O107">
        <v>5.0000000000000001E-4</v>
      </c>
      <c r="P107">
        <v>3.0999999999999999E-3</v>
      </c>
      <c r="Q107">
        <v>7.0999999999999994E-2</v>
      </c>
      <c r="R107">
        <v>1E-3</v>
      </c>
      <c r="S107">
        <v>0.23100000000000001</v>
      </c>
      <c r="T107">
        <v>5.2</v>
      </c>
      <c r="U107">
        <v>1.23</v>
      </c>
      <c r="V107">
        <v>0.53</v>
      </c>
    </row>
    <row r="108" spans="1:22" ht="15" thickBot="1" x14ac:dyDescent="0.4">
      <c r="A108" t="s">
        <v>163</v>
      </c>
      <c r="B108" s="48">
        <v>2.1</v>
      </c>
      <c r="C108" s="49">
        <v>-14.8</v>
      </c>
      <c r="D108" s="58">
        <v>25</v>
      </c>
      <c r="E108" s="58">
        <v>-14.8</v>
      </c>
      <c r="F108" s="58" t="s">
        <v>95</v>
      </c>
      <c r="G108" s="59">
        <v>41760</v>
      </c>
      <c r="H108" s="58" t="s">
        <v>96</v>
      </c>
      <c r="K108" t="s">
        <v>115</v>
      </c>
      <c r="L108">
        <v>58</v>
      </c>
      <c r="M108">
        <v>-5.0000000000000001E-3</v>
      </c>
      <c r="N108">
        <v>-3.0000000000000001E-3</v>
      </c>
      <c r="O108">
        <v>0.05</v>
      </c>
      <c r="P108">
        <v>3.7000000000000002E-3</v>
      </c>
      <c r="Q108">
        <v>0.187</v>
      </c>
      <c r="R108">
        <v>-4.9000000000000002E-2</v>
      </c>
      <c r="S108">
        <v>0.67100000000000004</v>
      </c>
      <c r="T108">
        <v>1.2</v>
      </c>
      <c r="U108">
        <v>6.19</v>
      </c>
      <c r="V108">
        <v>4.26</v>
      </c>
    </row>
    <row r="109" spans="1:22" ht="15" thickBot="1" x14ac:dyDescent="0.4">
      <c r="A109" t="s">
        <v>164</v>
      </c>
      <c r="B109" s="48">
        <v>-0.3</v>
      </c>
      <c r="C109" s="49">
        <v>-0.5</v>
      </c>
      <c r="D109" s="58">
        <v>5.2</v>
      </c>
      <c r="E109" s="58">
        <v>-2.7</v>
      </c>
      <c r="F109" s="58" t="s">
        <v>95</v>
      </c>
      <c r="G109" s="59">
        <v>41671</v>
      </c>
      <c r="H109" s="58" t="s">
        <v>96</v>
      </c>
      <c r="K109" t="s">
        <v>206</v>
      </c>
      <c r="L109">
        <v>57</v>
      </c>
      <c r="M109">
        <v>8.1000000000000003E-2</v>
      </c>
      <c r="O109">
        <v>0.1</v>
      </c>
      <c r="P109">
        <v>6.8000000000000005E-2</v>
      </c>
      <c r="Q109">
        <v>4.8000000000000001E-2</v>
      </c>
      <c r="R109">
        <v>-8.9999999999999993E-3</v>
      </c>
      <c r="S109">
        <v>8.5800000000000001E-2</v>
      </c>
      <c r="T109">
        <v>3.7</v>
      </c>
      <c r="U109">
        <v>2401.09</v>
      </c>
      <c r="V109">
        <v>30.49</v>
      </c>
    </row>
    <row r="110" spans="1:22" ht="15" thickBot="1" x14ac:dyDescent="0.4">
      <c r="A110" t="s">
        <v>165</v>
      </c>
      <c r="B110" s="48">
        <v>3.1</v>
      </c>
      <c r="C110" s="49">
        <v>-0.3</v>
      </c>
      <c r="D110" s="58">
        <v>36.4</v>
      </c>
      <c r="E110" s="58">
        <v>-13</v>
      </c>
      <c r="F110" s="58" t="s">
        <v>95</v>
      </c>
      <c r="G110" s="59">
        <v>41852</v>
      </c>
      <c r="H110" s="58" t="s">
        <v>96</v>
      </c>
      <c r="K110" t="s">
        <v>180</v>
      </c>
      <c r="L110">
        <v>56</v>
      </c>
      <c r="M110">
        <v>3.6999999999999998E-2</v>
      </c>
      <c r="N110">
        <v>0.02</v>
      </c>
      <c r="O110">
        <v>9.2499999999999999E-2</v>
      </c>
      <c r="P110">
        <v>8.0500000000000002E-2</v>
      </c>
      <c r="Q110">
        <v>6.7000000000000004E-2</v>
      </c>
      <c r="R110">
        <v>3.2000000000000002E-3</v>
      </c>
      <c r="S110">
        <v>0.59399999999999997</v>
      </c>
      <c r="T110">
        <v>-5.9</v>
      </c>
      <c r="U110">
        <v>23.37</v>
      </c>
      <c r="V110">
        <v>3.39</v>
      </c>
    </row>
    <row r="111" spans="1:22" ht="15" thickBot="1" x14ac:dyDescent="0.4">
      <c r="A111" t="s">
        <v>166</v>
      </c>
      <c r="B111" s="48">
        <v>0.6</v>
      </c>
      <c r="C111" s="49">
        <v>0.6</v>
      </c>
      <c r="D111" s="58">
        <v>9</v>
      </c>
      <c r="E111" s="58">
        <v>-7.6</v>
      </c>
      <c r="F111" s="58" t="s">
        <v>95</v>
      </c>
      <c r="G111" s="59">
        <v>41852</v>
      </c>
      <c r="H111" s="58" t="s">
        <v>96</v>
      </c>
      <c r="K111" t="s">
        <v>207</v>
      </c>
      <c r="L111">
        <v>54</v>
      </c>
      <c r="M111">
        <v>4.2999999999999997E-2</v>
      </c>
      <c r="O111">
        <v>4.4999999999999998E-2</v>
      </c>
      <c r="P111">
        <v>3.6400000000000002E-2</v>
      </c>
      <c r="Q111">
        <v>2.9000000000000001E-2</v>
      </c>
      <c r="R111">
        <v>-2.1999999999999999E-2</v>
      </c>
      <c r="S111">
        <v>0.30640000000000001</v>
      </c>
      <c r="T111">
        <v>-2.7</v>
      </c>
      <c r="U111">
        <v>7.62</v>
      </c>
      <c r="V111">
        <v>15.44</v>
      </c>
    </row>
    <row r="112" spans="1:22" ht="15" thickBot="1" x14ac:dyDescent="0.4">
      <c r="A112" t="s">
        <v>167</v>
      </c>
      <c r="B112" s="48">
        <v>0.7</v>
      </c>
      <c r="C112" s="49">
        <v>1</v>
      </c>
      <c r="D112" s="58">
        <v>4.1900000000000004</v>
      </c>
      <c r="E112" s="58">
        <v>-6.04</v>
      </c>
      <c r="F112" s="58" t="s">
        <v>95</v>
      </c>
      <c r="G112" s="59">
        <v>41852</v>
      </c>
      <c r="H112" s="58" t="s">
        <v>96</v>
      </c>
      <c r="K112" t="s">
        <v>109</v>
      </c>
      <c r="L112">
        <v>53</v>
      </c>
      <c r="M112">
        <v>1.4999999999999999E-2</v>
      </c>
      <c r="N112">
        <v>4.0000000000000001E-3</v>
      </c>
      <c r="O112">
        <v>2.0000000000000001E-4</v>
      </c>
      <c r="P112">
        <v>-4.0000000000000001E-3</v>
      </c>
      <c r="Q112">
        <v>0.108</v>
      </c>
      <c r="R112">
        <v>-1.4999999999999999E-2</v>
      </c>
      <c r="S112">
        <v>0.189</v>
      </c>
      <c r="T112">
        <v>1.9</v>
      </c>
      <c r="U112">
        <v>1.58</v>
      </c>
      <c r="V112">
        <v>7.25</v>
      </c>
    </row>
    <row r="113" spans="1:22" ht="15" thickBot="1" x14ac:dyDescent="0.4">
      <c r="A113" t="s">
        <v>168</v>
      </c>
      <c r="B113" s="48">
        <v>1.4</v>
      </c>
      <c r="C113" s="49">
        <v>0.5</v>
      </c>
      <c r="D113" s="58">
        <v>7.6</v>
      </c>
      <c r="E113" s="58">
        <v>-6.1</v>
      </c>
      <c r="F113" s="58" t="s">
        <v>95</v>
      </c>
      <c r="G113" s="59">
        <v>41852</v>
      </c>
      <c r="H113" s="58" t="s">
        <v>96</v>
      </c>
      <c r="K113" t="s">
        <v>208</v>
      </c>
      <c r="L113">
        <v>53</v>
      </c>
      <c r="M113">
        <v>6.5000000000000002E-2</v>
      </c>
      <c r="N113" s="61"/>
      <c r="O113">
        <v>0.1</v>
      </c>
      <c r="P113">
        <v>4.1700000000000001E-2</v>
      </c>
      <c r="Q113">
        <v>4.02E-2</v>
      </c>
      <c r="R113">
        <v>-4.9000000000000002E-2</v>
      </c>
      <c r="S113">
        <v>0.42659999999999998</v>
      </c>
      <c r="T113">
        <v>-4.8</v>
      </c>
      <c r="U113">
        <v>1038</v>
      </c>
      <c r="V113">
        <v>53.26</v>
      </c>
    </row>
    <row r="114" spans="1:22" ht="15" thickBot="1" x14ac:dyDescent="0.4">
      <c r="A114" t="s">
        <v>169</v>
      </c>
      <c r="B114" s="48">
        <v>0.9</v>
      </c>
      <c r="C114" s="49">
        <v>0.5</v>
      </c>
      <c r="D114" s="58">
        <v>6.8</v>
      </c>
      <c r="E114" s="58">
        <v>-7</v>
      </c>
      <c r="F114" s="58" t="s">
        <v>95</v>
      </c>
      <c r="G114" s="59">
        <v>41852</v>
      </c>
      <c r="H114" s="58" t="s">
        <v>96</v>
      </c>
      <c r="K114" t="s">
        <v>209</v>
      </c>
      <c r="L114">
        <v>52</v>
      </c>
      <c r="M114">
        <v>-2.1000000000000001E-2</v>
      </c>
      <c r="O114">
        <v>5.0000000000000001E-3</v>
      </c>
      <c r="P114">
        <v>5.8200000000000002E-2</v>
      </c>
      <c r="Q114">
        <v>1.7000000000000001E-2</v>
      </c>
      <c r="T114">
        <v>42.93</v>
      </c>
      <c r="U114">
        <v>7.98</v>
      </c>
      <c r="V114">
        <v>0.6</v>
      </c>
    </row>
    <row r="115" spans="1:22" ht="15" thickBot="1" x14ac:dyDescent="0.4">
      <c r="A115" t="s">
        <v>39</v>
      </c>
      <c r="B115" s="48">
        <v>0.5</v>
      </c>
      <c r="C115" s="49">
        <v>0.5</v>
      </c>
      <c r="D115" s="58">
        <v>1.53</v>
      </c>
      <c r="E115" s="58">
        <v>-1.6</v>
      </c>
      <c r="F115" s="58" t="s">
        <v>95</v>
      </c>
      <c r="G115" s="59">
        <v>41852</v>
      </c>
      <c r="H115" s="58" t="s">
        <v>96</v>
      </c>
      <c r="K115" t="s">
        <v>114</v>
      </c>
      <c r="L115">
        <v>50</v>
      </c>
      <c r="M115">
        <v>3.8199999999999998E-2</v>
      </c>
      <c r="N115" s="64">
        <v>8.8000000000000005E-3</v>
      </c>
      <c r="O115">
        <v>5.2499999999999998E-2</v>
      </c>
      <c r="P115">
        <v>5.7000000000000002E-2</v>
      </c>
      <c r="Q115">
        <v>0.09</v>
      </c>
      <c r="R115">
        <v>-5.3999999999999999E-2</v>
      </c>
      <c r="S115">
        <v>0.55449999999999999</v>
      </c>
      <c r="T115">
        <v>-5.0999999999999996</v>
      </c>
      <c r="U115">
        <v>535.75</v>
      </c>
      <c r="V115">
        <v>4.71</v>
      </c>
    </row>
    <row r="116" spans="1:22" ht="15" thickBot="1" x14ac:dyDescent="0.4">
      <c r="A116" t="s">
        <v>170</v>
      </c>
      <c r="B116" s="48">
        <v>7.8</v>
      </c>
      <c r="C116" s="49">
        <v>7.6</v>
      </c>
      <c r="D116" s="58">
        <v>8.6</v>
      </c>
      <c r="E116" s="58">
        <v>1.5</v>
      </c>
      <c r="F116" s="58" t="s">
        <v>95</v>
      </c>
      <c r="G116" s="59">
        <v>41760</v>
      </c>
      <c r="H116" s="58" t="s">
        <v>96</v>
      </c>
      <c r="K116" t="s">
        <v>126</v>
      </c>
      <c r="L116">
        <v>48</v>
      </c>
      <c r="M116">
        <v>5.2999999999999999E-2</v>
      </c>
      <c r="N116">
        <v>3.3000000000000002E-2</v>
      </c>
      <c r="O116">
        <v>0.21</v>
      </c>
      <c r="P116">
        <v>0.16900000000000001</v>
      </c>
      <c r="Q116">
        <v>0.129</v>
      </c>
      <c r="R116">
        <v>-0.10100000000000001</v>
      </c>
      <c r="S116">
        <v>0.44900000000000001</v>
      </c>
      <c r="T116">
        <v>-12.3</v>
      </c>
      <c r="U116">
        <v>3.2</v>
      </c>
      <c r="V116">
        <v>25.91</v>
      </c>
    </row>
    <row r="117" spans="1:22" ht="15" thickBot="1" x14ac:dyDescent="0.4">
      <c r="A117" t="s">
        <v>93</v>
      </c>
      <c r="B117" s="48">
        <v>0.3</v>
      </c>
      <c r="C117" s="49">
        <v>0.5</v>
      </c>
      <c r="D117" s="58">
        <v>2.8</v>
      </c>
      <c r="E117" s="58">
        <v>-3.8</v>
      </c>
      <c r="F117" s="58" t="s">
        <v>95</v>
      </c>
      <c r="G117" s="59">
        <v>41852</v>
      </c>
      <c r="H117" s="58" t="s">
        <v>96</v>
      </c>
      <c r="K117" t="s">
        <v>210</v>
      </c>
      <c r="L117">
        <v>47</v>
      </c>
      <c r="M117">
        <v>0.104</v>
      </c>
      <c r="N117" s="61"/>
      <c r="O117">
        <v>0.05</v>
      </c>
      <c r="P117">
        <v>5.3999999999999999E-2</v>
      </c>
      <c r="Q117">
        <v>0.17499999999999999</v>
      </c>
      <c r="R117">
        <v>-0.02</v>
      </c>
      <c r="S117">
        <v>0.25700000000000001</v>
      </c>
      <c r="T117">
        <v>-3</v>
      </c>
      <c r="U117">
        <v>20.34</v>
      </c>
      <c r="V117">
        <v>94.1</v>
      </c>
    </row>
    <row r="118" spans="1:22" ht="15" thickBot="1" x14ac:dyDescent="0.4">
      <c r="A118" t="s">
        <v>171</v>
      </c>
      <c r="B118" s="48">
        <v>0.6</v>
      </c>
      <c r="C118" s="49">
        <v>0.3</v>
      </c>
      <c r="D118" s="58">
        <v>1.9</v>
      </c>
      <c r="E118" s="58">
        <v>-2.2000000000000002</v>
      </c>
      <c r="F118" s="58" t="s">
        <v>95</v>
      </c>
      <c r="G118" s="59">
        <v>41852</v>
      </c>
      <c r="H118" s="58" t="s">
        <v>96</v>
      </c>
      <c r="K118" t="s">
        <v>175</v>
      </c>
      <c r="L118">
        <v>47</v>
      </c>
      <c r="M118">
        <v>0.02</v>
      </c>
      <c r="N118">
        <v>2E-3</v>
      </c>
      <c r="O118">
        <v>4.7500000000000001E-2</v>
      </c>
      <c r="P118">
        <v>5.3999999999999999E-2</v>
      </c>
      <c r="Q118">
        <v>0.152</v>
      </c>
      <c r="R118">
        <v>-6.2E-2</v>
      </c>
      <c r="S118">
        <v>0.44379999999999997</v>
      </c>
      <c r="T118">
        <v>-8.1999999999999993</v>
      </c>
      <c r="U118">
        <v>1.85</v>
      </c>
      <c r="V118">
        <v>10.89</v>
      </c>
    </row>
    <row r="119" spans="1:22" ht="15" thickBot="1" x14ac:dyDescent="0.4">
      <c r="A119" t="s">
        <v>172</v>
      </c>
      <c r="B119" s="48">
        <v>0.66</v>
      </c>
      <c r="C119" s="49">
        <v>0.86</v>
      </c>
      <c r="D119" s="58">
        <v>5.64</v>
      </c>
      <c r="E119" s="58">
        <v>-5.07</v>
      </c>
      <c r="F119" s="58" t="s">
        <v>95</v>
      </c>
      <c r="G119" s="59">
        <v>41852</v>
      </c>
      <c r="H119" s="58" t="s">
        <v>96</v>
      </c>
      <c r="K119" t="s">
        <v>167</v>
      </c>
      <c r="L119">
        <v>45</v>
      </c>
      <c r="M119">
        <v>3.2000000000000001E-2</v>
      </c>
      <c r="N119">
        <v>7.0000000000000001E-3</v>
      </c>
      <c r="O119">
        <v>5.0000000000000001E-4</v>
      </c>
      <c r="P119">
        <v>-2E-3</v>
      </c>
      <c r="Q119">
        <v>0.123</v>
      </c>
      <c r="R119">
        <v>-0.14699999999999999</v>
      </c>
      <c r="S119">
        <v>0.71699999999999997</v>
      </c>
      <c r="T119">
        <v>6.3</v>
      </c>
      <c r="U119">
        <v>1.23</v>
      </c>
      <c r="V119">
        <v>2.06</v>
      </c>
    </row>
    <row r="120" spans="1:22" ht="15" thickBot="1" x14ac:dyDescent="0.4">
      <c r="A120" t="s">
        <v>173</v>
      </c>
      <c r="B120" s="48">
        <v>1.5</v>
      </c>
      <c r="C120" s="49">
        <v>1.6</v>
      </c>
      <c r="D120" s="58">
        <v>12.4</v>
      </c>
      <c r="E120" s="58">
        <v>-14</v>
      </c>
      <c r="F120" s="58" t="s">
        <v>95</v>
      </c>
      <c r="G120" s="59">
        <v>40391</v>
      </c>
      <c r="H120" s="58" t="s">
        <v>96</v>
      </c>
      <c r="K120" t="s">
        <v>211</v>
      </c>
      <c r="L120">
        <v>44</v>
      </c>
      <c r="M120">
        <v>0.01</v>
      </c>
      <c r="N120" s="61"/>
      <c r="O120">
        <v>0.1</v>
      </c>
      <c r="P120">
        <v>1.47E-2</v>
      </c>
      <c r="Q120">
        <v>8.8900000000000007E-2</v>
      </c>
      <c r="R120">
        <v>6.2100000000000002E-2</v>
      </c>
      <c r="S120">
        <v>1.4590000000000001</v>
      </c>
      <c r="T120">
        <v>-16.18</v>
      </c>
      <c r="U120">
        <v>1512.5</v>
      </c>
      <c r="V120">
        <v>4.47</v>
      </c>
    </row>
    <row r="121" spans="1:22" ht="15" thickBot="1" x14ac:dyDescent="0.4">
      <c r="A121" t="s">
        <v>174</v>
      </c>
      <c r="B121" s="48">
        <v>1.1000000000000001</v>
      </c>
      <c r="C121" s="49">
        <v>1.1000000000000001</v>
      </c>
      <c r="D121" s="58">
        <v>11.4</v>
      </c>
      <c r="E121" s="58">
        <v>-11.1</v>
      </c>
      <c r="F121" s="58" t="s">
        <v>95</v>
      </c>
      <c r="G121" s="59">
        <v>41852</v>
      </c>
      <c r="H121" s="58" t="s">
        <v>96</v>
      </c>
      <c r="K121" t="s">
        <v>135</v>
      </c>
      <c r="L121">
        <v>44</v>
      </c>
      <c r="M121">
        <v>5.8000000000000003E-2</v>
      </c>
      <c r="N121">
        <v>0.04</v>
      </c>
      <c r="O121">
        <v>8.5000000000000006E-2</v>
      </c>
      <c r="P121">
        <v>6.0900000000000003E-2</v>
      </c>
      <c r="Q121">
        <v>0.4</v>
      </c>
      <c r="R121">
        <v>-4.8000000000000001E-2</v>
      </c>
      <c r="S121">
        <v>0.51700000000000002</v>
      </c>
      <c r="T121">
        <v>-8.1999999999999993</v>
      </c>
      <c r="U121">
        <v>88.76</v>
      </c>
      <c r="V121">
        <v>44.35</v>
      </c>
    </row>
    <row r="122" spans="1:22" ht="15" thickBot="1" x14ac:dyDescent="0.4">
      <c r="A122" t="s">
        <v>175</v>
      </c>
      <c r="B122" s="48">
        <v>0.2</v>
      </c>
      <c r="C122" s="49">
        <v>0.6</v>
      </c>
      <c r="D122" s="58">
        <v>4.5999999999999996</v>
      </c>
      <c r="E122" s="58">
        <v>-7.8</v>
      </c>
      <c r="F122" s="58" t="s">
        <v>95</v>
      </c>
      <c r="G122" s="59">
        <v>41760</v>
      </c>
      <c r="H122" s="58" t="s">
        <v>96</v>
      </c>
      <c r="K122" t="s">
        <v>212</v>
      </c>
      <c r="L122">
        <v>43</v>
      </c>
      <c r="M122">
        <v>6.3E-2</v>
      </c>
      <c r="N122" s="61"/>
      <c r="O122">
        <v>9.4000000000000004E-3</v>
      </c>
      <c r="P122">
        <v>2.1000000000000001E-2</v>
      </c>
      <c r="Q122">
        <v>4.1000000000000002E-2</v>
      </c>
      <c r="R122">
        <v>-4.3999999999999997E-2</v>
      </c>
      <c r="S122">
        <v>0.41299999999999998</v>
      </c>
      <c r="T122">
        <v>-11.9</v>
      </c>
      <c r="U122">
        <v>0.98</v>
      </c>
      <c r="V122">
        <v>3.86</v>
      </c>
    </row>
    <row r="123" spans="1:22" ht="15" thickBot="1" x14ac:dyDescent="0.4">
      <c r="A123" t="s">
        <v>176</v>
      </c>
      <c r="B123" s="48">
        <v>-0.5</v>
      </c>
      <c r="C123" s="49">
        <v>1.8</v>
      </c>
      <c r="D123" s="58">
        <v>6.69</v>
      </c>
      <c r="E123" s="58">
        <v>-7.57</v>
      </c>
      <c r="F123" s="58" t="s">
        <v>95</v>
      </c>
      <c r="G123" s="59">
        <v>41760</v>
      </c>
      <c r="H123" s="58" t="s">
        <v>96</v>
      </c>
      <c r="K123" t="s">
        <v>164</v>
      </c>
      <c r="L123">
        <v>43</v>
      </c>
      <c r="M123">
        <v>-3.5999999999999997E-2</v>
      </c>
      <c r="N123">
        <v>-3.0000000000000001E-3</v>
      </c>
      <c r="O123">
        <v>0.08</v>
      </c>
      <c r="P123">
        <v>1.7999999999999999E-2</v>
      </c>
      <c r="Q123">
        <v>0.17599999999999999</v>
      </c>
      <c r="R123">
        <v>-4.8000000000000001E-2</v>
      </c>
      <c r="S123">
        <v>0.63800000000000001</v>
      </c>
      <c r="T123">
        <v>-5</v>
      </c>
      <c r="U123">
        <v>96.96</v>
      </c>
      <c r="V123">
        <v>7.18</v>
      </c>
    </row>
    <row r="124" spans="1:22" ht="15" thickBot="1" x14ac:dyDescent="0.4">
      <c r="A124" t="s">
        <v>177</v>
      </c>
      <c r="B124" s="48">
        <v>2.37</v>
      </c>
      <c r="C124" s="49">
        <v>0.47</v>
      </c>
      <c r="D124" s="58">
        <v>6.22</v>
      </c>
      <c r="E124" s="58">
        <v>-2.79</v>
      </c>
      <c r="F124" s="58" t="s">
        <v>95</v>
      </c>
      <c r="G124" s="59">
        <v>41671</v>
      </c>
      <c r="H124" s="58" t="s">
        <v>96</v>
      </c>
      <c r="K124" t="s">
        <v>137</v>
      </c>
      <c r="L124">
        <v>42</v>
      </c>
      <c r="M124">
        <v>2.5999999999999999E-2</v>
      </c>
      <c r="N124">
        <v>5.0000000000000001E-3</v>
      </c>
      <c r="O124">
        <v>3.0000000000000001E-3</v>
      </c>
      <c r="P124">
        <v>1E-3</v>
      </c>
      <c r="Q124">
        <v>0.124</v>
      </c>
      <c r="R124">
        <v>-2.1999999999999999E-2</v>
      </c>
      <c r="S124">
        <v>0.39400000000000002</v>
      </c>
      <c r="T124">
        <v>1.5</v>
      </c>
      <c r="U124">
        <v>2.75</v>
      </c>
      <c r="V124">
        <v>2.94</v>
      </c>
    </row>
    <row r="125" spans="1:22" ht="15" thickBot="1" x14ac:dyDescent="0.4">
      <c r="A125" t="s">
        <v>178</v>
      </c>
      <c r="B125" s="48">
        <v>-2.1</v>
      </c>
      <c r="C125" s="49">
        <v>-2.2999999999999998</v>
      </c>
      <c r="D125" s="58">
        <v>3.9</v>
      </c>
      <c r="E125" s="58">
        <v>-2.2999999999999998</v>
      </c>
      <c r="F125" s="58" t="s">
        <v>95</v>
      </c>
      <c r="G125" s="59">
        <v>41852</v>
      </c>
      <c r="H125" s="58" t="s">
        <v>96</v>
      </c>
      <c r="K125" t="s">
        <v>213</v>
      </c>
      <c r="L125">
        <v>42</v>
      </c>
      <c r="M125">
        <v>0.10299999999999999</v>
      </c>
      <c r="N125" s="61"/>
      <c r="O125" s="61"/>
      <c r="P125">
        <v>0.06</v>
      </c>
      <c r="Q125">
        <v>2.5999999999999999E-2</v>
      </c>
      <c r="R125">
        <v>1.4999999999999999E-2</v>
      </c>
      <c r="S125">
        <v>0.20649999999999999</v>
      </c>
      <c r="T125">
        <v>0.5</v>
      </c>
      <c r="U125">
        <v>2.85</v>
      </c>
      <c r="V125">
        <v>5.24</v>
      </c>
    </row>
    <row r="126" spans="1:22" ht="15" thickBot="1" x14ac:dyDescent="0.4">
      <c r="A126" t="s">
        <v>179</v>
      </c>
      <c r="B126" s="48">
        <v>5.2</v>
      </c>
      <c r="C126" s="49">
        <v>4.4000000000000004</v>
      </c>
      <c r="D126" s="58">
        <v>9.8000000000000007</v>
      </c>
      <c r="E126" s="58">
        <v>-4.8</v>
      </c>
      <c r="F126" s="58" t="s">
        <v>95</v>
      </c>
      <c r="G126" s="59">
        <v>41609</v>
      </c>
      <c r="H126" s="58" t="s">
        <v>98</v>
      </c>
      <c r="K126" t="s">
        <v>214</v>
      </c>
      <c r="L126">
        <v>36</v>
      </c>
      <c r="M126">
        <v>4.3999999999999997E-2</v>
      </c>
      <c r="N126" s="61"/>
      <c r="O126">
        <v>0.15</v>
      </c>
      <c r="P126">
        <v>0.1</v>
      </c>
      <c r="Q126">
        <v>0.28999999999999998</v>
      </c>
      <c r="R126">
        <v>-5.8000000000000003E-2</v>
      </c>
      <c r="S126">
        <v>0.4995</v>
      </c>
      <c r="T126">
        <v>-4.5</v>
      </c>
      <c r="U126">
        <v>214.75</v>
      </c>
      <c r="V126">
        <v>24.41</v>
      </c>
    </row>
    <row r="127" spans="1:22" ht="15" thickBot="1" x14ac:dyDescent="0.4">
      <c r="A127" t="s">
        <v>60</v>
      </c>
      <c r="B127" s="48">
        <v>0.7</v>
      </c>
      <c r="C127" s="49">
        <v>0.9</v>
      </c>
      <c r="D127" s="58">
        <v>5</v>
      </c>
      <c r="E127" s="58">
        <v>-2.7</v>
      </c>
      <c r="F127" s="58" t="s">
        <v>95</v>
      </c>
      <c r="G127" s="59">
        <v>41852</v>
      </c>
      <c r="H127" s="58" t="s">
        <v>96</v>
      </c>
      <c r="K127" t="s">
        <v>215</v>
      </c>
      <c r="L127">
        <v>34</v>
      </c>
      <c r="M127">
        <v>2.8000000000000001E-2</v>
      </c>
      <c r="N127" s="61"/>
      <c r="O127">
        <v>4.2500000000000003E-2</v>
      </c>
      <c r="P127">
        <v>2.7E-2</v>
      </c>
      <c r="Q127">
        <v>0.12</v>
      </c>
      <c r="R127">
        <v>-5.5E-2</v>
      </c>
      <c r="S127">
        <v>0.87749999999999995</v>
      </c>
      <c r="T127">
        <v>-12.1</v>
      </c>
      <c r="U127">
        <v>0.7</v>
      </c>
      <c r="V127">
        <v>6.53</v>
      </c>
    </row>
    <row r="128" spans="1:22" ht="15" thickBot="1" x14ac:dyDescent="0.4">
      <c r="A128" t="s">
        <v>55</v>
      </c>
      <c r="B128" s="48">
        <v>3.9</v>
      </c>
      <c r="C128" s="49">
        <v>4.5999999999999996</v>
      </c>
      <c r="D128" s="58">
        <v>16.899999999999999</v>
      </c>
      <c r="E128" s="58">
        <v>-10</v>
      </c>
      <c r="F128" s="58" t="s">
        <v>95</v>
      </c>
      <c r="G128" s="59">
        <v>41852</v>
      </c>
      <c r="H128" s="58" t="s">
        <v>96</v>
      </c>
      <c r="K128" t="s">
        <v>102</v>
      </c>
      <c r="L128">
        <v>33</v>
      </c>
      <c r="M128">
        <v>5.62E-2</v>
      </c>
      <c r="N128">
        <v>2.2800000000000001E-2</v>
      </c>
      <c r="O128">
        <v>2.2499999999999999E-2</v>
      </c>
      <c r="P128">
        <v>2.5999999999999999E-2</v>
      </c>
      <c r="Q128">
        <v>3.6999999999999998E-2</v>
      </c>
      <c r="R128">
        <v>-5.5E-2</v>
      </c>
      <c r="S128">
        <v>0.43869999999999998</v>
      </c>
      <c r="T128">
        <v>7.8</v>
      </c>
      <c r="U128">
        <v>0.37</v>
      </c>
      <c r="V128">
        <v>1.33</v>
      </c>
    </row>
    <row r="129" spans="1:22" ht="15" thickBot="1" x14ac:dyDescent="0.4">
      <c r="A129" t="s">
        <v>180</v>
      </c>
      <c r="B129" s="48">
        <v>2</v>
      </c>
      <c r="C129" s="49">
        <v>-0.4</v>
      </c>
      <c r="D129" s="58">
        <v>3.3</v>
      </c>
      <c r="E129" s="58">
        <v>-2.1</v>
      </c>
      <c r="F129" s="58" t="s">
        <v>95</v>
      </c>
      <c r="G129" s="59">
        <v>41760</v>
      </c>
      <c r="H129" s="58" t="s">
        <v>96</v>
      </c>
      <c r="K129" t="s">
        <v>173</v>
      </c>
      <c r="L129">
        <v>33</v>
      </c>
      <c r="M129">
        <v>6.9000000000000006E-2</v>
      </c>
      <c r="N129">
        <v>1.4999999999999999E-2</v>
      </c>
      <c r="O129">
        <v>0.12</v>
      </c>
      <c r="P129">
        <v>5.8999999999999997E-2</v>
      </c>
      <c r="Q129">
        <v>0.107</v>
      </c>
      <c r="R129">
        <v>-8.8999999999999996E-2</v>
      </c>
      <c r="S129">
        <v>0.39900000000000002</v>
      </c>
      <c r="T129">
        <v>-10.1</v>
      </c>
      <c r="U129">
        <v>1713.5</v>
      </c>
      <c r="V129">
        <v>49.25</v>
      </c>
    </row>
    <row r="130" spans="1:22" ht="15" thickBot="1" x14ac:dyDescent="0.4">
      <c r="A130" t="s">
        <v>181</v>
      </c>
      <c r="B130" s="48">
        <v>6.8</v>
      </c>
      <c r="C130" s="49">
        <v>0</v>
      </c>
      <c r="D130" s="58">
        <v>22.7</v>
      </c>
      <c r="E130" s="58">
        <v>-15.3</v>
      </c>
      <c r="F130" s="58" t="s">
        <v>95</v>
      </c>
      <c r="G130" s="59">
        <v>41579</v>
      </c>
      <c r="H130" s="58" t="s">
        <v>96</v>
      </c>
      <c r="K130" t="s">
        <v>216</v>
      </c>
      <c r="L130">
        <v>31</v>
      </c>
      <c r="M130">
        <v>8.6999999999999994E-2</v>
      </c>
      <c r="O130">
        <v>0.02</v>
      </c>
      <c r="P130">
        <v>1.4800000000000001E-2</v>
      </c>
      <c r="Q130">
        <v>0.46100000000000002</v>
      </c>
      <c r="R130">
        <v>-3.6999999999999998E-2</v>
      </c>
      <c r="S130">
        <v>0.47</v>
      </c>
      <c r="T130">
        <v>-9.1</v>
      </c>
      <c r="U130">
        <v>925</v>
      </c>
      <c r="V130">
        <v>67.510000000000005</v>
      </c>
    </row>
    <row r="131" spans="1:22" ht="15" thickBot="1" x14ac:dyDescent="0.4">
      <c r="A131" t="s">
        <v>182</v>
      </c>
      <c r="B131" s="48">
        <v>6.19</v>
      </c>
      <c r="C131" s="49">
        <v>5.42</v>
      </c>
      <c r="D131" s="58">
        <v>8.4600000000000009</v>
      </c>
      <c r="E131" s="58">
        <v>3.14</v>
      </c>
      <c r="F131" s="58" t="s">
        <v>95</v>
      </c>
      <c r="G131" s="59">
        <v>41852</v>
      </c>
      <c r="H131" s="58" t="s">
        <v>96</v>
      </c>
      <c r="K131" t="s">
        <v>106</v>
      </c>
      <c r="L131">
        <v>31</v>
      </c>
      <c r="M131">
        <v>4.65E-2</v>
      </c>
      <c r="N131">
        <v>-7.4300000000000005E-2</v>
      </c>
      <c r="O131">
        <v>3.0599999999999999E-2</v>
      </c>
      <c r="P131">
        <v>3.6400000000000002E-2</v>
      </c>
      <c r="Q131">
        <v>7.4999999999999997E-2</v>
      </c>
      <c r="R131">
        <v>8.3000000000000001E-3</v>
      </c>
      <c r="S131">
        <v>0.33090000000000003</v>
      </c>
      <c r="T131">
        <v>3.3</v>
      </c>
      <c r="U131">
        <v>6.78</v>
      </c>
      <c r="V131">
        <v>10.67</v>
      </c>
    </row>
    <row r="132" spans="1:22" ht="15" thickBot="1" x14ac:dyDescent="0.4">
      <c r="K132" t="s">
        <v>217</v>
      </c>
      <c r="L132">
        <v>31</v>
      </c>
      <c r="M132">
        <v>9.9000000000000005E-2</v>
      </c>
      <c r="N132" s="61"/>
      <c r="O132">
        <v>3.5000000000000003E-2</v>
      </c>
      <c r="P132">
        <v>6.0000000000000001E-3</v>
      </c>
      <c r="Q132">
        <v>0.157</v>
      </c>
      <c r="R132">
        <v>-0.02</v>
      </c>
      <c r="S132">
        <v>0.54100000000000004</v>
      </c>
      <c r="T132">
        <v>-1.7</v>
      </c>
      <c r="U132">
        <v>532.36</v>
      </c>
      <c r="V132">
        <v>20.32</v>
      </c>
    </row>
    <row r="133" spans="1:22" ht="15" thickBot="1" x14ac:dyDescent="0.4">
      <c r="K133" t="s">
        <v>154</v>
      </c>
      <c r="L133">
        <v>30</v>
      </c>
      <c r="M133">
        <v>0.03</v>
      </c>
      <c r="N133">
        <v>-6.0000000000000001E-3</v>
      </c>
      <c r="O133">
        <v>6.7500000000000004E-2</v>
      </c>
      <c r="P133">
        <v>3.5000000000000003E-2</v>
      </c>
      <c r="Q133">
        <v>7.9000000000000001E-2</v>
      </c>
      <c r="R133">
        <v>-4.0000000000000001E-3</v>
      </c>
      <c r="S133">
        <v>0.15160000000000001</v>
      </c>
      <c r="T133">
        <v>0.8</v>
      </c>
      <c r="U133">
        <v>4539.7</v>
      </c>
      <c r="V133">
        <v>6.7</v>
      </c>
    </row>
    <row r="134" spans="1:22" ht="15" thickBot="1" x14ac:dyDescent="0.4">
      <c r="K134" t="s">
        <v>110</v>
      </c>
      <c r="L134">
        <v>29</v>
      </c>
      <c r="M134">
        <v>5.0999999999999997E-2</v>
      </c>
      <c r="N134" s="67">
        <v>1.7000000000000001E-2</v>
      </c>
      <c r="O134">
        <v>2.9499999999999998E-2</v>
      </c>
      <c r="P134">
        <v>1.7999999999999999E-2</v>
      </c>
      <c r="Q134">
        <v>3.7999999999999999E-2</v>
      </c>
      <c r="R134">
        <v>-3.6999999999999998E-2</v>
      </c>
      <c r="S134">
        <v>6.5000000000000002E-2</v>
      </c>
      <c r="T134">
        <v>-3.3</v>
      </c>
      <c r="U134">
        <v>532.36</v>
      </c>
      <c r="V134">
        <v>22.25</v>
      </c>
    </row>
    <row r="135" spans="1:22" ht="15" thickBot="1" x14ac:dyDescent="0.4">
      <c r="K135" t="s">
        <v>136</v>
      </c>
      <c r="L135">
        <v>28</v>
      </c>
      <c r="M135">
        <v>2.4E-2</v>
      </c>
      <c r="N135">
        <v>5.0000000000000001E-3</v>
      </c>
      <c r="O135">
        <v>5.0000000000000001E-4</v>
      </c>
      <c r="P135">
        <v>7.0000000000000001E-3</v>
      </c>
      <c r="Q135">
        <v>0.107</v>
      </c>
      <c r="R135">
        <v>-0.01</v>
      </c>
      <c r="S135">
        <v>0.38100000000000001</v>
      </c>
      <c r="T135">
        <v>-0.8</v>
      </c>
      <c r="U135">
        <v>0.56000000000000005</v>
      </c>
      <c r="V135">
        <v>2.02</v>
      </c>
    </row>
    <row r="136" spans="1:22" ht="15" thickBot="1" x14ac:dyDescent="0.4">
      <c r="K136" t="s">
        <v>218</v>
      </c>
      <c r="L136">
        <v>25</v>
      </c>
      <c r="M136">
        <v>-1.21E-2</v>
      </c>
      <c r="N136" s="61"/>
      <c r="O136">
        <v>3.2500000000000001E-2</v>
      </c>
      <c r="P136">
        <v>7.7899999999999997E-2</v>
      </c>
      <c r="Q136">
        <v>3.7999999999999999E-2</v>
      </c>
      <c r="R136">
        <v>-2.5999999999999999E-2</v>
      </c>
      <c r="S136">
        <v>0.41199999999999998</v>
      </c>
      <c r="T136">
        <v>10</v>
      </c>
      <c r="U136">
        <v>6.35</v>
      </c>
      <c r="V136">
        <v>1.34</v>
      </c>
    </row>
    <row r="137" spans="1:22" x14ac:dyDescent="0.35">
      <c r="K137" t="s">
        <v>123</v>
      </c>
      <c r="L137">
        <v>24</v>
      </c>
      <c r="M137">
        <v>2.1000000000000001E-2</v>
      </c>
      <c r="N137">
        <v>2E-3</v>
      </c>
      <c r="O137">
        <v>5.0000000000000001E-4</v>
      </c>
      <c r="P137">
        <v>-2E-3</v>
      </c>
      <c r="Q137">
        <v>7.4999999999999997E-2</v>
      </c>
      <c r="R137">
        <v>-2E-3</v>
      </c>
      <c r="S137">
        <v>0.1</v>
      </c>
      <c r="T137">
        <v>-1</v>
      </c>
      <c r="U137">
        <v>1.23</v>
      </c>
      <c r="V137">
        <v>1.32</v>
      </c>
    </row>
    <row r="138" spans="1:22" x14ac:dyDescent="0.35">
      <c r="K138" t="s">
        <v>122</v>
      </c>
      <c r="L138">
        <v>24</v>
      </c>
      <c r="M138">
        <v>0.02</v>
      </c>
      <c r="N138">
        <v>-5.9999999999999995E-4</v>
      </c>
      <c r="O138">
        <v>0.04</v>
      </c>
      <c r="P138">
        <v>1.89E-2</v>
      </c>
      <c r="Q138">
        <v>5.8999999999999997E-2</v>
      </c>
      <c r="R138">
        <v>-4.0399999999999998E-2</v>
      </c>
      <c r="S138">
        <v>0.61370000000000002</v>
      </c>
      <c r="T138">
        <v>-6.5</v>
      </c>
      <c r="U138">
        <v>8.74</v>
      </c>
      <c r="V138">
        <v>6.34</v>
      </c>
    </row>
    <row r="139" spans="1:22" ht="15" thickBot="1" x14ac:dyDescent="0.4">
      <c r="K139" t="s">
        <v>116</v>
      </c>
      <c r="L139">
        <v>23</v>
      </c>
      <c r="M139">
        <v>-0.02</v>
      </c>
      <c r="N139">
        <v>-4.0000000000000001E-3</v>
      </c>
      <c r="O139">
        <v>5.0000000000000001E-4</v>
      </c>
      <c r="P139">
        <v>-4.8999999999999998E-3</v>
      </c>
      <c r="Q139">
        <v>0.153</v>
      </c>
      <c r="R139">
        <v>-5.3999999999999999E-2</v>
      </c>
      <c r="S139">
        <v>1.117</v>
      </c>
      <c r="T139">
        <v>-1.9</v>
      </c>
      <c r="U139">
        <v>1.23</v>
      </c>
      <c r="V139">
        <v>0.87</v>
      </c>
    </row>
    <row r="140" spans="1:22" ht="15" thickBot="1" x14ac:dyDescent="0.4">
      <c r="K140" t="s">
        <v>219</v>
      </c>
      <c r="L140">
        <v>22</v>
      </c>
      <c r="M140">
        <v>7.0999999999999994E-2</v>
      </c>
      <c r="N140" s="61"/>
      <c r="O140">
        <v>0.125</v>
      </c>
      <c r="P140">
        <v>8.1000000000000003E-2</v>
      </c>
      <c r="Q140">
        <v>0.15</v>
      </c>
      <c r="R140">
        <v>-7.2999999999999995E-2</v>
      </c>
      <c r="S140">
        <v>0.34100000000000003</v>
      </c>
      <c r="T140">
        <v>-2</v>
      </c>
      <c r="U140">
        <v>6.37</v>
      </c>
      <c r="V140">
        <v>14.58</v>
      </c>
    </row>
    <row r="141" spans="1:22" ht="15" thickBot="1" x14ac:dyDescent="0.4">
      <c r="K141" t="s">
        <v>177</v>
      </c>
      <c r="L141">
        <v>21</v>
      </c>
      <c r="M141">
        <v>4.7300000000000002E-2</v>
      </c>
      <c r="N141">
        <v>2.3699999999999999E-2</v>
      </c>
      <c r="O141">
        <v>0.11</v>
      </c>
      <c r="P141">
        <v>2.1000000000000001E-2</v>
      </c>
      <c r="Q141">
        <v>4.2000000000000003E-2</v>
      </c>
      <c r="R141">
        <v>-2.5999999999999999E-2</v>
      </c>
      <c r="S141">
        <v>0.33300000000000002</v>
      </c>
      <c r="T141">
        <v>-12.4</v>
      </c>
      <c r="U141">
        <v>2750</v>
      </c>
      <c r="V141">
        <v>37.590000000000003</v>
      </c>
    </row>
    <row r="142" spans="1:22" ht="15" thickBot="1" x14ac:dyDescent="0.4">
      <c r="K142" t="s">
        <v>220</v>
      </c>
      <c r="L142">
        <v>21</v>
      </c>
      <c r="M142">
        <v>6.4000000000000001E-2</v>
      </c>
      <c r="N142" s="61"/>
      <c r="O142">
        <v>0.15</v>
      </c>
      <c r="P142">
        <v>4.2000000000000003E-2</v>
      </c>
      <c r="Q142">
        <v>8.5999999999999993E-2</v>
      </c>
      <c r="R142">
        <v>-0.188</v>
      </c>
      <c r="S142">
        <v>6.8000000000000005E-2</v>
      </c>
      <c r="T142">
        <v>-44</v>
      </c>
      <c r="U142">
        <v>57.48</v>
      </c>
      <c r="V142">
        <v>30.55</v>
      </c>
    </row>
    <row r="143" spans="1:22" x14ac:dyDescent="0.35">
      <c r="K143" t="s">
        <v>221</v>
      </c>
      <c r="L143">
        <v>19</v>
      </c>
      <c r="M143">
        <v>5.5E-2</v>
      </c>
      <c r="O143">
        <v>2.9499999999999998E-2</v>
      </c>
      <c r="P143">
        <v>5.6500000000000002E-2</v>
      </c>
      <c r="Q143">
        <v>0.16</v>
      </c>
      <c r="R143">
        <v>-1.7999999999999999E-2</v>
      </c>
      <c r="S143">
        <v>0.13800000000000001</v>
      </c>
      <c r="T143">
        <v>6.9</v>
      </c>
      <c r="U143">
        <v>532.36</v>
      </c>
      <c r="V143">
        <v>1.67</v>
      </c>
    </row>
    <row r="144" spans="1:22" ht="15" thickBot="1" x14ac:dyDescent="0.4">
      <c r="K144" t="s">
        <v>222</v>
      </c>
      <c r="L144">
        <v>19</v>
      </c>
      <c r="M144">
        <v>3.1E-2</v>
      </c>
      <c r="O144">
        <v>7.0000000000000007E-2</v>
      </c>
      <c r="P144">
        <v>6.3100000000000003E-2</v>
      </c>
      <c r="Q144">
        <v>4.4999999999999998E-2</v>
      </c>
      <c r="R144">
        <v>-7.5600000000000001E-2</v>
      </c>
      <c r="S144">
        <v>0.53580000000000005</v>
      </c>
      <c r="T144">
        <v>-8.6999999999999993</v>
      </c>
      <c r="U144">
        <v>21.22</v>
      </c>
      <c r="V144">
        <v>8.5500000000000007</v>
      </c>
    </row>
    <row r="145" spans="11:22" ht="15" thickBot="1" x14ac:dyDescent="0.4">
      <c r="K145" t="s">
        <v>223</v>
      </c>
      <c r="L145">
        <v>19</v>
      </c>
      <c r="M145">
        <v>3.6499999999999998E-2</v>
      </c>
      <c r="N145" s="61"/>
      <c r="O145">
        <v>0.08</v>
      </c>
      <c r="P145">
        <v>9.4700000000000006E-2</v>
      </c>
      <c r="Q145">
        <v>2.7E-2</v>
      </c>
      <c r="R145">
        <v>-1.9E-2</v>
      </c>
      <c r="S145">
        <v>0.316</v>
      </c>
      <c r="T145">
        <v>3.4</v>
      </c>
      <c r="U145">
        <v>99.04</v>
      </c>
      <c r="V145">
        <v>27.8</v>
      </c>
    </row>
    <row r="146" spans="11:22" ht="15" thickBot="1" x14ac:dyDescent="0.4">
      <c r="K146" t="s">
        <v>224</v>
      </c>
      <c r="L146">
        <v>18</v>
      </c>
      <c r="M146">
        <v>-1.2E-2</v>
      </c>
      <c r="N146" s="62">
        <v>-1.2E-2</v>
      </c>
      <c r="O146">
        <v>6.3899999999999998E-2</v>
      </c>
      <c r="P146">
        <v>3.0000000000000001E-3</v>
      </c>
      <c r="Q146">
        <v>0.43740000000000001</v>
      </c>
      <c r="R146">
        <v>-2.1999999999999999E-2</v>
      </c>
      <c r="S146">
        <v>0.28299999999999997</v>
      </c>
      <c r="T146">
        <v>-5.5</v>
      </c>
      <c r="U146">
        <v>1.57</v>
      </c>
      <c r="V146">
        <v>3.83</v>
      </c>
    </row>
    <row r="147" spans="11:22" ht="15" thickBot="1" x14ac:dyDescent="0.4">
      <c r="K147" t="s">
        <v>225</v>
      </c>
      <c r="L147">
        <v>16</v>
      </c>
      <c r="M147">
        <v>8.0000000000000002E-3</v>
      </c>
      <c r="N147" s="61"/>
      <c r="O147">
        <v>5.5E-2</v>
      </c>
      <c r="P147">
        <v>-4.0000000000000001E-3</v>
      </c>
      <c r="Q147">
        <v>1.0999999999999999E-2</v>
      </c>
      <c r="R147">
        <v>0.20200000000000001</v>
      </c>
      <c r="S147">
        <v>2.46E-2</v>
      </c>
      <c r="T147">
        <v>43</v>
      </c>
      <c r="U147">
        <v>1.31</v>
      </c>
      <c r="V147">
        <v>0.42</v>
      </c>
    </row>
    <row r="148" spans="11:22" ht="15" thickBot="1" x14ac:dyDescent="0.4">
      <c r="K148" t="s">
        <v>226</v>
      </c>
      <c r="L148">
        <v>16</v>
      </c>
      <c r="M148">
        <v>5.1999999999999998E-2</v>
      </c>
      <c r="N148" s="61"/>
      <c r="O148">
        <v>0.04</v>
      </c>
      <c r="P148">
        <v>2.8000000000000001E-2</v>
      </c>
      <c r="Q148">
        <v>0.14599999999999999</v>
      </c>
      <c r="R148">
        <v>-2.9000000000000001E-2</v>
      </c>
      <c r="S148">
        <v>0.31790000000000002</v>
      </c>
      <c r="T148">
        <v>-5.9</v>
      </c>
      <c r="U148">
        <v>1.82</v>
      </c>
      <c r="V148">
        <v>4.49</v>
      </c>
    </row>
    <row r="149" spans="11:22" ht="15" thickBot="1" x14ac:dyDescent="0.4">
      <c r="K149" t="s">
        <v>227</v>
      </c>
      <c r="L149">
        <v>16</v>
      </c>
      <c r="M149">
        <v>-1.4E-2</v>
      </c>
      <c r="N149" s="61"/>
      <c r="O149">
        <v>2.9499999999999998E-2</v>
      </c>
      <c r="P149">
        <v>0.05</v>
      </c>
      <c r="Q149">
        <v>0.223</v>
      </c>
      <c r="R149">
        <v>-7.4999999999999997E-2</v>
      </c>
      <c r="S149">
        <v>4.7E-2</v>
      </c>
      <c r="T149">
        <v>-3.7</v>
      </c>
      <c r="U149">
        <v>532.36</v>
      </c>
      <c r="V149">
        <v>0.76</v>
      </c>
    </row>
    <row r="150" spans="11:22" x14ac:dyDescent="0.35">
      <c r="K150" t="s">
        <v>130</v>
      </c>
      <c r="L150">
        <v>15</v>
      </c>
      <c r="M150">
        <v>2.4E-2</v>
      </c>
      <c r="N150">
        <v>-1.2E-2</v>
      </c>
      <c r="O150">
        <v>5.7500000000000002E-2</v>
      </c>
      <c r="P150">
        <v>0.01</v>
      </c>
      <c r="Q150">
        <v>5.5E-2</v>
      </c>
      <c r="R150">
        <v>-1.7000000000000001E-2</v>
      </c>
      <c r="S150">
        <v>0.96199999999999997</v>
      </c>
      <c r="T150">
        <v>3.9</v>
      </c>
      <c r="U150">
        <v>123.38</v>
      </c>
      <c r="V150">
        <v>0.32</v>
      </c>
    </row>
    <row r="151" spans="11:22" x14ac:dyDescent="0.35">
      <c r="K151" t="s">
        <v>228</v>
      </c>
      <c r="L151">
        <v>15</v>
      </c>
      <c r="M151">
        <v>7.1999999999999995E-2</v>
      </c>
      <c r="O151">
        <v>1.4200000000000001E-2</v>
      </c>
      <c r="P151">
        <v>3.5799999999999998E-2</v>
      </c>
      <c r="Q151">
        <v>3.0000000000000001E-3</v>
      </c>
      <c r="R151">
        <v>-0.05</v>
      </c>
      <c r="S151">
        <v>0.28120000000000001</v>
      </c>
      <c r="T151">
        <v>-8.6</v>
      </c>
      <c r="U151">
        <v>4001.6</v>
      </c>
      <c r="V151">
        <v>15.14</v>
      </c>
    </row>
    <row r="152" spans="11:22" x14ac:dyDescent="0.35">
      <c r="K152" t="s">
        <v>108</v>
      </c>
      <c r="L152">
        <v>15</v>
      </c>
      <c r="M152">
        <v>4.4999999999999998E-2</v>
      </c>
      <c r="N152">
        <v>1.6E-2</v>
      </c>
      <c r="O152">
        <v>7.4999999999999997E-2</v>
      </c>
      <c r="P152">
        <v>4.3400000000000001E-2</v>
      </c>
      <c r="Q152">
        <v>0.17799999999999999</v>
      </c>
      <c r="R152">
        <v>7.0000000000000001E-3</v>
      </c>
      <c r="S152">
        <v>0.23499999999999999</v>
      </c>
      <c r="T152">
        <v>17.5</v>
      </c>
      <c r="U152">
        <v>9.14</v>
      </c>
      <c r="V152">
        <v>2.02</v>
      </c>
    </row>
    <row r="153" spans="11:22" ht="15" thickBot="1" x14ac:dyDescent="0.4">
      <c r="K153" t="s">
        <v>163</v>
      </c>
      <c r="L153">
        <v>15</v>
      </c>
      <c r="M153">
        <v>3.5999999999999997E-2</v>
      </c>
      <c r="N153">
        <v>2.1000000000000001E-2</v>
      </c>
      <c r="O153">
        <v>3.5000000000000003E-2</v>
      </c>
      <c r="P153">
        <v>-0.02</v>
      </c>
      <c r="Q153">
        <v>0.10199999999999999</v>
      </c>
      <c r="R153">
        <v>-5.3999999999999999E-2</v>
      </c>
      <c r="S153">
        <v>0.29599999999999999</v>
      </c>
      <c r="T153">
        <v>-9.1</v>
      </c>
      <c r="U153">
        <v>532.36</v>
      </c>
      <c r="V153">
        <v>14.13</v>
      </c>
    </row>
    <row r="154" spans="11:22" ht="15" thickBot="1" x14ac:dyDescent="0.4">
      <c r="K154" t="s">
        <v>229</v>
      </c>
      <c r="L154">
        <v>15</v>
      </c>
      <c r="M154">
        <v>5.0999999999999997E-2</v>
      </c>
      <c r="N154" s="61"/>
      <c r="O154">
        <v>6.25E-2</v>
      </c>
      <c r="P154">
        <v>5.0999999999999997E-2</v>
      </c>
      <c r="Q154">
        <v>2.3E-2</v>
      </c>
      <c r="R154">
        <v>-7.8E-2</v>
      </c>
      <c r="S154">
        <v>0.308</v>
      </c>
      <c r="T154">
        <v>-17.5</v>
      </c>
      <c r="U154">
        <v>2.56</v>
      </c>
      <c r="V154">
        <v>7.32</v>
      </c>
    </row>
    <row r="155" spans="11:22" ht="15" thickBot="1" x14ac:dyDescent="0.4">
      <c r="K155" t="s">
        <v>147</v>
      </c>
      <c r="L155">
        <v>15</v>
      </c>
      <c r="M155">
        <v>6.9000000000000006E-2</v>
      </c>
      <c r="N155">
        <v>0.01</v>
      </c>
      <c r="O155">
        <v>7.4999999999999997E-2</v>
      </c>
      <c r="P155">
        <v>2.12E-2</v>
      </c>
      <c r="Q155">
        <v>0.17</v>
      </c>
      <c r="R155">
        <v>-6.9000000000000006E-2</v>
      </c>
      <c r="S155">
        <v>0.42799999999999999</v>
      </c>
      <c r="T155">
        <v>-29.1</v>
      </c>
      <c r="U155">
        <v>31.5</v>
      </c>
      <c r="V155">
        <v>25.83</v>
      </c>
    </row>
    <row r="156" spans="11:22" ht="15" thickBot="1" x14ac:dyDescent="0.4">
      <c r="K156" t="s">
        <v>230</v>
      </c>
      <c r="L156">
        <v>14</v>
      </c>
      <c r="M156">
        <v>3.4000000000000002E-2</v>
      </c>
      <c r="N156" s="61"/>
      <c r="O156">
        <v>2.9499999999999998E-2</v>
      </c>
      <c r="P156">
        <v>3.4000000000000002E-2</v>
      </c>
      <c r="Q156">
        <v>0.26600000000000001</v>
      </c>
      <c r="R156">
        <v>0.121</v>
      </c>
      <c r="S156">
        <v>0.19600000000000001</v>
      </c>
      <c r="T156">
        <v>0.2</v>
      </c>
      <c r="U156">
        <v>532.36</v>
      </c>
      <c r="V156">
        <v>4.45</v>
      </c>
    </row>
    <row r="157" spans="11:22" ht="15" thickBot="1" x14ac:dyDescent="0.4">
      <c r="K157" t="s">
        <v>133</v>
      </c>
      <c r="L157">
        <v>14</v>
      </c>
      <c r="M157">
        <v>1.6E-2</v>
      </c>
      <c r="N157">
        <v>-5.0000000000000001E-3</v>
      </c>
      <c r="O157">
        <v>5.7500000000000002E-2</v>
      </c>
      <c r="P157">
        <v>8.2000000000000003E-2</v>
      </c>
      <c r="Q157">
        <v>0.13400000000000001</v>
      </c>
      <c r="R157">
        <v>-0.04</v>
      </c>
      <c r="S157">
        <v>1.389</v>
      </c>
      <c r="T157">
        <v>-10</v>
      </c>
      <c r="U157">
        <v>113.37</v>
      </c>
      <c r="V157">
        <v>2.72</v>
      </c>
    </row>
    <row r="158" spans="11:22" ht="15" thickBot="1" x14ac:dyDescent="0.4">
      <c r="K158" t="s">
        <v>231</v>
      </c>
      <c r="L158">
        <v>14</v>
      </c>
      <c r="M158">
        <v>0.13100000000000001</v>
      </c>
      <c r="N158" s="61"/>
      <c r="O158" s="61"/>
      <c r="P158">
        <v>5.0999999999999997E-2</v>
      </c>
      <c r="Q158">
        <v>0.12</v>
      </c>
      <c r="R158" s="61"/>
      <c r="S158" s="61"/>
      <c r="T158" s="61"/>
      <c r="U158">
        <v>5.69</v>
      </c>
      <c r="V158">
        <v>11.3</v>
      </c>
    </row>
    <row r="159" spans="11:22" ht="15" thickBot="1" x14ac:dyDescent="0.4">
      <c r="K159" t="s">
        <v>232</v>
      </c>
      <c r="L159">
        <v>13</v>
      </c>
      <c r="M159">
        <v>3.6999999999999998E-2</v>
      </c>
      <c r="N159" s="61"/>
      <c r="O159">
        <v>0.14280000000000001</v>
      </c>
      <c r="P159">
        <v>0</v>
      </c>
      <c r="Q159">
        <v>0.107</v>
      </c>
      <c r="R159">
        <v>-1.9E-2</v>
      </c>
      <c r="S159">
        <v>0.49</v>
      </c>
      <c r="T159">
        <v>-34.299999999999997</v>
      </c>
      <c r="V159">
        <v>12.97</v>
      </c>
    </row>
    <row r="160" spans="11:22" x14ac:dyDescent="0.35">
      <c r="K160" t="s">
        <v>148</v>
      </c>
      <c r="L160">
        <v>13</v>
      </c>
      <c r="M160">
        <v>0.03</v>
      </c>
      <c r="N160">
        <v>4.2999999999999997E-2</v>
      </c>
      <c r="O160">
        <v>0.06</v>
      </c>
      <c r="P160">
        <v>4.9799999999999997E-2</v>
      </c>
      <c r="Q160">
        <v>0.27400000000000002</v>
      </c>
      <c r="R160">
        <v>-0.03</v>
      </c>
      <c r="S160">
        <v>0.23899999999999999</v>
      </c>
      <c r="T160">
        <v>-6.2</v>
      </c>
      <c r="U160">
        <v>10.9</v>
      </c>
      <c r="V160">
        <v>2.2999999999999998</v>
      </c>
    </row>
    <row r="161" spans="11:22" ht="15" thickBot="1" x14ac:dyDescent="0.4">
      <c r="K161" t="s">
        <v>94</v>
      </c>
      <c r="L161">
        <v>13</v>
      </c>
      <c r="M161">
        <v>1.7299999999999999E-2</v>
      </c>
      <c r="N161">
        <v>3.8E-3</v>
      </c>
      <c r="O161">
        <v>2.2499999999999999E-2</v>
      </c>
      <c r="P161">
        <v>1.4E-2</v>
      </c>
      <c r="Q161">
        <v>0.13450000000000001</v>
      </c>
      <c r="R161">
        <v>-4.9000000000000002E-2</v>
      </c>
      <c r="S161">
        <v>0.60919999999999996</v>
      </c>
      <c r="T161">
        <v>-9.0500000000000007</v>
      </c>
      <c r="U161">
        <v>109.05</v>
      </c>
      <c r="V161">
        <v>2.77</v>
      </c>
    </row>
    <row r="162" spans="11:22" ht="15" thickBot="1" x14ac:dyDescent="0.4">
      <c r="K162" t="s">
        <v>233</v>
      </c>
      <c r="L162">
        <v>13</v>
      </c>
      <c r="M162">
        <v>2.3E-2</v>
      </c>
      <c r="N162" s="61"/>
      <c r="O162">
        <v>2.9499999999999998E-2</v>
      </c>
      <c r="P162">
        <v>4.5999999999999999E-2</v>
      </c>
      <c r="Q162">
        <v>0.22600000000000001</v>
      </c>
      <c r="R162">
        <v>-2.1000000000000001E-2</v>
      </c>
      <c r="S162">
        <v>0.19500000000000001</v>
      </c>
      <c r="T162">
        <v>-4.7</v>
      </c>
      <c r="U162">
        <v>532.36</v>
      </c>
      <c r="V162">
        <v>12.83</v>
      </c>
    </row>
    <row r="163" spans="11:22" ht="15" thickBot="1" x14ac:dyDescent="0.4">
      <c r="K163" t="s">
        <v>234</v>
      </c>
      <c r="L163">
        <v>12</v>
      </c>
      <c r="M163">
        <v>5.7000000000000002E-2</v>
      </c>
      <c r="N163" s="61"/>
      <c r="O163">
        <v>3.5000000000000003E-2</v>
      </c>
      <c r="P163">
        <v>8.0000000000000002E-3</v>
      </c>
      <c r="Q163">
        <v>3.3000000000000002E-2</v>
      </c>
      <c r="R163">
        <v>-3.2000000000000001E-2</v>
      </c>
      <c r="S163">
        <v>0.16200000000000001</v>
      </c>
      <c r="T163">
        <v>-0.7</v>
      </c>
      <c r="U163">
        <v>532.36</v>
      </c>
      <c r="V163">
        <v>16.93</v>
      </c>
    </row>
    <row r="164" spans="11:22" x14ac:dyDescent="0.35">
      <c r="K164" t="s">
        <v>145</v>
      </c>
      <c r="L164">
        <v>12</v>
      </c>
      <c r="M164">
        <v>7.0000000000000007E-2</v>
      </c>
      <c r="N164">
        <v>7.3999999999999996E-2</v>
      </c>
      <c r="O164">
        <v>0.12</v>
      </c>
      <c r="P164">
        <v>0.121</v>
      </c>
      <c r="Q164">
        <v>6.4000000000000001E-2</v>
      </c>
      <c r="R164">
        <v>-0.02</v>
      </c>
      <c r="S164">
        <v>0.51700000000000002</v>
      </c>
      <c r="T164">
        <v>-27.89</v>
      </c>
      <c r="U164">
        <v>1886.47</v>
      </c>
      <c r="V164">
        <v>2.84</v>
      </c>
    </row>
    <row r="165" spans="11:22" ht="15" thickBot="1" x14ac:dyDescent="0.4">
      <c r="K165" t="s">
        <v>142</v>
      </c>
      <c r="L165">
        <v>12</v>
      </c>
      <c r="M165">
        <v>4.5999999999999999E-2</v>
      </c>
      <c r="N165">
        <v>2.4E-2</v>
      </c>
      <c r="O165">
        <v>4.65E-2</v>
      </c>
      <c r="P165">
        <v>1.9E-2</v>
      </c>
      <c r="Q165">
        <v>7.7700000000000005E-2</v>
      </c>
      <c r="R165">
        <v>-2.1999999999999999E-2</v>
      </c>
      <c r="S165">
        <v>0.58099999999999996</v>
      </c>
      <c r="T165">
        <v>-12.1</v>
      </c>
      <c r="U165">
        <v>31.75</v>
      </c>
      <c r="V165">
        <v>1.3</v>
      </c>
    </row>
    <row r="166" spans="11:22" ht="15" thickBot="1" x14ac:dyDescent="0.4">
      <c r="K166" t="s">
        <v>235</v>
      </c>
      <c r="L166">
        <v>11</v>
      </c>
      <c r="M166">
        <v>5.0999999999999997E-2</v>
      </c>
      <c r="N166" s="61"/>
      <c r="O166">
        <v>3.5000000000000003E-2</v>
      </c>
      <c r="P166">
        <v>5.0000000000000001E-3</v>
      </c>
      <c r="Q166">
        <v>0.108</v>
      </c>
      <c r="R166">
        <v>2.5000000000000001E-2</v>
      </c>
      <c r="S166" s="61"/>
      <c r="T166">
        <v>1.4</v>
      </c>
      <c r="U166">
        <v>532.36</v>
      </c>
      <c r="V166">
        <v>15.3</v>
      </c>
    </row>
    <row r="167" spans="11:22" ht="15" thickBot="1" x14ac:dyDescent="0.4">
      <c r="K167" t="s">
        <v>236</v>
      </c>
      <c r="L167">
        <v>11</v>
      </c>
      <c r="M167">
        <v>2.5999999999999999E-2</v>
      </c>
      <c r="N167" s="61"/>
      <c r="O167">
        <v>9.5000000000000001E-2</v>
      </c>
      <c r="P167">
        <v>6.0999999999999999E-2</v>
      </c>
      <c r="Q167">
        <v>3.7999999999999999E-2</v>
      </c>
      <c r="R167">
        <v>-0.03</v>
      </c>
      <c r="S167">
        <v>0.29499999999999998</v>
      </c>
      <c r="T167">
        <v>-10</v>
      </c>
      <c r="U167">
        <v>2665</v>
      </c>
      <c r="V167">
        <v>22.92</v>
      </c>
    </row>
    <row r="168" spans="11:22" ht="15" thickBot="1" x14ac:dyDescent="0.4">
      <c r="K168" t="s">
        <v>237</v>
      </c>
      <c r="L168">
        <v>11</v>
      </c>
      <c r="M168">
        <v>7.5999999999999998E-2</v>
      </c>
      <c r="N168" s="61"/>
      <c r="O168">
        <v>0.05</v>
      </c>
      <c r="P168">
        <v>3.0499999999999999E-2</v>
      </c>
      <c r="Q168">
        <v>1.29E-2</v>
      </c>
      <c r="R168">
        <v>-0.124</v>
      </c>
      <c r="S168">
        <v>0.62029999999999996</v>
      </c>
      <c r="T168">
        <v>-29.5</v>
      </c>
      <c r="U168">
        <v>7902.6</v>
      </c>
      <c r="V168">
        <v>6.77</v>
      </c>
    </row>
    <row r="169" spans="11:22" ht="15" thickBot="1" x14ac:dyDescent="0.4">
      <c r="K169" t="s">
        <v>238</v>
      </c>
      <c r="L169">
        <v>11</v>
      </c>
      <c r="M169">
        <v>3.2000000000000001E-2</v>
      </c>
      <c r="N169" s="61"/>
      <c r="O169" s="61"/>
      <c r="P169">
        <v>6.6000000000000003E-2</v>
      </c>
      <c r="Q169">
        <v>5.8999999999999997E-2</v>
      </c>
      <c r="R169">
        <v>-0.01</v>
      </c>
      <c r="S169">
        <v>0.498</v>
      </c>
      <c r="T169">
        <v>-11.4</v>
      </c>
      <c r="U169">
        <v>26.39</v>
      </c>
      <c r="V169">
        <v>6.13</v>
      </c>
    </row>
    <row r="170" spans="11:22" ht="15" thickBot="1" x14ac:dyDescent="0.4">
      <c r="K170" t="s">
        <v>239</v>
      </c>
      <c r="L170">
        <v>10</v>
      </c>
      <c r="M170" s="65">
        <v>2.1999999999999999E-2</v>
      </c>
      <c r="N170" s="61"/>
      <c r="O170">
        <v>4.0000000000000001E-3</v>
      </c>
      <c r="P170">
        <v>8.0000000000000002E-3</v>
      </c>
      <c r="Q170">
        <v>0.13800000000000001</v>
      </c>
      <c r="R170" s="61"/>
      <c r="S170" s="61"/>
      <c r="T170" s="61"/>
      <c r="U170">
        <v>97.45</v>
      </c>
      <c r="V170">
        <v>0.26</v>
      </c>
    </row>
    <row r="171" spans="11:22" x14ac:dyDescent="0.35">
      <c r="K171" t="s">
        <v>139</v>
      </c>
      <c r="L171">
        <v>10</v>
      </c>
      <c r="M171">
        <v>4.2999999999999997E-2</v>
      </c>
      <c r="N171">
        <v>3.2000000000000001E-2</v>
      </c>
      <c r="O171">
        <v>3.2500000000000001E-2</v>
      </c>
      <c r="P171">
        <v>-4.0000000000000001E-3</v>
      </c>
      <c r="Q171">
        <v>0.28220000000000001</v>
      </c>
      <c r="R171">
        <v>-4.1000000000000002E-2</v>
      </c>
      <c r="S171">
        <v>0.28210000000000002</v>
      </c>
      <c r="T171">
        <v>-1.9</v>
      </c>
      <c r="U171">
        <v>49.23</v>
      </c>
      <c r="V171">
        <v>2.11</v>
      </c>
    </row>
    <row r="172" spans="11:22" x14ac:dyDescent="0.35">
      <c r="K172" t="s">
        <v>240</v>
      </c>
      <c r="L172">
        <v>10</v>
      </c>
      <c r="M172">
        <v>5.2999999999999999E-2</v>
      </c>
      <c r="O172">
        <v>6.7500000000000004E-2</v>
      </c>
      <c r="P172">
        <v>2.5999999999999999E-2</v>
      </c>
      <c r="Q172">
        <v>0.17499999999999999</v>
      </c>
      <c r="R172">
        <v>-1.67E-2</v>
      </c>
      <c r="S172">
        <v>0.30399999999999999</v>
      </c>
      <c r="T172">
        <v>-10.5</v>
      </c>
      <c r="U172">
        <v>433.68</v>
      </c>
      <c r="V172">
        <v>3.03</v>
      </c>
    </row>
    <row r="173" spans="11:22" ht="15" thickBot="1" x14ac:dyDescent="0.4">
      <c r="K173" t="s">
        <v>141</v>
      </c>
      <c r="L173">
        <v>9</v>
      </c>
      <c r="M173">
        <v>2.9000000000000001E-2</v>
      </c>
      <c r="N173">
        <v>1.2999999999999999E-2</v>
      </c>
      <c r="O173">
        <v>5.0000000000000001E-4</v>
      </c>
      <c r="P173">
        <v>7.0000000000000001E-3</v>
      </c>
      <c r="Q173">
        <v>5.8000000000000003E-2</v>
      </c>
      <c r="R173">
        <v>-2.8000000000000001E-2</v>
      </c>
      <c r="S173">
        <v>0.73</v>
      </c>
      <c r="T173">
        <v>1.4</v>
      </c>
      <c r="U173">
        <v>1.23</v>
      </c>
      <c r="V173">
        <v>0.42</v>
      </c>
    </row>
    <row r="174" spans="11:22" ht="15" thickBot="1" x14ac:dyDescent="0.4">
      <c r="K174" t="s">
        <v>241</v>
      </c>
      <c r="L174">
        <v>9</v>
      </c>
      <c r="M174">
        <v>6.9000000000000006E-2</v>
      </c>
      <c r="N174" s="61"/>
      <c r="O174">
        <v>6.9000000000000006E-2</v>
      </c>
      <c r="P174">
        <v>6.6000000000000003E-2</v>
      </c>
      <c r="Q174">
        <v>2.5000000000000001E-2</v>
      </c>
      <c r="R174">
        <v>3.0000000000000001E-3</v>
      </c>
      <c r="S174">
        <v>0.4098</v>
      </c>
      <c r="T174">
        <v>-1.9</v>
      </c>
      <c r="U174">
        <v>5.07</v>
      </c>
      <c r="V174">
        <v>8.2100000000000009</v>
      </c>
    </row>
    <row r="175" spans="11:22" ht="15" thickBot="1" x14ac:dyDescent="0.4">
      <c r="K175" t="s">
        <v>144</v>
      </c>
      <c r="L175">
        <v>8</v>
      </c>
      <c r="M175">
        <v>4.2000000000000003E-2</v>
      </c>
      <c r="N175">
        <v>9.1000000000000004E-3</v>
      </c>
      <c r="O175">
        <v>3.5000000000000003E-2</v>
      </c>
      <c r="P175">
        <v>4.8000000000000001E-2</v>
      </c>
      <c r="Q175">
        <v>3.5999999999999997E-2</v>
      </c>
      <c r="R175">
        <v>-1.7500000000000002E-2</v>
      </c>
      <c r="S175">
        <v>0.24390000000000001</v>
      </c>
      <c r="T175">
        <v>-4.8</v>
      </c>
      <c r="U175">
        <v>14.82</v>
      </c>
      <c r="V175">
        <v>3.56</v>
      </c>
    </row>
    <row r="176" spans="11:22" ht="15" thickBot="1" x14ac:dyDescent="0.4">
      <c r="K176" t="s">
        <v>242</v>
      </c>
      <c r="L176">
        <v>8</v>
      </c>
      <c r="M176">
        <v>5.8000000000000003E-2</v>
      </c>
      <c r="N176" s="61"/>
      <c r="O176">
        <v>3.5000000000000003E-2</v>
      </c>
      <c r="P176">
        <v>-5.0000000000000001E-3</v>
      </c>
      <c r="Q176">
        <v>0.01</v>
      </c>
      <c r="R176">
        <v>-1.2E-2</v>
      </c>
      <c r="S176">
        <v>0.16600000000000001</v>
      </c>
      <c r="T176">
        <v>-8.1999999999999993</v>
      </c>
      <c r="U176">
        <v>532.36</v>
      </c>
      <c r="V176">
        <v>10.32</v>
      </c>
    </row>
    <row r="177" spans="11:22" ht="15" thickBot="1" x14ac:dyDescent="0.4">
      <c r="K177" t="s">
        <v>243</v>
      </c>
      <c r="L177">
        <v>8</v>
      </c>
      <c r="M177">
        <v>1.9E-2</v>
      </c>
      <c r="N177" s="61"/>
      <c r="O177">
        <v>4.4999999999999998E-2</v>
      </c>
      <c r="P177">
        <v>1.78E-2</v>
      </c>
      <c r="Q177">
        <v>0.154</v>
      </c>
      <c r="R177">
        <v>-6.6000000000000003E-2</v>
      </c>
      <c r="S177">
        <v>0.66200000000000003</v>
      </c>
      <c r="T177">
        <v>-19.600000000000001</v>
      </c>
      <c r="U177">
        <v>1</v>
      </c>
      <c r="V177">
        <v>0.38</v>
      </c>
    </row>
    <row r="178" spans="11:22" ht="15" thickBot="1" x14ac:dyDescent="0.4">
      <c r="K178" t="s">
        <v>244</v>
      </c>
      <c r="L178">
        <v>8</v>
      </c>
      <c r="M178">
        <v>4.2999999999999997E-2</v>
      </c>
      <c r="N178" s="61"/>
      <c r="O178">
        <v>0.12</v>
      </c>
      <c r="P178">
        <v>5.0999999999999997E-2</v>
      </c>
      <c r="Q178">
        <v>0.40600000000000003</v>
      </c>
      <c r="R178">
        <v>-2.3199999999999998E-2</v>
      </c>
      <c r="S178">
        <v>0.2132</v>
      </c>
      <c r="T178">
        <v>-4</v>
      </c>
      <c r="U178">
        <v>46</v>
      </c>
      <c r="V178">
        <v>10.32</v>
      </c>
    </row>
    <row r="179" spans="11:22" ht="15" thickBot="1" x14ac:dyDescent="0.4">
      <c r="K179" t="s">
        <v>245</v>
      </c>
      <c r="L179">
        <v>7</v>
      </c>
      <c r="M179">
        <v>4.1000000000000002E-2</v>
      </c>
      <c r="N179" s="61"/>
      <c r="O179">
        <v>6.5000000000000002E-2</v>
      </c>
      <c r="P179">
        <v>7.4999999999999997E-2</v>
      </c>
      <c r="Q179">
        <v>2.3E-2</v>
      </c>
      <c r="R179">
        <v>-7.0000000000000001E-3</v>
      </c>
      <c r="S179">
        <v>0.4773</v>
      </c>
      <c r="T179">
        <v>-23.1</v>
      </c>
      <c r="U179">
        <v>57.56</v>
      </c>
      <c r="V179">
        <v>5.72</v>
      </c>
    </row>
    <row r="180" spans="11:22" ht="15" thickBot="1" x14ac:dyDescent="0.4">
      <c r="K180" t="s">
        <v>246</v>
      </c>
      <c r="L180">
        <v>7</v>
      </c>
      <c r="M180">
        <v>3.4000000000000002E-2</v>
      </c>
      <c r="N180" s="61"/>
      <c r="O180" s="61"/>
      <c r="P180">
        <v>6.0000000000000001E-3</v>
      </c>
      <c r="Q180">
        <v>0.3</v>
      </c>
      <c r="R180">
        <v>-3.5000000000000003E-2</v>
      </c>
      <c r="S180" s="61"/>
      <c r="T180">
        <v>-6.8</v>
      </c>
      <c r="U180">
        <v>462.8</v>
      </c>
      <c r="V180">
        <v>1.82</v>
      </c>
    </row>
    <row r="181" spans="11:22" ht="15" thickBot="1" x14ac:dyDescent="0.4">
      <c r="K181" t="s">
        <v>247</v>
      </c>
      <c r="L181">
        <v>7</v>
      </c>
      <c r="M181">
        <v>7.6999999999999999E-2</v>
      </c>
      <c r="O181">
        <v>3.5000000000000003E-2</v>
      </c>
      <c r="P181">
        <v>-1.7000000000000001E-2</v>
      </c>
      <c r="Q181">
        <v>2.2499999999999999E-2</v>
      </c>
      <c r="R181">
        <v>1E-3</v>
      </c>
      <c r="S181">
        <v>0.217</v>
      </c>
      <c r="T181">
        <v>-20.9</v>
      </c>
      <c r="U181">
        <v>532.36</v>
      </c>
      <c r="V181">
        <v>17.13</v>
      </c>
    </row>
    <row r="182" spans="11:22" ht="15" thickBot="1" x14ac:dyDescent="0.4">
      <c r="K182" t="s">
        <v>248</v>
      </c>
      <c r="L182">
        <v>7</v>
      </c>
      <c r="M182">
        <v>3.9E-2</v>
      </c>
      <c r="N182" s="61"/>
      <c r="O182" s="61"/>
      <c r="P182">
        <v>7.3000000000000001E-3</v>
      </c>
      <c r="Q182">
        <v>0.26300000000000001</v>
      </c>
      <c r="R182">
        <v>-8.0000000000000002E-3</v>
      </c>
      <c r="S182">
        <v>0.24199999999999999</v>
      </c>
      <c r="T182">
        <v>-21.4</v>
      </c>
      <c r="V182">
        <v>4.29</v>
      </c>
    </row>
    <row r="183" spans="11:22" ht="15" thickBot="1" x14ac:dyDescent="0.4">
      <c r="K183" t="s">
        <v>161</v>
      </c>
      <c r="L183">
        <v>7</v>
      </c>
      <c r="M183">
        <v>6.0999999999999999E-2</v>
      </c>
      <c r="N183">
        <v>1.06E-2</v>
      </c>
      <c r="O183">
        <v>6.5000000000000002E-2</v>
      </c>
      <c r="P183">
        <v>-2.1000000000000001E-2</v>
      </c>
      <c r="Q183">
        <v>3.4000000000000002E-2</v>
      </c>
      <c r="R183">
        <v>-5.0999999999999997E-2</v>
      </c>
      <c r="S183">
        <v>0.29420000000000002</v>
      </c>
      <c r="T183">
        <v>-10.199999999999999</v>
      </c>
      <c r="U183">
        <v>681.5</v>
      </c>
      <c r="V183">
        <v>11.78</v>
      </c>
    </row>
    <row r="184" spans="11:22" ht="15" thickBot="1" x14ac:dyDescent="0.4">
      <c r="K184" t="s">
        <v>249</v>
      </c>
      <c r="L184">
        <v>6</v>
      </c>
      <c r="M184">
        <v>9.2999999999999999E-2</v>
      </c>
      <c r="N184" s="61"/>
      <c r="O184" s="61"/>
      <c r="P184" s="61"/>
      <c r="Q184" s="61"/>
      <c r="R184" s="61"/>
      <c r="S184" s="61"/>
      <c r="T184" s="61"/>
      <c r="U184">
        <v>1.23</v>
      </c>
      <c r="V184">
        <v>0.04</v>
      </c>
    </row>
    <row r="185" spans="11:22" ht="15" thickBot="1" x14ac:dyDescent="0.4">
      <c r="K185" t="s">
        <v>250</v>
      </c>
      <c r="L185">
        <v>6</v>
      </c>
      <c r="M185">
        <v>2.5000000000000001E-2</v>
      </c>
      <c r="N185" s="61"/>
      <c r="O185">
        <v>0.13</v>
      </c>
      <c r="P185">
        <v>9.6000000000000002E-2</v>
      </c>
      <c r="Q185">
        <v>0.223</v>
      </c>
      <c r="R185">
        <v>-5.1999999999999998E-2</v>
      </c>
      <c r="S185">
        <v>0.20810000000000001</v>
      </c>
      <c r="T185">
        <v>-20.2</v>
      </c>
      <c r="U185">
        <v>7030</v>
      </c>
      <c r="V185">
        <v>11.75</v>
      </c>
    </row>
    <row r="186" spans="11:22" ht="15" thickBot="1" x14ac:dyDescent="0.4">
      <c r="K186" t="s">
        <v>251</v>
      </c>
      <c r="L186">
        <v>5</v>
      </c>
      <c r="M186">
        <v>-1.2E-2</v>
      </c>
      <c r="N186" s="61"/>
      <c r="O186" s="61"/>
      <c r="P186">
        <v>0</v>
      </c>
      <c r="Q186" s="61"/>
      <c r="R186" s="61"/>
      <c r="S186" s="61"/>
      <c r="T186" s="61"/>
      <c r="U186">
        <v>0.97</v>
      </c>
      <c r="V186">
        <v>0.04</v>
      </c>
    </row>
    <row r="187" spans="11:22" ht="15" thickBot="1" x14ac:dyDescent="0.4">
      <c r="K187" t="s">
        <v>252</v>
      </c>
      <c r="L187">
        <v>5</v>
      </c>
      <c r="M187">
        <v>0.13</v>
      </c>
      <c r="N187" s="61"/>
      <c r="O187">
        <v>0.1</v>
      </c>
      <c r="P187">
        <v>7.51E-2</v>
      </c>
      <c r="Q187">
        <v>3.4000000000000002E-2</v>
      </c>
      <c r="R187">
        <v>0</v>
      </c>
      <c r="S187">
        <v>0.1953</v>
      </c>
      <c r="T187">
        <v>-36.200000000000003</v>
      </c>
      <c r="U187">
        <v>4365</v>
      </c>
      <c r="V187">
        <v>6.09</v>
      </c>
    </row>
    <row r="188" spans="11:22" ht="15" thickBot="1" x14ac:dyDescent="0.4">
      <c r="K188" t="s">
        <v>253</v>
      </c>
      <c r="L188">
        <v>5</v>
      </c>
      <c r="M188">
        <v>4.3999999999999997E-2</v>
      </c>
      <c r="N188" s="61"/>
      <c r="O188">
        <v>0.1198</v>
      </c>
      <c r="P188">
        <v>4.2000000000000003E-2</v>
      </c>
      <c r="Q188">
        <v>0.08</v>
      </c>
      <c r="R188">
        <v>-2.8000000000000001E-2</v>
      </c>
      <c r="S188">
        <v>0.29199999999999998</v>
      </c>
      <c r="T188">
        <v>15.01</v>
      </c>
      <c r="U188">
        <v>3.3</v>
      </c>
      <c r="V188">
        <v>0.54</v>
      </c>
    </row>
    <row r="189" spans="11:22" ht="15" thickBot="1" x14ac:dyDescent="0.4">
      <c r="K189" t="s">
        <v>254</v>
      </c>
      <c r="L189">
        <v>4</v>
      </c>
      <c r="M189">
        <v>3.5000000000000003E-2</v>
      </c>
      <c r="N189" s="61"/>
      <c r="O189">
        <v>5.2499999999999998E-2</v>
      </c>
      <c r="P189">
        <v>6.2E-2</v>
      </c>
      <c r="Q189">
        <v>0.28499999999999998</v>
      </c>
      <c r="R189">
        <v>-1.0999999999999999E-2</v>
      </c>
      <c r="S189">
        <v>9.6799999999999997E-2</v>
      </c>
      <c r="T189">
        <v>-7.4</v>
      </c>
      <c r="U189">
        <v>11.22</v>
      </c>
      <c r="V189">
        <v>1.0900000000000001</v>
      </c>
    </row>
    <row r="190" spans="11:22" ht="15" thickBot="1" x14ac:dyDescent="0.4">
      <c r="K190" t="s">
        <v>255</v>
      </c>
      <c r="L190">
        <v>4</v>
      </c>
      <c r="M190">
        <v>0.04</v>
      </c>
      <c r="N190" s="61"/>
      <c r="O190">
        <v>3.5000000000000003E-2</v>
      </c>
      <c r="P190">
        <v>1.0999999999999999E-2</v>
      </c>
      <c r="Q190">
        <v>6.8000000000000005E-2</v>
      </c>
      <c r="R190">
        <v>-4.5999999999999999E-2</v>
      </c>
      <c r="S190">
        <v>0.16600000000000001</v>
      </c>
      <c r="T190">
        <v>-5.8</v>
      </c>
      <c r="U190">
        <v>532.36</v>
      </c>
      <c r="V190">
        <v>6.82</v>
      </c>
    </row>
    <row r="191" spans="11:22" ht="15" thickBot="1" x14ac:dyDescent="0.4">
      <c r="K191" t="s">
        <v>256</v>
      </c>
      <c r="L191">
        <v>4</v>
      </c>
      <c r="M191">
        <v>3.0000000000000001E-3</v>
      </c>
      <c r="N191" s="61"/>
      <c r="O191" s="61"/>
      <c r="P191">
        <v>-5.0000000000000001E-3</v>
      </c>
      <c r="Q191">
        <v>0.1454</v>
      </c>
      <c r="R191">
        <v>-3.9E-2</v>
      </c>
      <c r="S191">
        <v>0.56840000000000002</v>
      </c>
      <c r="T191">
        <v>-14.6</v>
      </c>
      <c r="U191">
        <v>1.23</v>
      </c>
      <c r="V191">
        <v>0.62</v>
      </c>
    </row>
    <row r="192" spans="11:22" ht="15" thickBot="1" x14ac:dyDescent="0.4">
      <c r="K192" t="s">
        <v>257</v>
      </c>
      <c r="L192">
        <v>4</v>
      </c>
      <c r="M192">
        <v>6.0999999999999999E-2</v>
      </c>
      <c r="O192">
        <v>0.25</v>
      </c>
      <c r="P192">
        <v>0.23300000000000001</v>
      </c>
      <c r="Q192">
        <v>0.03</v>
      </c>
      <c r="R192">
        <v>-1.0999999999999999E-2</v>
      </c>
      <c r="S192">
        <v>0.16300000000000001</v>
      </c>
      <c r="T192">
        <v>-7.9</v>
      </c>
      <c r="U192">
        <v>491.85</v>
      </c>
      <c r="V192">
        <v>16.36</v>
      </c>
    </row>
    <row r="193" spans="11:22" ht="15" thickBot="1" x14ac:dyDescent="0.4">
      <c r="K193" t="s">
        <v>258</v>
      </c>
      <c r="L193">
        <v>4</v>
      </c>
      <c r="M193">
        <v>6.7000000000000004E-2</v>
      </c>
      <c r="N193" s="61"/>
      <c r="O193">
        <v>0.09</v>
      </c>
      <c r="P193">
        <v>3.5000000000000003E-2</v>
      </c>
      <c r="Q193">
        <v>0.10100000000000001</v>
      </c>
      <c r="R193">
        <v>-3.6999999999999998E-2</v>
      </c>
      <c r="S193">
        <v>0.87719999999999998</v>
      </c>
      <c r="T193">
        <v>-10.8</v>
      </c>
      <c r="U193">
        <v>289</v>
      </c>
      <c r="V193">
        <v>3.89</v>
      </c>
    </row>
    <row r="194" spans="11:22" ht="15" thickBot="1" x14ac:dyDescent="0.4">
      <c r="K194" t="s">
        <v>259</v>
      </c>
      <c r="L194">
        <v>4</v>
      </c>
      <c r="M194">
        <v>3.5999999999999997E-2</v>
      </c>
      <c r="N194" s="61"/>
      <c r="O194">
        <v>5.0000000000000001E-3</v>
      </c>
      <c r="P194">
        <v>3.0000000000000001E-3</v>
      </c>
      <c r="Q194">
        <v>8.3900000000000002E-2</v>
      </c>
      <c r="R194">
        <v>-2.5999999999999999E-2</v>
      </c>
      <c r="S194">
        <v>0.49</v>
      </c>
      <c r="T194">
        <v>-14.8</v>
      </c>
      <c r="U194">
        <v>1.96</v>
      </c>
      <c r="V194">
        <v>0.88</v>
      </c>
    </row>
    <row r="195" spans="11:22" ht="15" thickBot="1" x14ac:dyDescent="0.4">
      <c r="K195" t="s">
        <v>260</v>
      </c>
      <c r="L195">
        <v>3</v>
      </c>
      <c r="M195">
        <v>3.5999999999999997E-2</v>
      </c>
      <c r="N195" s="61"/>
      <c r="O195">
        <v>0.05</v>
      </c>
      <c r="P195">
        <v>7.0000000000000001E-3</v>
      </c>
      <c r="Q195">
        <v>0.21</v>
      </c>
      <c r="R195" s="63">
        <v>-4.6600000000000003E-2</v>
      </c>
      <c r="S195" s="66">
        <v>0.63900000000000001</v>
      </c>
      <c r="T195">
        <v>-14.2</v>
      </c>
      <c r="U195">
        <v>206.21</v>
      </c>
      <c r="V195">
        <v>0.75</v>
      </c>
    </row>
    <row r="196" spans="11:22" ht="15" thickBot="1" x14ac:dyDescent="0.4">
      <c r="K196" t="s">
        <v>261</v>
      </c>
      <c r="L196">
        <v>3</v>
      </c>
      <c r="M196">
        <v>1.0999999999999999E-2</v>
      </c>
      <c r="N196" s="61"/>
      <c r="O196" s="61"/>
      <c r="P196">
        <v>0.123</v>
      </c>
      <c r="Q196">
        <v>0.14499999999999999</v>
      </c>
      <c r="R196">
        <v>-0.10299999999999999</v>
      </c>
      <c r="S196">
        <v>0.45</v>
      </c>
      <c r="T196">
        <v>0.3</v>
      </c>
      <c r="U196">
        <v>15</v>
      </c>
      <c r="V196">
        <v>6.33</v>
      </c>
    </row>
    <row r="197" spans="11:22" ht="15" thickBot="1" x14ac:dyDescent="0.4">
      <c r="K197" t="s">
        <v>262</v>
      </c>
      <c r="L197">
        <v>3</v>
      </c>
      <c r="M197">
        <v>4.5999999999999999E-2</v>
      </c>
      <c r="N197" s="61"/>
      <c r="O197">
        <v>0.1095</v>
      </c>
      <c r="P197">
        <v>3.5000000000000003E-2</v>
      </c>
      <c r="Q197">
        <v>0.35</v>
      </c>
      <c r="R197">
        <v>-0.02</v>
      </c>
      <c r="S197">
        <v>0.17399999999999999</v>
      </c>
      <c r="T197">
        <v>-14.6</v>
      </c>
      <c r="U197">
        <v>1557.2</v>
      </c>
      <c r="V197">
        <v>10.16</v>
      </c>
    </row>
    <row r="198" spans="11:22" ht="15" thickBot="1" x14ac:dyDescent="0.4">
      <c r="K198" t="s">
        <v>263</v>
      </c>
      <c r="L198">
        <v>3</v>
      </c>
      <c r="M198">
        <v>3.3000000000000002E-2</v>
      </c>
      <c r="N198" s="61"/>
      <c r="O198" s="61"/>
      <c r="P198">
        <v>7.0000000000000001E-3</v>
      </c>
      <c r="Q198">
        <v>6.3E-2</v>
      </c>
      <c r="R198">
        <v>2.7E-2</v>
      </c>
      <c r="S198">
        <v>0.22800000000000001</v>
      </c>
      <c r="T198">
        <v>-18</v>
      </c>
      <c r="U198">
        <v>0.82</v>
      </c>
      <c r="V198">
        <v>0.06</v>
      </c>
    </row>
    <row r="199" spans="11:22" ht="15" thickBot="1" x14ac:dyDescent="0.4">
      <c r="K199" t="s">
        <v>264</v>
      </c>
      <c r="L199">
        <v>2</v>
      </c>
      <c r="M199">
        <v>-9.1999999999999998E-2</v>
      </c>
      <c r="N199" s="61"/>
      <c r="O199">
        <v>2.9499999999999998E-2</v>
      </c>
      <c r="P199">
        <v>0.25580000000000003</v>
      </c>
      <c r="Q199">
        <v>0.161</v>
      </c>
      <c r="R199">
        <v>-5.7000000000000002E-2</v>
      </c>
      <c r="S199">
        <v>0.218</v>
      </c>
      <c r="T199">
        <v>-9.4</v>
      </c>
      <c r="U199">
        <v>532.36</v>
      </c>
      <c r="V199">
        <v>4.62</v>
      </c>
    </row>
    <row r="200" spans="11:22" ht="15" thickBot="1" x14ac:dyDescent="0.4">
      <c r="K200" t="s">
        <v>265</v>
      </c>
      <c r="L200">
        <v>2</v>
      </c>
      <c r="M200">
        <v>0.01</v>
      </c>
      <c r="N200" s="61"/>
      <c r="O200">
        <v>7.7499999999999999E-2</v>
      </c>
      <c r="P200">
        <v>-7.0000000000000001E-3</v>
      </c>
      <c r="Q200">
        <v>0.16400000000000001</v>
      </c>
      <c r="R200">
        <v>-7.9000000000000001E-2</v>
      </c>
      <c r="S200">
        <v>0.95</v>
      </c>
      <c r="T200">
        <v>-16.399999999999999</v>
      </c>
      <c r="U200">
        <v>87.78</v>
      </c>
      <c r="V200">
        <v>0.5</v>
      </c>
    </row>
    <row r="201" spans="11:22" ht="15" thickBot="1" x14ac:dyDescent="0.4">
      <c r="K201" t="s">
        <v>266</v>
      </c>
      <c r="L201">
        <v>2</v>
      </c>
      <c r="M201">
        <v>5.1999999999999998E-2</v>
      </c>
      <c r="N201" s="61"/>
      <c r="O201">
        <v>0.06</v>
      </c>
      <c r="P201">
        <v>8.5500000000000007E-2</v>
      </c>
      <c r="Q201">
        <v>2.1000000000000001E-2</v>
      </c>
      <c r="R201">
        <v>3.6999999999999998E-2</v>
      </c>
      <c r="S201">
        <v>1.1066</v>
      </c>
      <c r="T201">
        <v>-25</v>
      </c>
      <c r="U201">
        <v>61.85</v>
      </c>
      <c r="V201">
        <v>0.75</v>
      </c>
    </row>
    <row r="202" spans="11:22" ht="15" thickBot="1" x14ac:dyDescent="0.4">
      <c r="K202" t="s">
        <v>267</v>
      </c>
      <c r="L202">
        <v>2</v>
      </c>
      <c r="M202">
        <v>0.08</v>
      </c>
      <c r="N202" s="61"/>
      <c r="O202" s="61"/>
      <c r="P202">
        <v>3.0000000000000001E-3</v>
      </c>
      <c r="Q202">
        <v>3.9E-2</v>
      </c>
      <c r="R202">
        <v>-5.0000000000000001E-3</v>
      </c>
      <c r="S202" s="61"/>
      <c r="T202">
        <v>40</v>
      </c>
      <c r="V202">
        <v>1.18</v>
      </c>
    </row>
    <row r="203" spans="11:22" ht="15" thickBot="1" x14ac:dyDescent="0.4">
      <c r="K203" t="s">
        <v>268</v>
      </c>
      <c r="L203">
        <v>2</v>
      </c>
      <c r="M203">
        <v>3.6999999999999998E-2</v>
      </c>
      <c r="N203" s="61"/>
      <c r="O203">
        <v>7.0000000000000007E-2</v>
      </c>
      <c r="P203">
        <v>2.1000000000000001E-2</v>
      </c>
      <c r="Q203">
        <v>0.113</v>
      </c>
      <c r="R203">
        <v>-4.7E-2</v>
      </c>
      <c r="S203">
        <v>0.34899999999999998</v>
      </c>
      <c r="T203">
        <v>-20.5</v>
      </c>
      <c r="U203">
        <v>15.44</v>
      </c>
      <c r="V203">
        <v>0.35</v>
      </c>
    </row>
    <row r="204" spans="11:22" ht="15" thickBot="1" x14ac:dyDescent="0.4">
      <c r="K204" t="s">
        <v>269</v>
      </c>
      <c r="L204">
        <v>2</v>
      </c>
      <c r="M204">
        <v>3.4000000000000002E-2</v>
      </c>
      <c r="N204" s="61"/>
      <c r="O204">
        <v>6.1100000000000002E-2</v>
      </c>
      <c r="P204">
        <v>5.3999999999999999E-2</v>
      </c>
      <c r="Q204">
        <v>0.253</v>
      </c>
      <c r="R204">
        <v>1.4999999999999999E-2</v>
      </c>
      <c r="S204">
        <v>0.377</v>
      </c>
      <c r="T204">
        <v>-4.4000000000000004</v>
      </c>
      <c r="U204">
        <v>11.22</v>
      </c>
      <c r="V204">
        <v>2.0699999999999998</v>
      </c>
    </row>
    <row r="205" spans="11:22" ht="15" thickBot="1" x14ac:dyDescent="0.4">
      <c r="K205" t="s">
        <v>270</v>
      </c>
      <c r="L205">
        <v>2</v>
      </c>
      <c r="M205">
        <v>8.6999999999999994E-2</v>
      </c>
      <c r="N205" s="61"/>
      <c r="O205">
        <v>0.13400000000000001</v>
      </c>
      <c r="P205">
        <v>0.01</v>
      </c>
      <c r="Q205">
        <v>3.6999999999999998E-2</v>
      </c>
      <c r="R205">
        <v>-2.5999999999999999E-2</v>
      </c>
      <c r="S205">
        <v>0.44900000000000001</v>
      </c>
      <c r="T205">
        <v>-65.14</v>
      </c>
      <c r="U205">
        <v>83.5</v>
      </c>
      <c r="V205">
        <v>4.29</v>
      </c>
    </row>
    <row r="206" spans="11:22" ht="15" thickBot="1" x14ac:dyDescent="0.4">
      <c r="K206" t="s">
        <v>271</v>
      </c>
      <c r="L206">
        <v>1</v>
      </c>
      <c r="M206">
        <v>3.5000000000000003E-2</v>
      </c>
      <c r="O206">
        <v>0.1028</v>
      </c>
      <c r="P206">
        <v>8.0000000000000002E-3</v>
      </c>
      <c r="Q206">
        <v>0.01</v>
      </c>
      <c r="R206">
        <v>0.01</v>
      </c>
      <c r="S206">
        <v>0.69</v>
      </c>
      <c r="T206">
        <v>-19</v>
      </c>
      <c r="U206">
        <v>14.33</v>
      </c>
      <c r="V206">
        <v>0.09</v>
      </c>
    </row>
    <row r="207" spans="11:22" ht="15" thickBot="1" x14ac:dyDescent="0.4">
      <c r="K207" t="s">
        <v>272</v>
      </c>
      <c r="L207">
        <v>1</v>
      </c>
      <c r="M207">
        <v>5.5E-2</v>
      </c>
      <c r="N207" s="61"/>
      <c r="O207">
        <v>0.1061</v>
      </c>
      <c r="P207">
        <v>2.1999999999999999E-2</v>
      </c>
      <c r="Q207">
        <v>0.54</v>
      </c>
      <c r="R207">
        <v>-3.1E-2</v>
      </c>
      <c r="S207">
        <v>0.48799999999999999</v>
      </c>
      <c r="T207">
        <v>-12</v>
      </c>
      <c r="U207">
        <v>177.05</v>
      </c>
      <c r="V207">
        <v>0.87</v>
      </c>
    </row>
    <row r="208" spans="11:22" ht="15" thickBot="1" x14ac:dyDescent="0.4">
      <c r="K208" t="s">
        <v>273</v>
      </c>
      <c r="L208">
        <v>1</v>
      </c>
      <c r="M208">
        <v>2.5999999999999999E-2</v>
      </c>
      <c r="N208" s="61"/>
      <c r="O208">
        <v>3.5000000000000003E-2</v>
      </c>
      <c r="P208">
        <v>2E-3</v>
      </c>
      <c r="Q208">
        <v>7.5999999999999998E-2</v>
      </c>
      <c r="R208">
        <v>-4.7E-2</v>
      </c>
      <c r="S208">
        <v>0.26700000000000002</v>
      </c>
      <c r="T208">
        <v>-6.6</v>
      </c>
      <c r="V208">
        <v>1.7</v>
      </c>
    </row>
    <row r="209" spans="11:22" ht="15" thickBot="1" x14ac:dyDescent="0.4">
      <c r="K209" t="s">
        <v>274</v>
      </c>
      <c r="L209">
        <v>1</v>
      </c>
      <c r="M209">
        <v>5.6000000000000001E-2</v>
      </c>
      <c r="N209" s="61"/>
      <c r="O209">
        <v>0.22</v>
      </c>
      <c r="P209">
        <v>5.6000000000000001E-2</v>
      </c>
      <c r="Q209">
        <v>0.06</v>
      </c>
      <c r="R209">
        <v>-3.3000000000000002E-2</v>
      </c>
      <c r="S209">
        <v>0.42099999999999999</v>
      </c>
      <c r="T209">
        <v>-11.1</v>
      </c>
      <c r="U209">
        <v>43.1</v>
      </c>
      <c r="V209">
        <v>1.85</v>
      </c>
    </row>
    <row r="210" spans="11:22" ht="15" thickBot="1" x14ac:dyDescent="0.4">
      <c r="K210" t="s">
        <v>275</v>
      </c>
      <c r="L210">
        <v>1</v>
      </c>
      <c r="M210">
        <v>3.5000000000000003E-2</v>
      </c>
      <c r="N210" s="61"/>
      <c r="O210">
        <v>1.54E-2</v>
      </c>
      <c r="P210">
        <v>1.7000000000000001E-2</v>
      </c>
      <c r="Q210">
        <v>0.13500000000000001</v>
      </c>
      <c r="R210">
        <v>5.5E-2</v>
      </c>
      <c r="S210">
        <v>0.51400000000000001</v>
      </c>
      <c r="T210">
        <v>-7.3</v>
      </c>
      <c r="U210">
        <v>364.5</v>
      </c>
      <c r="V210">
        <v>0.73</v>
      </c>
    </row>
    <row r="211" spans="11:22" ht="15" thickBot="1" x14ac:dyDescent="0.4">
      <c r="K211" t="s">
        <v>276</v>
      </c>
      <c r="L211">
        <v>1</v>
      </c>
      <c r="M211">
        <v>2.5999999999999999E-2</v>
      </c>
      <c r="N211" s="61"/>
      <c r="O211" s="61"/>
      <c r="P211">
        <v>-0.02</v>
      </c>
      <c r="Q211" s="61"/>
      <c r="R211" s="61"/>
      <c r="S211" s="61"/>
      <c r="T211" s="61"/>
      <c r="U211">
        <v>755</v>
      </c>
      <c r="V211">
        <v>10.5</v>
      </c>
    </row>
    <row r="212" spans="11:22" ht="15" thickBot="1" x14ac:dyDescent="0.4">
      <c r="K212" t="s">
        <v>277</v>
      </c>
      <c r="L212">
        <v>0</v>
      </c>
      <c r="M212">
        <v>4.2999999999999997E-2</v>
      </c>
      <c r="N212" s="61"/>
      <c r="O212">
        <v>0.12</v>
      </c>
      <c r="P212">
        <v>7.4399999999999994E-2</v>
      </c>
      <c r="Q212">
        <v>0.13600000000000001</v>
      </c>
      <c r="R212">
        <v>-6.9000000000000006E-2</v>
      </c>
      <c r="S212">
        <v>0.72450000000000003</v>
      </c>
      <c r="T212">
        <v>-26.8</v>
      </c>
      <c r="U212">
        <v>19889</v>
      </c>
      <c r="V212">
        <v>0.19</v>
      </c>
    </row>
    <row r="224" spans="11:22" x14ac:dyDescent="0.35">
      <c r="M224">
        <f>L32/M225</f>
        <v>0.19182680779638955</v>
      </c>
    </row>
    <row r="225" spans="13:13" x14ac:dyDescent="0.35">
      <c r="M225">
        <f>SUM(L32:L212)</f>
        <v>87579</v>
      </c>
    </row>
  </sheetData>
  <mergeCells count="12">
    <mergeCell ref="V30:V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Countries</vt:lpstr>
      <vt:lpstr>Tabs</vt:lpstr>
      <vt:lpstr>Global</vt:lpstr>
      <vt:lpstr>US</vt:lpstr>
      <vt:lpstr>UK</vt:lpstr>
      <vt:lpstr>EZ</vt:lpstr>
      <vt:lpstr>DE</vt:lpstr>
      <vt:lpstr>FR</vt:lpstr>
      <vt:lpstr>IT</vt:lpstr>
      <vt:lpstr>ES</vt:lpstr>
      <vt:lpstr>IR</vt:lpstr>
      <vt:lpstr>CH</vt:lpstr>
      <vt:lpstr>AU</vt:lpstr>
      <vt:lpstr>JP</vt:lpstr>
      <vt:lpstr>BR</vt:lpstr>
      <vt:lpstr>IN</vt:lpstr>
      <vt:lpstr>RS</vt:lpstr>
      <vt:lpstr>All</vt:lpstr>
      <vt:lpstr>Din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</dc:creator>
  <cp:lastModifiedBy>Nikhil Khajuria</cp:lastModifiedBy>
  <cp:lastPrinted>2014-05-26T12:41:52Z</cp:lastPrinted>
  <dcterms:created xsi:type="dcterms:W3CDTF">2014-05-26T11:50:50Z</dcterms:created>
  <dcterms:modified xsi:type="dcterms:W3CDTF">2026-07-15T07:36:01Z</dcterms:modified>
</cp:coreProperties>
</file>